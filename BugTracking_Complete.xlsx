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Simulation" sheetId="1" state="visible" r:id="rId1"/>
    <sheet name="KPIs_Detail" sheetId="2" state="visible" r:id="rId2"/>
    <sheet name="raw_data" sheetId="3" state="visible" r:id="rId3"/>
    <sheet name="metrics" sheetId="4" state="visible" r:id="rId4"/>
    <sheet name="Summary_Top20" sheetId="5" state="visible" r:id="rId5"/>
  </sheets>
  <definedNames>
    <definedName name="_xlnm._FilterDatabase" localSheetId="2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color rgb="00FFFFFF"/>
      <sz val="10"/>
    </font>
    <font>
      <b val="1"/>
      <sz val="10"/>
    </font>
    <font>
      <b val="1"/>
      <color rgb="004472C4"/>
      <sz val="9"/>
    </font>
    <font>
      <b val="1"/>
      <sz val="14"/>
    </font>
    <font>
      <color rgb="00808080"/>
      <sz val="8"/>
    </font>
    <font>
      <b val="1"/>
      <color rgb="0070AD47"/>
      <sz val="8"/>
    </font>
    <font>
      <b val="1"/>
      <color rgb="00C00000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  <color rgb="00FFFFFF"/>
      <sz val="14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/>
    </xf>
    <xf numFmtId="0" fontId="10" fillId="0" borderId="0" pivotButton="0" quotePrefix="0" xfId="0"/>
    <xf numFmtId="0" fontId="11" fillId="5" borderId="0" pivotButton="0" quotePrefix="0" xfId="0"/>
    <xf numFmtId="0" fontId="9" fillId="6" borderId="0" pivotButton="0" quotePrefix="0" xfId="0"/>
    <xf numFmtId="0" fontId="12" fillId="7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'PowerBI_Simulation'!B27</f>
            </strRef>
          </tx>
          <spPr>
            <a:ln>
              <a:prstDash val="solid"/>
            </a:ln>
          </spPr>
          <cat>
            <numRef>
              <f>'PowerBI_Simulation'!$A$28:$A$31</f>
            </numRef>
          </cat>
          <val>
            <numRef>
              <f>'PowerBI_Simulation'!$B$28:$B$31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tx>
            <strRef>
              <f>'PowerBI_Simulation'!F27</f>
            </strRef>
          </tx>
          <spPr>
            <a:ln>
              <a:prstDash val="solid"/>
            </a:ln>
          </spPr>
          <cat>
            <numRef>
              <f>'PowerBI_Simulation'!$E$28:$E$30</f>
            </numRef>
          </cat>
          <val>
            <numRef>
              <f>'PowerBI_Simulation'!$F$28:$F$30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Trend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'PowerBI_Simulation'!J27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'PowerBI_Simulation'!$I$28:$I$31</f>
            </numRef>
          </cat>
          <val>
            <numRef>
              <f>'PowerBI_Simulation'!$J$28:$J$31</f>
            </numRef>
          </val>
        </ser>
        <ser>
          <idx val="1"/>
          <order val="1"/>
          <tx>
            <strRef>
              <f>'PowerBI_Simulation'!K27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'PowerBI_Simulation'!$I$28:$I$31</f>
            </numRef>
          </cat>
          <val>
            <numRef>
              <f>'PowerBI_Simulation'!$K$28:$K$31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34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Bug Tracking &amp; Quality Assurance Dashboard</t>
        </is>
      </c>
    </row>
    <row r="2">
      <c r="A2" s="2" t="inlineStr">
        <is>
          <t>Data last updated on 12/25/2025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</row>
    <row r="5">
      <c r="A5" s="4" t="inlineStr">
        <is>
          <t>1/1/2023</t>
        </is>
      </c>
      <c r="C5" s="4" t="inlineStr">
        <is>
          <t>12/30/2023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</row>
    <row r="7">
      <c r="A7" s="5" t="inlineStr">
        <is>
          <t>Open Bugs (count)</t>
        </is>
      </c>
      <c r="C7" s="5" t="inlineStr">
        <is>
          <t>New Bugs (count)</t>
        </is>
      </c>
      <c r="E7" s="5" t="inlineStr">
        <is>
          <t>Active Bugs (count)</t>
        </is>
      </c>
      <c r="G7" s="5" t="inlineStr">
        <is>
          <t>Resolved Bugs (count)</t>
        </is>
      </c>
      <c r="I7" s="5" t="inlineStr">
        <is>
          <t>Verified Bugs (count)</t>
        </is>
      </c>
      <c r="K7" s="5" t="inlineStr">
        <is>
          <t>Closed Bugs (count)</t>
        </is>
      </c>
      <c r="M7" s="5" t="inlineStr">
        <is>
          <t>Reopened Bugs (count)</t>
        </is>
      </c>
    </row>
    <row r="8">
      <c r="A8" s="6" t="inlineStr">
        <is>
          <t>8.4K</t>
        </is>
      </c>
      <c r="C8" s="6" t="inlineStr">
        <is>
          <t>2.1K</t>
        </is>
      </c>
      <c r="E8" s="6" t="inlineStr">
        <is>
          <t>3.5K</t>
        </is>
      </c>
      <c r="G8" s="6" t="inlineStr">
        <is>
          <t>4.8K</t>
        </is>
      </c>
      <c r="I8" s="6" t="inlineStr">
        <is>
          <t>4.2K</t>
        </is>
      </c>
      <c r="K8" s="6" t="inlineStr">
        <is>
          <t>3.9K</t>
        </is>
      </c>
      <c r="M8" s="6" t="inlineStr">
        <is>
          <t>0.6K</t>
        </is>
      </c>
    </row>
    <row r="9">
      <c r="A9" s="7" t="inlineStr">
        <is>
          <t>vs prev: 7.2K</t>
        </is>
      </c>
      <c r="B9" s="8" t="inlineStr">
        <is>
          <t>+16.67%</t>
        </is>
      </c>
      <c r="C9" s="7" t="inlineStr">
        <is>
          <t>vs prev: 2.8K</t>
        </is>
      </c>
      <c r="D9" s="9" t="inlineStr">
        <is>
          <t>-25%</t>
        </is>
      </c>
      <c r="E9" s="7" t="inlineStr">
        <is>
          <t>vs prev: 3.2K</t>
        </is>
      </c>
      <c r="F9" s="8" t="inlineStr">
        <is>
          <t>+9.37%</t>
        </is>
      </c>
      <c r="G9" s="7" t="inlineStr">
        <is>
          <t>vs prev: 3.9K</t>
        </is>
      </c>
      <c r="H9" s="8" t="inlineStr">
        <is>
          <t>+23%</t>
        </is>
      </c>
      <c r="I9" s="7" t="inlineStr">
        <is>
          <t>vs prev: 3.5K</t>
        </is>
      </c>
      <c r="J9" s="8" t="inlineStr">
        <is>
          <t>+20%</t>
        </is>
      </c>
      <c r="K9" s="7" t="inlineStr">
        <is>
          <t>vs prev: 3.1K</t>
        </is>
      </c>
      <c r="L9" s="8" t="inlineStr">
        <is>
          <t>+26%</t>
        </is>
      </c>
      <c r="M9" s="7" t="inlineStr">
        <is>
          <t>vs prev: 0.8K</t>
        </is>
      </c>
      <c r="N9" s="9" t="inlineStr">
        <is>
          <t>-25%</t>
        </is>
      </c>
    </row>
    <row r="11">
      <c r="A11" s="5" t="inlineStr">
        <is>
          <t>Multi-Reopened Bugs (count)</t>
        </is>
      </c>
      <c r="C11" s="5" t="inlineStr">
        <is>
          <t>Escaped Bugs (count)</t>
        </is>
      </c>
      <c r="E11" s="5" t="inlineStr">
        <is>
          <t>Regression Bugs (count)</t>
        </is>
      </c>
      <c r="G11" s="5" t="inlineStr">
        <is>
          <t>Critical Bugs (count)</t>
        </is>
      </c>
      <c r="I11" s="5" t="inlineStr">
        <is>
          <t>High Severity Bugs (count)</t>
        </is>
      </c>
      <c r="K11" s="5" t="inlineStr">
        <is>
          <t>Medium Severity Bugs (count)</t>
        </is>
      </c>
      <c r="M11" s="5" t="inlineStr">
        <is>
          <t>Low Severity Bugs (count)</t>
        </is>
      </c>
    </row>
    <row r="12">
      <c r="A12" s="6" t="inlineStr">
        <is>
          <t>0.2K</t>
        </is>
      </c>
      <c r="C12" s="6" t="inlineStr">
        <is>
          <t>0.4K</t>
        </is>
      </c>
      <c r="E12" s="6" t="inlineStr">
        <is>
          <t>0.3K</t>
        </is>
      </c>
      <c r="G12" s="6" t="inlineStr">
        <is>
          <t>0.8K</t>
        </is>
      </c>
      <c r="I12" s="6" t="inlineStr">
        <is>
          <t>1.9K</t>
        </is>
      </c>
      <c r="K12" s="6" t="inlineStr">
        <is>
          <t>3.2K</t>
        </is>
      </c>
      <c r="M12" s="6" t="inlineStr">
        <is>
          <t>2.5K</t>
        </is>
      </c>
    </row>
    <row r="13">
      <c r="A13" s="7" t="inlineStr">
        <is>
          <t>vs prev: 0.3K</t>
        </is>
      </c>
      <c r="B13" s="9" t="inlineStr">
        <is>
          <t>-33%</t>
        </is>
      </c>
      <c r="C13" s="7" t="inlineStr">
        <is>
          <t>vs prev: 0.6K</t>
        </is>
      </c>
      <c r="D13" s="9" t="inlineStr">
        <is>
          <t>-33%</t>
        </is>
      </c>
      <c r="E13" s="7" t="inlineStr">
        <is>
          <t>vs prev: 0.4K</t>
        </is>
      </c>
      <c r="F13" s="9" t="inlineStr">
        <is>
          <t>-25%</t>
        </is>
      </c>
      <c r="G13" s="7" t="inlineStr">
        <is>
          <t>vs prev: 1.1K</t>
        </is>
      </c>
      <c r="H13" s="9" t="inlineStr">
        <is>
          <t>-27%</t>
        </is>
      </c>
      <c r="I13" s="7" t="inlineStr">
        <is>
          <t>vs prev: 1.6K</t>
        </is>
      </c>
      <c r="J13" s="8" t="inlineStr">
        <is>
          <t>+19%</t>
        </is>
      </c>
      <c r="K13" s="7" t="inlineStr">
        <is>
          <t>vs prev: 2.8K</t>
        </is>
      </c>
      <c r="L13" s="8" t="inlineStr">
        <is>
          <t>+14%</t>
        </is>
      </c>
      <c r="M13" s="7" t="inlineStr">
        <is>
          <t>vs prev: 1.7K</t>
        </is>
      </c>
      <c r="N13" s="8" t="inlineStr">
        <is>
          <t>+47%</t>
        </is>
      </c>
    </row>
    <row r="15">
      <c r="A15" s="5" t="inlineStr">
        <is>
          <t>P0 Bugs (count)</t>
        </is>
      </c>
      <c r="C15" s="5" t="inlineStr">
        <is>
          <t>P1 Bugs (count)</t>
        </is>
      </c>
      <c r="E15" s="5" t="inlineStr">
        <is>
          <t>P2 Bugs (count)</t>
        </is>
      </c>
      <c r="G15" s="5" t="inlineStr">
        <is>
          <t>Blocking Bugs (count)</t>
        </is>
      </c>
      <c r="I15" s="5" t="inlineStr">
        <is>
          <t>Customer Reported Bugs (count)</t>
        </is>
      </c>
      <c r="K15" s="5" t="inlineStr">
        <is>
          <t>Security Bugs (count)</t>
        </is>
      </c>
      <c r="M15" s="5" t="inlineStr">
        <is>
          <t>Performance Bugs (count)</t>
        </is>
      </c>
    </row>
    <row r="16">
      <c r="A16" s="6" t="inlineStr">
        <is>
          <t>0.5K</t>
        </is>
      </c>
      <c r="C16" s="6" t="inlineStr">
        <is>
          <t>1.3K</t>
        </is>
      </c>
      <c r="E16" s="6" t="inlineStr">
        <is>
          <t>2.8K</t>
        </is>
      </c>
      <c r="G16" s="6" t="inlineStr">
        <is>
          <t>0.7K</t>
        </is>
      </c>
      <c r="I16" s="6" t="inlineStr">
        <is>
          <t>1.1K</t>
        </is>
      </c>
      <c r="K16" s="6" t="inlineStr">
        <is>
          <t>0.3K</t>
        </is>
      </c>
      <c r="M16" s="6" t="inlineStr">
        <is>
          <t>0.5K</t>
        </is>
      </c>
    </row>
    <row r="17">
      <c r="A17" s="7" t="inlineStr">
        <is>
          <t>vs prev: 0.7K</t>
        </is>
      </c>
      <c r="B17" s="9" t="inlineStr">
        <is>
          <t>-29%</t>
        </is>
      </c>
      <c r="C17" s="7" t="inlineStr">
        <is>
          <t>vs prev: 1.1K</t>
        </is>
      </c>
      <c r="D17" s="8" t="inlineStr">
        <is>
          <t>+18%</t>
        </is>
      </c>
      <c r="E17" s="7" t="inlineStr">
        <is>
          <t>vs prev: 2.4K</t>
        </is>
      </c>
      <c r="F17" s="8" t="inlineStr">
        <is>
          <t>+17%</t>
        </is>
      </c>
      <c r="G17" s="7" t="inlineStr">
        <is>
          <t>vs prev: 0.9K</t>
        </is>
      </c>
      <c r="H17" s="9" t="inlineStr">
        <is>
          <t>-22%</t>
        </is>
      </c>
      <c r="I17" s="7" t="inlineStr">
        <is>
          <t>vs prev: 1.4K</t>
        </is>
      </c>
      <c r="J17" s="9" t="inlineStr">
        <is>
          <t>-21%</t>
        </is>
      </c>
      <c r="K17" s="7" t="inlineStr">
        <is>
          <t>vs prev: 0.2K</t>
        </is>
      </c>
      <c r="L17" s="8" t="inlineStr">
        <is>
          <t>+50%</t>
        </is>
      </c>
      <c r="M17" s="7" t="inlineStr">
        <is>
          <t>vs prev: 0.4K</t>
        </is>
      </c>
      <c r="N17" s="8" t="inlineStr">
        <is>
          <t>+25%</t>
        </is>
      </c>
    </row>
    <row r="19">
      <c r="A19" s="5" t="inlineStr">
        <is>
          <t>User Interface Bugs (count)</t>
        </is>
      </c>
      <c r="C19" s="5" t="inlineStr">
        <is>
          <t>Data Integrity Bugs (count)</t>
        </is>
      </c>
    </row>
    <row r="20">
      <c r="A20" s="6" t="inlineStr">
        <is>
          <t>1.8K</t>
        </is>
      </c>
      <c r="C20" s="6" t="inlineStr">
        <is>
          <t>0.4K</t>
        </is>
      </c>
    </row>
    <row r="21">
      <c r="A21" s="7" t="inlineStr">
        <is>
          <t>vs prev: 1.5K</t>
        </is>
      </c>
      <c r="B21" s="8" t="inlineStr">
        <is>
          <t>+20%</t>
        </is>
      </c>
      <c r="C21" s="7" t="inlineStr">
        <is>
          <t>vs prev: 0.3K</t>
        </is>
      </c>
      <c r="D21" s="8" t="inlineStr">
        <is>
          <t>+33%</t>
        </is>
      </c>
    </row>
    <row r="27">
      <c r="A27" t="inlineStr">
        <is>
          <t>Status</t>
        </is>
      </c>
      <c r="B27" t="inlineStr">
        <is>
          <t>Count</t>
        </is>
      </c>
      <c r="E27" t="inlineStr">
        <is>
          <t>Severity</t>
        </is>
      </c>
      <c r="F27" t="inlineStr">
        <is>
          <t>Count</t>
        </is>
      </c>
      <c r="I27" t="inlineStr">
        <is>
          <t>Week</t>
        </is>
      </c>
      <c r="J27" t="inlineStr">
        <is>
          <t>Metric 1</t>
        </is>
      </c>
      <c r="K27" t="inlineStr">
        <is>
          <t>Metric 2</t>
        </is>
      </c>
    </row>
    <row r="28">
      <c r="A28" t="inlineStr">
        <is>
          <t>Verified</t>
        </is>
      </c>
      <c r="B28" t="n">
        <v>980</v>
      </c>
      <c r="E28" t="inlineStr">
        <is>
          <t>Medium</t>
        </is>
      </c>
      <c r="F28" t="n">
        <v>3200</v>
      </c>
      <c r="I28" t="inlineStr">
        <is>
          <t>W1</t>
        </is>
      </c>
      <c r="J28" t="n">
        <v>100</v>
      </c>
      <c r="K28" t="n">
        <v>95</v>
      </c>
    </row>
    <row r="29">
      <c r="A29" t="inlineStr">
        <is>
          <t>Closed</t>
        </is>
      </c>
      <c r="B29" t="n">
        <v>650</v>
      </c>
      <c r="E29" t="inlineStr">
        <is>
          <t>Critical</t>
        </is>
      </c>
      <c r="F29" t="n">
        <v>800</v>
      </c>
      <c r="I29" t="inlineStr">
        <is>
          <t>W2</t>
        </is>
      </c>
      <c r="J29" t="n">
        <v>110</v>
      </c>
      <c r="K29" t="n">
        <v>102</v>
      </c>
    </row>
    <row r="30">
      <c r="A30" t="inlineStr">
        <is>
          <t>In Progress</t>
        </is>
      </c>
      <c r="B30" t="n">
        <v>360</v>
      </c>
      <c r="E30" t="inlineStr">
        <is>
          <t>High</t>
        </is>
      </c>
      <c r="F30" t="n">
        <v>1900</v>
      </c>
      <c r="I30" t="inlineStr">
        <is>
          <t>W3</t>
        </is>
      </c>
      <c r="J30" t="n">
        <v>105</v>
      </c>
      <c r="K30" t="n">
        <v>98</v>
      </c>
    </row>
    <row r="31">
      <c r="A31" t="inlineStr">
        <is>
          <t>Resolved</t>
        </is>
      </c>
      <c r="B31" t="n">
        <v>180</v>
      </c>
      <c r="I31" t="inlineStr">
        <is>
          <t>W4</t>
        </is>
      </c>
      <c r="J31" t="n">
        <v>120</v>
      </c>
      <c r="K31" t="n">
        <v>110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10" t="inlineStr">
        <is>
          <t>Code</t>
        </is>
      </c>
      <c r="B1" s="10" t="inlineStr">
        <is>
          <t>Metric Name</t>
        </is>
      </c>
      <c r="C1" s="10" t="inlineStr">
        <is>
          <t>Value</t>
        </is>
      </c>
      <c r="D1" s="10" t="inlineStr">
        <is>
          <t>Formula (as Text)</t>
        </is>
      </c>
      <c r="E1" s="1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1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1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1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1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1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1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1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1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1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1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1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1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1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1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1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1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1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1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1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1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1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1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1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1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1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1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1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1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1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1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1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1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1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1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1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1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1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1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1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1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1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1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1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1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1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1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1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1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1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1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1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1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1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1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1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1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1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1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1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1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1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1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1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1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1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1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1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1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1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1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1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1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1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1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1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1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1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1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1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1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1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1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1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1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1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1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1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1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1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1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1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1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1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1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1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1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1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1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1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1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1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1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1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1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1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1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1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1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1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1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1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1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1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1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1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1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1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1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1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1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1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1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1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1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1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1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1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1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1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1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1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1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1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1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1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1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1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1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1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1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1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1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1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1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1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1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1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1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1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1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1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1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1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1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1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1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1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1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1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1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1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1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1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1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1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1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1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1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1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1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1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1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1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1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1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1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1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1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1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1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1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1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1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1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1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1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1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1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1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1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1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1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1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1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1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1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1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1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1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1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1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1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1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1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1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1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1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1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1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1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1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1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1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1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1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1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1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1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1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1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1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1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1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1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1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1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1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1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1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1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1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1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1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1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1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1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1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1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1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1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1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1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1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1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1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1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1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1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1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1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1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1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1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1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1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1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1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1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1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1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1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1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1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1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1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1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1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1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1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1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1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1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1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1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1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1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1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1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1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1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1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1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1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1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1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1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1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1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BugID</t>
        </is>
      </c>
      <c r="B1" s="12" t="inlineStr">
        <is>
          <t>Title</t>
        </is>
      </c>
      <c r="C1" s="12" t="inlineStr">
        <is>
          <t>Description</t>
        </is>
      </c>
      <c r="D1" s="12" t="inlineStr">
        <is>
          <t>Severity</t>
        </is>
      </c>
      <c r="E1" s="12" t="inlineStr">
        <is>
          <t>Priority</t>
        </is>
      </c>
      <c r="F1" s="12" t="inlineStr">
        <is>
          <t>State</t>
        </is>
      </c>
      <c r="G1" s="12" t="inlineStr">
        <is>
          <t>Category</t>
        </is>
      </c>
      <c r="H1" s="12" t="inlineStr">
        <is>
          <t>IsRegression</t>
        </is>
      </c>
      <c r="I1" s="12" t="inlineStr">
        <is>
          <t>is_escaped</t>
        </is>
      </c>
      <c r="J1" s="12" t="inlineStr">
        <is>
          <t>ProjectID</t>
        </is>
      </c>
      <c r="K1" s="12" t="inlineStr">
        <is>
          <t>ProjectName</t>
        </is>
      </c>
      <c r="L1" s="12" t="inlineStr">
        <is>
          <t>TeamName</t>
        </is>
      </c>
      <c r="M1" s="12" t="inlineStr">
        <is>
          <t>TeamID</t>
        </is>
      </c>
      <c r="N1" s="12" t="inlineStr">
        <is>
          <t>ModuleID</t>
        </is>
      </c>
      <c r="O1" s="12" t="inlineStr">
        <is>
          <t>ModuleName</t>
        </is>
      </c>
      <c r="P1" s="12" t="inlineStr">
        <is>
          <t>SprintName</t>
        </is>
      </c>
      <c r="Q1" s="12" t="inlineStr">
        <is>
          <t>SprintID</t>
        </is>
      </c>
      <c r="R1" s="12" t="inlineStr">
        <is>
          <t>Tags</t>
        </is>
      </c>
      <c r="S1" s="12" t="inlineStr">
        <is>
          <t>ExternalTicketID</t>
        </is>
      </c>
      <c r="T1" s="12" t="inlineStr">
        <is>
          <t>Comments</t>
        </is>
      </c>
      <c r="U1" s="12" t="inlineStr">
        <is>
          <t>ReporterName</t>
        </is>
      </c>
      <c r="V1" s="12" t="inlineStr">
        <is>
          <t>ReporterID</t>
        </is>
      </c>
      <c r="W1" s="12" t="inlineStr">
        <is>
          <t>AssigneeName</t>
        </is>
      </c>
      <c r="X1" s="12" t="inlineStr">
        <is>
          <t>AssigneeID</t>
        </is>
      </c>
      <c r="Y1" s="12" t="inlineStr">
        <is>
          <t>VerifierName</t>
        </is>
      </c>
      <c r="Z1" s="12" t="inlineStr">
        <is>
          <t>VerifierID</t>
        </is>
      </c>
      <c r="AA1" s="12" t="inlineStr">
        <is>
          <t>ResolverName</t>
        </is>
      </c>
      <c r="AB1" s="12" t="inlineStr">
        <is>
          <t>ResolverID</t>
        </is>
      </c>
      <c r="AC1" s="12" t="inlineStr">
        <is>
          <t>CreatedDate</t>
        </is>
      </c>
      <c r="AD1" s="12" t="inlineStr">
        <is>
          <t>TriageDate</t>
        </is>
      </c>
      <c r="AE1" s="12" t="inlineStr">
        <is>
          <t>AssignedDate</t>
        </is>
      </c>
      <c r="AF1" s="12" t="inlineStr">
        <is>
          <t>StartedDate</t>
        </is>
      </c>
      <c r="AG1" s="12" t="inlineStr">
        <is>
          <t>InProgressDate</t>
        </is>
      </c>
      <c r="AH1" s="12" t="inlineStr">
        <is>
          <t>ReadyForRetestDate</t>
        </is>
      </c>
      <c r="AI1" s="12" t="inlineStr">
        <is>
          <t>ResolvedDate</t>
        </is>
      </c>
      <c r="AJ1" s="12" t="inlineStr">
        <is>
          <t>VerifiedDate</t>
        </is>
      </c>
      <c r="AK1" s="12" t="inlineStr">
        <is>
          <t>DoneDate</t>
        </is>
      </c>
      <c r="AL1" s="12" t="inlineStr">
        <is>
          <t>ClosedDate</t>
        </is>
      </c>
      <c r="AM1" s="12" t="inlineStr">
        <is>
          <t>LastModifiedDate</t>
        </is>
      </c>
      <c r="AN1" s="12" t="inlineStr">
        <is>
          <t>DueDate</t>
        </is>
      </c>
      <c r="AO1" s="12" t="inlineStr">
        <is>
          <t>ReopenCount</t>
        </is>
      </c>
      <c r="AP1" s="12" t="inlineStr">
        <is>
          <t>FirstReopenDate</t>
        </is>
      </c>
      <c r="AQ1" s="12" t="inlineStr">
        <is>
          <t>LastReopenDate</t>
        </is>
      </c>
      <c r="AR1" s="12" t="inlineStr">
        <is>
          <t>PreviousState</t>
        </is>
      </c>
      <c r="AS1" s="12" t="inlineStr">
        <is>
          <t>StateTransitionCount</t>
        </is>
      </c>
      <c r="AT1" s="12" t="inlineStr">
        <is>
          <t>TriageDurationHrs</t>
        </is>
      </c>
      <c r="AU1" s="12" t="inlineStr">
        <is>
          <t>ActiveDurationHrs</t>
        </is>
      </c>
      <c r="AV1" s="12" t="inlineStr">
        <is>
          <t>InProgressDurationHrs</t>
        </is>
      </c>
      <c r="AW1" s="12" t="inlineStr">
        <is>
          <t>ReadyForRetestDurationHrs</t>
        </is>
      </c>
      <c r="AX1" s="12" t="inlineStr">
        <is>
          <t>StateHistory</t>
        </is>
      </c>
      <c r="AY1" s="12" t="inlineStr">
        <is>
          <t>AssigneeChangeCount</t>
        </is>
      </c>
      <c r="AZ1" s="12" t="inlineStr">
        <is>
          <t>StateChangeCount</t>
        </is>
      </c>
      <c r="BA1" s="12" t="inlineStr">
        <is>
          <t>FixAttempts</t>
        </is>
      </c>
      <c r="BB1" s="12" t="inlineStr">
        <is>
          <t>AnalysisEffortHrs</t>
        </is>
      </c>
      <c r="BC1" s="12" t="inlineStr">
        <is>
          <t>DevEffortHrs</t>
        </is>
      </c>
      <c r="BD1" s="12" t="inlineStr">
        <is>
          <t>FixEffortHrs</t>
        </is>
      </c>
      <c r="BE1" s="12" t="inlineStr">
        <is>
          <t>TestEffortHrs</t>
        </is>
      </c>
      <c r="BF1" s="12" t="inlineStr">
        <is>
          <t>ReopenEffortHrs</t>
        </is>
      </c>
      <c r="BG1" s="12" t="inlineStr">
        <is>
          <t>TotalEffortHrs</t>
        </is>
      </c>
      <c r="BH1" s="12" t="inlineStr">
        <is>
          <t>EstimatedEffortHrs</t>
        </is>
      </c>
      <c r="BI1" s="12" t="inlineStr">
        <is>
          <t>LeadTimeHrs</t>
        </is>
      </c>
      <c r="BJ1" s="12" t="inlineStr">
        <is>
          <t>CycleTimeHrs</t>
        </is>
      </c>
      <c r="BK1" s="12" t="inlineStr">
        <is>
          <t>ResponseTimeHrs</t>
        </is>
      </c>
      <c r="BL1" s="12" t="inlineStr">
        <is>
          <t>WaitTimeHrs</t>
        </is>
      </c>
      <c r="BM1" s="12" t="inlineStr">
        <is>
          <t>ActiveWorkTimeHrs</t>
        </is>
      </c>
      <c r="BN1" s="12" t="inlineStr">
        <is>
          <t>AgeDays</t>
        </is>
      </c>
      <c r="BO1" s="12" t="inlineStr">
        <is>
          <t>RootCause</t>
        </is>
      </c>
      <c r="BP1" s="12" t="inlineStr">
        <is>
          <t>Resolution</t>
        </is>
      </c>
      <c r="BQ1" s="12" t="inlineStr">
        <is>
          <t>CloseReason</t>
        </is>
      </c>
      <c r="BR1" s="12" t="inlineStr">
        <is>
          <t>TestCaseID</t>
        </is>
      </c>
      <c r="BS1" s="12" t="inlineStr">
        <is>
          <t>IsDuplicate</t>
        </is>
      </c>
      <c r="BT1" s="12" t="inlineStr">
        <is>
          <t>DuplicateOfBugID</t>
        </is>
      </c>
      <c r="BU1" s="12" t="inlineStr">
        <is>
          <t>RetestPassCount</t>
        </is>
      </c>
      <c r="BV1" s="1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S2" t="n">
        <v/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L2" t="n">
        <v/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P2" t="n">
        <v/>
      </c>
      <c r="AQ2" t="n">
        <v/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I2" t="n">
        <v/>
      </c>
      <c r="BJ2" t="n">
        <v/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Q2" t="n">
        <v/>
      </c>
      <c r="BR2" t="n">
        <v/>
      </c>
      <c r="BS2" t="b">
        <v>0</v>
      </c>
      <c r="BT2" t="n">
        <v/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Y3" t="n">
        <v/>
      </c>
      <c r="Z3" t="n">
        <v/>
      </c>
      <c r="AA3" t="n">
        <v/>
      </c>
      <c r="AB3" t="n">
        <v/>
      </c>
      <c r="AC3" t="inlineStr">
        <is>
          <t>2024-01-27</t>
        </is>
      </c>
      <c r="AD3" t="inlineStr">
        <is>
          <t>2024-01-28 20:00:00</t>
        </is>
      </c>
      <c r="AE3" t="n">
        <v/>
      </c>
      <c r="AF3" t="n">
        <v/>
      </c>
      <c r="AG3" t="n">
        <v/>
      </c>
      <c r="AH3" t="n">
        <v/>
      </c>
      <c r="AI3" t="n">
        <v/>
      </c>
      <c r="AJ3" t="n">
        <v/>
      </c>
      <c r="AK3" t="n">
        <v/>
      </c>
      <c r="AL3" t="n">
        <v/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P3" t="n">
        <v/>
      </c>
      <c r="AQ3" t="n">
        <v/>
      </c>
      <c r="AR3" t="inlineStr">
        <is>
          <t>Open</t>
        </is>
      </c>
      <c r="AS3" t="n">
        <v>4</v>
      </c>
      <c r="AT3" t="n">
        <v/>
      </c>
      <c r="AU3" t="n">
        <v/>
      </c>
      <c r="AV3" t="n">
        <v/>
      </c>
      <c r="AW3" t="n">
        <v/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I3" t="n">
        <v/>
      </c>
      <c r="BJ3" t="n">
        <v/>
      </c>
      <c r="BK3" t="n">
        <v/>
      </c>
      <c r="BL3" t="n">
        <v>0</v>
      </c>
      <c r="BM3" t="n">
        <v>0</v>
      </c>
      <c r="BN3" t="n">
        <v>698.7707912664237</v>
      </c>
      <c r="BO3" t="n">
        <v/>
      </c>
      <c r="BP3" t="n">
        <v/>
      </c>
      <c r="BQ3" t="n">
        <v/>
      </c>
      <c r="BR3" t="inlineStr">
        <is>
          <t>TC-5506</t>
        </is>
      </c>
      <c r="BS3" t="b">
        <v>0</v>
      </c>
      <c r="BT3" t="n">
        <v/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Y4" t="n">
        <v/>
      </c>
      <c r="Z4" t="n">
        <v/>
      </c>
      <c r="AA4" t="n">
        <v/>
      </c>
      <c r="AB4" t="n">
        <v/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F4" t="n">
        <v/>
      </c>
      <c r="AG4" t="n">
        <v/>
      </c>
      <c r="AH4" t="n">
        <v/>
      </c>
      <c r="AI4" t="n">
        <v/>
      </c>
      <c r="AJ4" t="n">
        <v/>
      </c>
      <c r="AK4" t="n">
        <v/>
      </c>
      <c r="AL4" t="n">
        <v/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P4" t="n">
        <v/>
      </c>
      <c r="AQ4" t="n">
        <v/>
      </c>
      <c r="AR4" t="inlineStr">
        <is>
          <t>Triage</t>
        </is>
      </c>
      <c r="AS4" t="n">
        <v>2</v>
      </c>
      <c r="AT4" t="n">
        <v>19</v>
      </c>
      <c r="AU4" t="n">
        <v/>
      </c>
      <c r="AV4" t="n">
        <v/>
      </c>
      <c r="AW4" t="n">
        <v/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I4" t="n">
        <v/>
      </c>
      <c r="BJ4" t="n">
        <v/>
      </c>
      <c r="BK4" t="n">
        <v>25</v>
      </c>
      <c r="BL4" t="n">
        <v>19</v>
      </c>
      <c r="BM4" t="n">
        <v>0</v>
      </c>
      <c r="BN4" t="n">
        <v>585.7707912665973</v>
      </c>
      <c r="BO4" t="n">
        <v/>
      </c>
      <c r="BP4" t="n">
        <v/>
      </c>
      <c r="BQ4" t="n">
        <v/>
      </c>
      <c r="BR4" t="inlineStr">
        <is>
          <t>TC-3286</t>
        </is>
      </c>
      <c r="BS4" t="b">
        <v>0</v>
      </c>
      <c r="BT4" t="n">
        <v/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R5" t="n">
        <v/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S6" t="n">
        <v/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L6" t="n">
        <v/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P6" t="n">
        <v/>
      </c>
      <c r="AQ6" t="n">
        <v/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I6" t="n">
        <v/>
      </c>
      <c r="BJ6" t="n">
        <v/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Q6" t="n">
        <v/>
      </c>
      <c r="BR6" t="n">
        <v/>
      </c>
      <c r="BS6" t="b">
        <v>0</v>
      </c>
      <c r="BT6" t="n">
        <v/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S7" t="n">
        <v/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Y7" t="n">
        <v/>
      </c>
      <c r="Z7" t="n">
        <v/>
      </c>
      <c r="AA7" t="n">
        <v/>
      </c>
      <c r="AB7" t="n">
        <v/>
      </c>
      <c r="AC7" t="inlineStr">
        <is>
          <t>2024-02-09</t>
        </is>
      </c>
      <c r="AD7" t="n">
        <v/>
      </c>
      <c r="AE7" t="n">
        <v/>
      </c>
      <c r="AF7" t="n">
        <v/>
      </c>
      <c r="AG7" t="n">
        <v/>
      </c>
      <c r="AH7" t="n">
        <v/>
      </c>
      <c r="AI7" t="n">
        <v/>
      </c>
      <c r="AJ7" t="n">
        <v/>
      </c>
      <c r="AK7" t="n">
        <v/>
      </c>
      <c r="AL7" t="n">
        <v/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P7" t="n">
        <v/>
      </c>
      <c r="AQ7" t="n">
        <v/>
      </c>
      <c r="AR7" t="n">
        <v/>
      </c>
      <c r="AS7" t="n">
        <v>3</v>
      </c>
      <c r="AT7" t="n">
        <v/>
      </c>
      <c r="AU7" t="n">
        <v/>
      </c>
      <c r="AV7" t="n">
        <v/>
      </c>
      <c r="AW7" t="n">
        <v/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I7" t="n">
        <v/>
      </c>
      <c r="BJ7" t="n">
        <v/>
      </c>
      <c r="BK7" t="n">
        <v/>
      </c>
      <c r="BL7" t="n">
        <v>0</v>
      </c>
      <c r="BM7" t="n">
        <v>0</v>
      </c>
      <c r="BN7" t="n">
        <v>685.7707912669907</v>
      </c>
      <c r="BO7" t="n">
        <v/>
      </c>
      <c r="BP7" t="n">
        <v/>
      </c>
      <c r="BQ7" t="n">
        <v/>
      </c>
      <c r="BR7" t="n">
        <v/>
      </c>
      <c r="BS7" t="b">
        <v>0</v>
      </c>
      <c r="BT7" t="n">
        <v/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S8" t="n">
        <v/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Y8" t="n">
        <v/>
      </c>
      <c r="Z8" t="n">
        <v/>
      </c>
      <c r="AA8" t="n">
        <v/>
      </c>
      <c r="AB8" t="n">
        <v/>
      </c>
      <c r="AC8" t="inlineStr">
        <is>
          <t>2024-03-27</t>
        </is>
      </c>
      <c r="AD8" t="inlineStr">
        <is>
          <t>2024-03-27 07:00:00</t>
        </is>
      </c>
      <c r="AE8" t="n">
        <v/>
      </c>
      <c r="AF8" t="n">
        <v/>
      </c>
      <c r="AG8" t="n">
        <v/>
      </c>
      <c r="AH8" t="n">
        <v/>
      </c>
      <c r="AI8" t="n">
        <v/>
      </c>
      <c r="AJ8" t="n">
        <v/>
      </c>
      <c r="AK8" t="n">
        <v/>
      </c>
      <c r="AL8" t="n">
        <v/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P8" t="n">
        <v/>
      </c>
      <c r="AQ8" t="n">
        <v/>
      </c>
      <c r="AR8" t="inlineStr">
        <is>
          <t>Open</t>
        </is>
      </c>
      <c r="AS8" t="n">
        <v>1</v>
      </c>
      <c r="AT8" t="n">
        <v/>
      </c>
      <c r="AU8" t="n">
        <v/>
      </c>
      <c r="AV8" t="n">
        <v/>
      </c>
      <c r="AW8" t="n">
        <v/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I8" t="n">
        <v/>
      </c>
      <c r="BJ8" t="n">
        <v/>
      </c>
      <c r="BK8" t="n">
        <v/>
      </c>
      <c r="BL8" t="n">
        <v>0</v>
      </c>
      <c r="BM8" t="n">
        <v>0</v>
      </c>
      <c r="BN8" t="n">
        <v>638.7707912671181</v>
      </c>
      <c r="BO8" t="n">
        <v/>
      </c>
      <c r="BP8" t="n">
        <v/>
      </c>
      <c r="BQ8" t="n">
        <v/>
      </c>
      <c r="BR8" t="inlineStr">
        <is>
          <t>TC-7912</t>
        </is>
      </c>
      <c r="BS8" t="b">
        <v>0</v>
      </c>
      <c r="BT8" t="n">
        <v/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L9" t="n">
        <v/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P9" t="n">
        <v/>
      </c>
      <c r="AQ9" t="n">
        <v/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I9" t="n">
        <v/>
      </c>
      <c r="BJ9" t="n">
        <v/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Q9" t="n">
        <v/>
      </c>
      <c r="BR9" t="inlineStr">
        <is>
          <t>TC-2535</t>
        </is>
      </c>
      <c r="BS9" t="b">
        <v>0</v>
      </c>
      <c r="BT9" t="n">
        <v/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S10" t="n">
        <v/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Y10" t="n">
        <v/>
      </c>
      <c r="Z10" t="n">
        <v/>
      </c>
      <c r="AA10" t="n">
        <v/>
      </c>
      <c r="AB10" t="n">
        <v/>
      </c>
      <c r="AC10" t="inlineStr">
        <is>
          <t>2024-04-27</t>
        </is>
      </c>
      <c r="AD10" t="n">
        <v/>
      </c>
      <c r="AE10" t="n">
        <v/>
      </c>
      <c r="AF10" t="n">
        <v/>
      </c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P10" t="n">
        <v/>
      </c>
      <c r="AQ10" t="n">
        <v/>
      </c>
      <c r="AR10" t="n">
        <v/>
      </c>
      <c r="AS10" t="n">
        <v>2</v>
      </c>
      <c r="AT10" t="n">
        <v/>
      </c>
      <c r="AU10" t="n">
        <v/>
      </c>
      <c r="AV10" t="n">
        <v/>
      </c>
      <c r="AW10" t="n">
        <v/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I10" t="n">
        <v/>
      </c>
      <c r="BJ10" t="n">
        <v/>
      </c>
      <c r="BK10" t="n">
        <v/>
      </c>
      <c r="BL10" t="n">
        <v>0</v>
      </c>
      <c r="BM10" t="n">
        <v>0</v>
      </c>
      <c r="BN10" t="n">
        <v>607.7707912673958</v>
      </c>
      <c r="BO10" t="n">
        <v/>
      </c>
      <c r="BP10" t="n">
        <v/>
      </c>
      <c r="BQ10" t="n">
        <v/>
      </c>
      <c r="BR10" t="inlineStr">
        <is>
          <t>TC-9279</t>
        </is>
      </c>
      <c r="BS10" t="b">
        <v>0</v>
      </c>
      <c r="BT10" t="n">
        <v/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Y11" t="n">
        <v/>
      </c>
      <c r="Z11" t="n">
        <v/>
      </c>
      <c r="AA11" t="n">
        <v/>
      </c>
      <c r="AB11" t="n">
        <v/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F11" t="n">
        <v/>
      </c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P11" t="n">
        <v/>
      </c>
      <c r="AQ11" t="n">
        <v/>
      </c>
      <c r="AR11" t="inlineStr">
        <is>
          <t>Triage</t>
        </is>
      </c>
      <c r="AS11" t="n">
        <v>3</v>
      </c>
      <c r="AT11" t="n">
        <v>3</v>
      </c>
      <c r="AU11" t="n">
        <v/>
      </c>
      <c r="AV11" t="n">
        <v/>
      </c>
      <c r="AW11" t="n">
        <v/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I11" t="n">
        <v/>
      </c>
      <c r="BJ11" t="n">
        <v/>
      </c>
      <c r="BK11" t="n">
        <v>28</v>
      </c>
      <c r="BL11" t="n">
        <v>3</v>
      </c>
      <c r="BM11" t="n">
        <v>0</v>
      </c>
      <c r="BN11" t="n">
        <v>693.7707912675347</v>
      </c>
      <c r="BO11" t="n">
        <v/>
      </c>
      <c r="BP11" t="n">
        <v/>
      </c>
      <c r="BQ11" t="n">
        <v/>
      </c>
      <c r="BR11" t="n">
        <v/>
      </c>
      <c r="BS11" t="b">
        <v>0</v>
      </c>
      <c r="BT11" t="n">
        <v/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J12" t="n">
        <v/>
      </c>
      <c r="AK12" t="n">
        <v/>
      </c>
      <c r="AL12" t="n">
        <v/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P12" t="n">
        <v/>
      </c>
      <c r="AQ12" t="n">
        <v/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I12" t="n">
        <v/>
      </c>
      <c r="BJ12" t="n">
        <v/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Q12" t="n">
        <v/>
      </c>
      <c r="BR12" t="inlineStr">
        <is>
          <t>TC-9928</t>
        </is>
      </c>
      <c r="BS12" t="b">
        <v>0</v>
      </c>
      <c r="BT12" t="n">
        <v/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S13" t="n">
        <v/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L13" t="n">
        <v/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P13" t="n">
        <v/>
      </c>
      <c r="AQ13" t="n">
        <v/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I13" t="n">
        <v/>
      </c>
      <c r="BJ13" t="n">
        <v/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Q13" t="n">
        <v/>
      </c>
      <c r="BR13" t="inlineStr">
        <is>
          <t>TC-8359</t>
        </is>
      </c>
      <c r="BS13" t="b">
        <v>0</v>
      </c>
      <c r="BT13" t="n">
        <v/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L14" t="n">
        <v/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P14" t="n">
        <v/>
      </c>
      <c r="AQ14" t="n">
        <v/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I14" t="n">
        <v/>
      </c>
      <c r="BJ14" t="n">
        <v/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Q14" t="n">
        <v/>
      </c>
      <c r="BR14" t="inlineStr">
        <is>
          <t>TC-1106</t>
        </is>
      </c>
      <c r="BS14" t="b">
        <v>0</v>
      </c>
      <c r="BT14" t="n">
        <v/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Y15" t="n">
        <v/>
      </c>
      <c r="Z15" t="n">
        <v/>
      </c>
      <c r="AA15" t="n">
        <v/>
      </c>
      <c r="AB15" t="n">
        <v/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F15" t="n">
        <v/>
      </c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P15" t="n">
        <v/>
      </c>
      <c r="AQ15" t="n">
        <v/>
      </c>
      <c r="AR15" t="inlineStr">
        <is>
          <t>Triage</t>
        </is>
      </c>
      <c r="AS15" t="n">
        <v>4</v>
      </c>
      <c r="AT15" t="n">
        <v>22</v>
      </c>
      <c r="AU15" t="n">
        <v/>
      </c>
      <c r="AV15" t="n">
        <v/>
      </c>
      <c r="AW15" t="n">
        <v/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I15" t="n">
        <v/>
      </c>
      <c r="BJ15" t="n">
        <v/>
      </c>
      <c r="BK15" t="n">
        <v>36</v>
      </c>
      <c r="BL15" t="n">
        <v>22</v>
      </c>
      <c r="BM15" t="n">
        <v>0</v>
      </c>
      <c r="BN15" t="n">
        <v>634.7707912679861</v>
      </c>
      <c r="BO15" t="n">
        <v/>
      </c>
      <c r="BP15" t="n">
        <v/>
      </c>
      <c r="BQ15" t="n">
        <v/>
      </c>
      <c r="BR15" t="n">
        <v/>
      </c>
      <c r="BS15" t="b">
        <v>0</v>
      </c>
      <c r="BT15" t="n">
        <v/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S16" t="n">
        <v/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T16" t="n">
        <v/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S17" t="n">
        <v/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Y17" t="n">
        <v/>
      </c>
      <c r="Z17" t="n">
        <v/>
      </c>
      <c r="AA17" t="n">
        <v/>
      </c>
      <c r="AB17" t="n">
        <v/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H17" t="n">
        <v/>
      </c>
      <c r="AI17" t="n">
        <v/>
      </c>
      <c r="AJ17" t="n">
        <v/>
      </c>
      <c r="AK17" t="n">
        <v/>
      </c>
      <c r="AL17" t="n">
        <v/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P17" t="n">
        <v/>
      </c>
      <c r="AQ17" t="n">
        <v/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V17" t="n">
        <v/>
      </c>
      <c r="AW17" t="n">
        <v/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I17" t="n">
        <v/>
      </c>
      <c r="BJ17" t="n">
        <v/>
      </c>
      <c r="BK17" t="n">
        <v>44</v>
      </c>
      <c r="BL17" t="n">
        <v>51</v>
      </c>
      <c r="BM17" t="n">
        <v>0</v>
      </c>
      <c r="BN17" t="n">
        <v>548.7707912682986</v>
      </c>
      <c r="BO17" t="n">
        <v/>
      </c>
      <c r="BP17" t="n">
        <v/>
      </c>
      <c r="BQ17" t="n">
        <v/>
      </c>
      <c r="BR17" t="inlineStr">
        <is>
          <t>TC-3547</t>
        </is>
      </c>
      <c r="BS17" t="b">
        <v>0</v>
      </c>
      <c r="BT17" t="n">
        <v/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Y18" t="n">
        <v/>
      </c>
      <c r="Z18" t="n">
        <v/>
      </c>
      <c r="AA18" t="n">
        <v/>
      </c>
      <c r="AB18" t="n">
        <v/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H18" t="n">
        <v/>
      </c>
      <c r="AI18" t="n">
        <v/>
      </c>
      <c r="AJ18" t="n">
        <v/>
      </c>
      <c r="AK18" t="n">
        <v/>
      </c>
      <c r="AL18" t="n">
        <v/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P18" t="n">
        <v/>
      </c>
      <c r="AQ18" t="n">
        <v/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V18" t="n">
        <v/>
      </c>
      <c r="AW18" t="n">
        <v/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I18" t="n">
        <v/>
      </c>
      <c r="BJ18" t="n">
        <v/>
      </c>
      <c r="BK18" t="n">
        <v>17</v>
      </c>
      <c r="BL18" t="n">
        <v>44</v>
      </c>
      <c r="BM18" t="n">
        <v>0</v>
      </c>
      <c r="BN18" t="n">
        <v>710.7707912684027</v>
      </c>
      <c r="BO18" t="n">
        <v/>
      </c>
      <c r="BP18" t="n">
        <v/>
      </c>
      <c r="BQ18" t="n">
        <v/>
      </c>
      <c r="BR18" t="inlineStr">
        <is>
          <t>TC-6514</t>
        </is>
      </c>
      <c r="BS18" t="b">
        <v>0</v>
      </c>
      <c r="BT18" t="n">
        <v/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S19" t="n">
        <v/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T19" t="n">
        <v/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S20" t="n">
        <v/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L20" t="n">
        <v/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P20" t="n">
        <v/>
      </c>
      <c r="AQ20" t="n">
        <v/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I20" t="n">
        <v/>
      </c>
      <c r="BJ20" t="n">
        <v/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Q20" t="n">
        <v/>
      </c>
      <c r="BR20" t="inlineStr">
        <is>
          <t>TC-6635</t>
        </is>
      </c>
      <c r="BS20" t="b">
        <v>0</v>
      </c>
      <c r="BT20" t="n">
        <v/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R21" t="n">
        <v/>
      </c>
      <c r="BS21" t="b">
        <v>0</v>
      </c>
      <c r="BT21" t="n">
        <v/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S22" t="n">
        <v/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L22" t="n">
        <v/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P22" t="n">
        <v/>
      </c>
      <c r="AQ22" t="n">
        <v/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I22" t="n">
        <v/>
      </c>
      <c r="BJ22" t="n">
        <v/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Q22" t="n">
        <v/>
      </c>
      <c r="BR22" t="n">
        <v/>
      </c>
      <c r="BS22" t="b">
        <v>0</v>
      </c>
      <c r="BT22" t="n">
        <v/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S23" t="n">
        <v/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L23" t="n">
        <v/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P23" t="n">
        <v/>
      </c>
      <c r="AQ23" t="n">
        <v/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I23" t="n">
        <v/>
      </c>
      <c r="BJ23" t="n">
        <v/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Q23" t="n">
        <v/>
      </c>
      <c r="BR23" t="n">
        <v/>
      </c>
      <c r="BS23" t="b">
        <v>0</v>
      </c>
      <c r="BT23" t="n">
        <v/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S24" t="n">
        <v/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Y24" t="n">
        <v/>
      </c>
      <c r="Z24" t="n">
        <v/>
      </c>
      <c r="AA24" t="n">
        <v/>
      </c>
      <c r="AB24" t="n">
        <v/>
      </c>
      <c r="AC24" t="inlineStr">
        <is>
          <t>2024-06-13</t>
        </is>
      </c>
      <c r="AD24" t="inlineStr">
        <is>
          <t>2024-06-13 22:00:00</t>
        </is>
      </c>
      <c r="AE24" t="n">
        <v/>
      </c>
      <c r="AF24" t="n">
        <v/>
      </c>
      <c r="AG24" t="n">
        <v/>
      </c>
      <c r="AH24" t="n">
        <v/>
      </c>
      <c r="AI24" t="n">
        <v/>
      </c>
      <c r="AJ24" t="n">
        <v/>
      </c>
      <c r="AK24" t="n">
        <v/>
      </c>
      <c r="AL24" t="n">
        <v/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P24" t="n">
        <v/>
      </c>
      <c r="AQ24" t="n">
        <v/>
      </c>
      <c r="AR24" t="inlineStr">
        <is>
          <t>Open</t>
        </is>
      </c>
      <c r="AS24" t="n">
        <v>2</v>
      </c>
      <c r="AT24" t="n">
        <v/>
      </c>
      <c r="AU24" t="n">
        <v/>
      </c>
      <c r="AV24" t="n">
        <v/>
      </c>
      <c r="AW24" t="n">
        <v/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I24" t="n">
        <v/>
      </c>
      <c r="BJ24" t="n">
        <v/>
      </c>
      <c r="BK24" t="n">
        <v/>
      </c>
      <c r="BL24" t="n">
        <v>0</v>
      </c>
      <c r="BM24" t="n">
        <v>0</v>
      </c>
      <c r="BN24" t="n">
        <v>560.770791269074</v>
      </c>
      <c r="BO24" t="n">
        <v/>
      </c>
      <c r="BP24" t="n">
        <v/>
      </c>
      <c r="BQ24" t="n">
        <v/>
      </c>
      <c r="BR24" t="inlineStr">
        <is>
          <t>TC-7201</t>
        </is>
      </c>
      <c r="BS24" t="b">
        <v>0</v>
      </c>
      <c r="BT24" t="n">
        <v/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Y25" t="n">
        <v/>
      </c>
      <c r="Z25" t="n">
        <v/>
      </c>
      <c r="AA25" t="n">
        <v/>
      </c>
      <c r="AB25" t="n">
        <v/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H25" t="n">
        <v/>
      </c>
      <c r="AI25" t="n">
        <v/>
      </c>
      <c r="AJ25" t="n">
        <v/>
      </c>
      <c r="AK25" t="n">
        <v/>
      </c>
      <c r="AL25" t="n">
        <v/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P25" t="n">
        <v/>
      </c>
      <c r="AQ25" t="n">
        <v/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V25" t="n">
        <v/>
      </c>
      <c r="AW25" t="n">
        <v/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I25" t="n">
        <v/>
      </c>
      <c r="BJ25" t="n">
        <v/>
      </c>
      <c r="BK25" t="n">
        <v>34</v>
      </c>
      <c r="BL25" t="n">
        <v>66</v>
      </c>
      <c r="BM25" t="n">
        <v>0</v>
      </c>
      <c r="BN25" t="n">
        <v>649.7707912691783</v>
      </c>
      <c r="BO25" t="n">
        <v/>
      </c>
      <c r="BP25" t="n">
        <v/>
      </c>
      <c r="BQ25" t="n">
        <v/>
      </c>
      <c r="BR25" t="inlineStr">
        <is>
          <t>TC-5803</t>
        </is>
      </c>
      <c r="BS25" t="b">
        <v>0</v>
      </c>
      <c r="BT25" t="n">
        <v/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S26" t="n">
        <v/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Y26" t="n">
        <v/>
      </c>
      <c r="Z26" t="n">
        <v/>
      </c>
      <c r="AA26" t="n">
        <v/>
      </c>
      <c r="AB26" t="n">
        <v/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H26" t="n">
        <v/>
      </c>
      <c r="AI26" t="n">
        <v/>
      </c>
      <c r="AJ26" t="n">
        <v/>
      </c>
      <c r="AK26" t="n">
        <v/>
      </c>
      <c r="AL26" t="n">
        <v/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P26" t="n">
        <v/>
      </c>
      <c r="AQ26" t="n">
        <v/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V26" t="n">
        <v/>
      </c>
      <c r="AW26" t="n">
        <v/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I26" t="n">
        <v/>
      </c>
      <c r="BJ26" t="n">
        <v/>
      </c>
      <c r="BK26" t="n">
        <v>39</v>
      </c>
      <c r="BL26" t="n">
        <v>72</v>
      </c>
      <c r="BM26" t="n">
        <v>0</v>
      </c>
      <c r="BN26" t="n">
        <v>657.7707912692824</v>
      </c>
      <c r="BO26" t="n">
        <v/>
      </c>
      <c r="BP26" t="n">
        <v/>
      </c>
      <c r="BQ26" t="n">
        <v/>
      </c>
      <c r="BR26" t="n">
        <v/>
      </c>
      <c r="BS26" t="b">
        <v>0</v>
      </c>
      <c r="BT26" t="n">
        <v/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S27" t="n">
        <v/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Y27" t="n">
        <v/>
      </c>
      <c r="Z27" t="n">
        <v/>
      </c>
      <c r="AA27" t="n">
        <v/>
      </c>
      <c r="AB27" t="n">
        <v/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H27" t="n">
        <v/>
      </c>
      <c r="AI27" t="n">
        <v/>
      </c>
      <c r="AJ27" t="n">
        <v/>
      </c>
      <c r="AK27" t="n">
        <v/>
      </c>
      <c r="AL27" t="n">
        <v/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P27" t="n">
        <v/>
      </c>
      <c r="AQ27" t="n">
        <v/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V27" t="n">
        <v/>
      </c>
      <c r="AW27" t="n">
        <v/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I27" t="n">
        <v/>
      </c>
      <c r="BJ27" t="n">
        <v/>
      </c>
      <c r="BK27" t="n">
        <v>41</v>
      </c>
      <c r="BL27" t="n">
        <v>87</v>
      </c>
      <c r="BM27" t="n">
        <v>0</v>
      </c>
      <c r="BN27" t="n">
        <v>564.7707912693982</v>
      </c>
      <c r="BO27" t="n">
        <v/>
      </c>
      <c r="BP27" t="n">
        <v/>
      </c>
      <c r="BQ27" t="n">
        <v/>
      </c>
      <c r="BR27" t="n">
        <v/>
      </c>
      <c r="BS27" t="b">
        <v>0</v>
      </c>
      <c r="BT27" t="n">
        <v/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P28" t="n">
        <v/>
      </c>
      <c r="AQ28" t="n">
        <v/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R28" t="n">
        <v/>
      </c>
      <c r="BS28" t="b">
        <v>0</v>
      </c>
      <c r="BT28" t="n">
        <v/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Y29" t="n">
        <v/>
      </c>
      <c r="Z29" t="n">
        <v/>
      </c>
      <c r="AA29" t="n">
        <v/>
      </c>
      <c r="AB29" t="n">
        <v/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I29" t="n">
        <v/>
      </c>
      <c r="AJ29" t="n">
        <v/>
      </c>
      <c r="AK29" t="n">
        <v/>
      </c>
      <c r="AL29" t="n">
        <v/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P29" t="n">
        <v/>
      </c>
      <c r="AQ29" t="n">
        <v/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W29" t="n">
        <v/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I29" t="n">
        <v/>
      </c>
      <c r="BJ29" t="n">
        <v/>
      </c>
      <c r="BK29" t="n">
        <v>28</v>
      </c>
      <c r="BL29" t="n">
        <v>17</v>
      </c>
      <c r="BM29" t="n">
        <v>38</v>
      </c>
      <c r="BN29" t="n">
        <v>632.770791269618</v>
      </c>
      <c r="BO29" t="n">
        <v/>
      </c>
      <c r="BP29" t="n">
        <v/>
      </c>
      <c r="BQ29" t="n">
        <v/>
      </c>
      <c r="BR29" t="inlineStr">
        <is>
          <t>TC-2139</t>
        </is>
      </c>
      <c r="BS29" t="b">
        <v>0</v>
      </c>
      <c r="BT29" t="n">
        <v/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S30" t="n">
        <v/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T30" t="n">
        <v/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S31" t="n">
        <v/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L31" t="n">
        <v/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P31" t="n">
        <v/>
      </c>
      <c r="AQ31" t="n">
        <v/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I31" t="n">
        <v/>
      </c>
      <c r="BJ31" t="n">
        <v/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Q31" t="n">
        <v/>
      </c>
      <c r="BR31" t="n">
        <v/>
      </c>
      <c r="BS31" t="b">
        <v>0</v>
      </c>
      <c r="BT31" t="n">
        <v/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S32" t="n">
        <v/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P32" t="n">
        <v/>
      </c>
      <c r="AQ32" t="n">
        <v/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R32" t="n">
        <v/>
      </c>
      <c r="BS32" t="b">
        <v>0</v>
      </c>
      <c r="BT32" t="n">
        <v/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S33" t="n">
        <v/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J33" t="n">
        <v/>
      </c>
      <c r="AK33" t="n">
        <v/>
      </c>
      <c r="AL33" t="n">
        <v/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P33" t="n">
        <v/>
      </c>
      <c r="AQ33" t="n">
        <v/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I33" t="n">
        <v/>
      </c>
      <c r="BJ33" t="n">
        <v/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Q33" t="n">
        <v/>
      </c>
      <c r="BR33" t="n">
        <v/>
      </c>
      <c r="BS33" t="b">
        <v>0</v>
      </c>
      <c r="BT33" t="n">
        <v/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S34" t="n">
        <v/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L34" t="n">
        <v/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P34" t="n">
        <v/>
      </c>
      <c r="AQ34" t="n">
        <v/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I34" t="n">
        <v/>
      </c>
      <c r="BJ34" t="n">
        <v/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Q34" t="n">
        <v/>
      </c>
      <c r="BR34" t="n">
        <v/>
      </c>
      <c r="BS34" t="b">
        <v>0</v>
      </c>
      <c r="BT34" t="n">
        <v/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S35" t="n">
        <v/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J35" t="n">
        <v/>
      </c>
      <c r="AK35" t="n">
        <v/>
      </c>
      <c r="AL35" t="n">
        <v/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P35" t="n">
        <v/>
      </c>
      <c r="AQ35" t="n">
        <v/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I35" t="n">
        <v/>
      </c>
      <c r="BJ35" t="n">
        <v/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Q35" t="n">
        <v/>
      </c>
      <c r="BR35" t="inlineStr">
        <is>
          <t>TC-8428</t>
        </is>
      </c>
      <c r="BS35" t="b">
        <v>0</v>
      </c>
      <c r="BT35" t="n">
        <v/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S36" t="n">
        <v/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Y36" t="n">
        <v/>
      </c>
      <c r="Z36" t="n">
        <v/>
      </c>
      <c r="AA36" t="n">
        <v/>
      </c>
      <c r="AB36" t="n">
        <v/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F36" t="n">
        <v/>
      </c>
      <c r="AG36" t="n">
        <v/>
      </c>
      <c r="AH36" t="n">
        <v/>
      </c>
      <c r="AI36" t="n">
        <v/>
      </c>
      <c r="AJ36" t="n">
        <v/>
      </c>
      <c r="AK36" t="n">
        <v/>
      </c>
      <c r="AL36" t="n">
        <v/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P36" t="n">
        <v/>
      </c>
      <c r="AQ36" t="n">
        <v/>
      </c>
      <c r="AR36" t="inlineStr">
        <is>
          <t>Triage</t>
        </is>
      </c>
      <c r="AS36" t="n">
        <v>3</v>
      </c>
      <c r="AT36" t="n">
        <v>24</v>
      </c>
      <c r="AU36" t="n">
        <v/>
      </c>
      <c r="AV36" t="n">
        <v/>
      </c>
      <c r="AW36" t="n">
        <v/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I36" t="n">
        <v/>
      </c>
      <c r="BJ36" t="n">
        <v/>
      </c>
      <c r="BK36" t="n">
        <v>33</v>
      </c>
      <c r="BL36" t="n">
        <v>24</v>
      </c>
      <c r="BM36" t="n">
        <v>0</v>
      </c>
      <c r="BN36" t="n">
        <v>586.7707912705439</v>
      </c>
      <c r="BO36" t="n">
        <v/>
      </c>
      <c r="BP36" t="n">
        <v/>
      </c>
      <c r="BQ36" t="n">
        <v/>
      </c>
      <c r="BR36" t="n">
        <v/>
      </c>
      <c r="BS36" t="b">
        <v>0</v>
      </c>
      <c r="BT36" t="n">
        <v/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S37" t="n">
        <v/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T37" t="n">
        <v/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S38" t="n">
        <v/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Y38" t="n">
        <v/>
      </c>
      <c r="Z38" t="n">
        <v/>
      </c>
      <c r="AA38" t="n">
        <v/>
      </c>
      <c r="AB38" t="n">
        <v/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H38" t="n">
        <v/>
      </c>
      <c r="AI38" t="n">
        <v/>
      </c>
      <c r="AJ38" t="n">
        <v/>
      </c>
      <c r="AK38" t="n">
        <v/>
      </c>
      <c r="AL38" t="n">
        <v/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P38" t="n">
        <v/>
      </c>
      <c r="AQ38" t="n">
        <v/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V38" t="n">
        <v/>
      </c>
      <c r="AW38" t="n">
        <v/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I38" t="n">
        <v/>
      </c>
      <c r="BJ38" t="n">
        <v/>
      </c>
      <c r="BK38" t="n">
        <v>54</v>
      </c>
      <c r="BL38" t="n">
        <v>32</v>
      </c>
      <c r="BM38" t="n">
        <v>0</v>
      </c>
      <c r="BN38" t="n">
        <v>619.7707912707523</v>
      </c>
      <c r="BO38" t="n">
        <v/>
      </c>
      <c r="BP38" t="n">
        <v/>
      </c>
      <c r="BQ38" t="n">
        <v/>
      </c>
      <c r="BR38" t="inlineStr">
        <is>
          <t>TC-5374</t>
        </is>
      </c>
      <c r="BS38" t="b">
        <v>0</v>
      </c>
      <c r="BT38" t="n">
        <v/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S39" t="n">
        <v/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Y39" t="n">
        <v/>
      </c>
      <c r="Z39" t="n">
        <v/>
      </c>
      <c r="AA39" t="n">
        <v/>
      </c>
      <c r="AB39" t="n">
        <v/>
      </c>
      <c r="AC39" t="inlineStr">
        <is>
          <t>2024-06-16</t>
        </is>
      </c>
      <c r="AD39" t="n">
        <v/>
      </c>
      <c r="AE39" t="n">
        <v/>
      </c>
      <c r="AF39" t="n">
        <v/>
      </c>
      <c r="AG39" t="n">
        <v/>
      </c>
      <c r="AH39" t="n">
        <v/>
      </c>
      <c r="AI39" t="n">
        <v/>
      </c>
      <c r="AJ39" t="n">
        <v/>
      </c>
      <c r="AK39" t="n">
        <v/>
      </c>
      <c r="AL39" t="n">
        <v/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P39" t="n">
        <v/>
      </c>
      <c r="AQ39" t="n">
        <v/>
      </c>
      <c r="AR39" t="n">
        <v/>
      </c>
      <c r="AS39" t="n">
        <v>1</v>
      </c>
      <c r="AT39" t="n">
        <v/>
      </c>
      <c r="AU39" t="n">
        <v/>
      </c>
      <c r="AV39" t="n">
        <v/>
      </c>
      <c r="AW39" t="n">
        <v/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I39" t="n">
        <v/>
      </c>
      <c r="BJ39" t="n">
        <v/>
      </c>
      <c r="BK39" t="n">
        <v/>
      </c>
      <c r="BL39" t="n">
        <v>0</v>
      </c>
      <c r="BM39" t="n">
        <v>0</v>
      </c>
      <c r="BN39" t="n">
        <v>557.7707912708681</v>
      </c>
      <c r="BO39" t="n">
        <v/>
      </c>
      <c r="BP39" t="n">
        <v/>
      </c>
      <c r="BQ39" t="n">
        <v/>
      </c>
      <c r="BR39" t="n">
        <v/>
      </c>
      <c r="BS39" t="b">
        <v>0</v>
      </c>
      <c r="BT39" t="n">
        <v/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S40" t="n">
        <v/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L40" t="n">
        <v/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P40" t="n">
        <v/>
      </c>
      <c r="AQ40" t="n">
        <v/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I40" t="n">
        <v/>
      </c>
      <c r="BJ40" t="n">
        <v/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Q40" t="n">
        <v/>
      </c>
      <c r="BR40" t="n">
        <v/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S41" t="n">
        <v/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Y41" t="n">
        <v/>
      </c>
      <c r="Z41" t="n">
        <v/>
      </c>
      <c r="AA41" t="n">
        <v/>
      </c>
      <c r="AB41" t="n">
        <v/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F41" t="n">
        <v/>
      </c>
      <c r="AG41" t="n">
        <v/>
      </c>
      <c r="AH41" t="n">
        <v/>
      </c>
      <c r="AI41" t="n">
        <v/>
      </c>
      <c r="AJ41" t="n">
        <v/>
      </c>
      <c r="AK41" t="n">
        <v/>
      </c>
      <c r="AL41" t="n">
        <v/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P41" t="n">
        <v/>
      </c>
      <c r="AQ41" t="n">
        <v/>
      </c>
      <c r="AR41" t="inlineStr">
        <is>
          <t>Triage</t>
        </is>
      </c>
      <c r="AS41" t="n">
        <v>4</v>
      </c>
      <c r="AT41" t="n">
        <v>15</v>
      </c>
      <c r="AU41" t="n">
        <v/>
      </c>
      <c r="AV41" t="n">
        <v/>
      </c>
      <c r="AW41" t="n">
        <v/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I41" t="n">
        <v/>
      </c>
      <c r="BJ41" t="n">
        <v/>
      </c>
      <c r="BK41" t="n">
        <v>50</v>
      </c>
      <c r="BL41" t="n">
        <v>15</v>
      </c>
      <c r="BM41" t="n">
        <v>0</v>
      </c>
      <c r="BN41" t="n">
        <v>676.770791271088</v>
      </c>
      <c r="BO41" t="n">
        <v/>
      </c>
      <c r="BP41" t="n">
        <v/>
      </c>
      <c r="BQ41" t="n">
        <v/>
      </c>
      <c r="BR41" t="inlineStr">
        <is>
          <t>TC-3803</t>
        </is>
      </c>
      <c r="BS41" t="b">
        <v>0</v>
      </c>
      <c r="BT41" t="n">
        <v/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S42" t="n">
        <v/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P42" t="n">
        <v/>
      </c>
      <c r="AQ42" t="n">
        <v/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T42" t="n">
        <v/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T43" t="n">
        <v/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T44" t="n">
        <v/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Y45" t="n">
        <v/>
      </c>
      <c r="Z45" t="n">
        <v/>
      </c>
      <c r="AA45" t="n">
        <v/>
      </c>
      <c r="AB45" t="n">
        <v/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H45" t="n">
        <v/>
      </c>
      <c r="AI45" t="n">
        <v/>
      </c>
      <c r="AJ45" t="n">
        <v/>
      </c>
      <c r="AK45" t="n">
        <v/>
      </c>
      <c r="AL45" t="n">
        <v/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P45" t="n">
        <v/>
      </c>
      <c r="AQ45" t="n">
        <v/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V45" t="n">
        <v/>
      </c>
      <c r="AW45" t="n">
        <v/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I45" t="n">
        <v/>
      </c>
      <c r="BJ45" t="n">
        <v/>
      </c>
      <c r="BK45" t="n">
        <v>66</v>
      </c>
      <c r="BL45" t="n">
        <v>27</v>
      </c>
      <c r="BM45" t="n">
        <v>0</v>
      </c>
      <c r="BN45" t="n">
        <v>576.7707912715277</v>
      </c>
      <c r="BO45" t="n">
        <v/>
      </c>
      <c r="BP45" t="n">
        <v/>
      </c>
      <c r="BQ45" t="n">
        <v/>
      </c>
      <c r="BR45" t="n">
        <v/>
      </c>
      <c r="BS45" t="b">
        <v>0</v>
      </c>
      <c r="BT45" t="n">
        <v/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Y46" t="n">
        <v/>
      </c>
      <c r="Z46" t="n">
        <v/>
      </c>
      <c r="AA46" t="n">
        <v/>
      </c>
      <c r="AB46" t="n">
        <v/>
      </c>
      <c r="AC46" t="inlineStr">
        <is>
          <t>2024-03-21</t>
        </is>
      </c>
      <c r="AD46" t="n">
        <v/>
      </c>
      <c r="AE46" t="n">
        <v/>
      </c>
      <c r="AF46" t="n">
        <v/>
      </c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P46" t="n">
        <v/>
      </c>
      <c r="AQ46" t="n">
        <v/>
      </c>
      <c r="AR46" t="n">
        <v/>
      </c>
      <c r="AS46" t="n">
        <v>3</v>
      </c>
      <c r="AT46" t="n">
        <v/>
      </c>
      <c r="AU46" t="n">
        <v/>
      </c>
      <c r="AV46" t="n">
        <v/>
      </c>
      <c r="AW46" t="n">
        <v/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I46" t="n">
        <v/>
      </c>
      <c r="BJ46" t="n">
        <v/>
      </c>
      <c r="BK46" t="n">
        <v/>
      </c>
      <c r="BL46" t="n">
        <v>0</v>
      </c>
      <c r="BM46" t="n">
        <v>0</v>
      </c>
      <c r="BN46" t="n">
        <v>644.7707912716435</v>
      </c>
      <c r="BO46" t="n">
        <v/>
      </c>
      <c r="BP46" t="n">
        <v/>
      </c>
      <c r="BQ46" t="n">
        <v/>
      </c>
      <c r="BR46" t="n">
        <v/>
      </c>
      <c r="BS46" t="b">
        <v>0</v>
      </c>
      <c r="BT46" t="n">
        <v/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R47" t="n">
        <v/>
      </c>
      <c r="BS47" t="b">
        <v>0</v>
      </c>
      <c r="BT47" t="n">
        <v/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Y48" t="n">
        <v/>
      </c>
      <c r="Z48" t="n">
        <v/>
      </c>
      <c r="AA48" t="n">
        <v/>
      </c>
      <c r="AB48" t="n">
        <v/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I48" t="n">
        <v/>
      </c>
      <c r="AJ48" t="n">
        <v/>
      </c>
      <c r="AK48" t="n">
        <v/>
      </c>
      <c r="AL48" t="n">
        <v/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P48" t="n">
        <v/>
      </c>
      <c r="AQ48" t="n">
        <v/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W48" t="n">
        <v/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I48" t="n">
        <v/>
      </c>
      <c r="BJ48" t="n">
        <v/>
      </c>
      <c r="BK48" t="n">
        <v>27</v>
      </c>
      <c r="BL48" t="n">
        <v>54</v>
      </c>
      <c r="BM48" t="n">
        <v>59</v>
      </c>
      <c r="BN48" t="n">
        <v>572.7707912718519</v>
      </c>
      <c r="BO48" t="n">
        <v/>
      </c>
      <c r="BP48" t="n">
        <v/>
      </c>
      <c r="BQ48" t="n">
        <v/>
      </c>
      <c r="BR48" t="inlineStr">
        <is>
          <t>TC-1525</t>
        </is>
      </c>
      <c r="BS48" t="b">
        <v>0</v>
      </c>
      <c r="BT48" t="n">
        <v/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R49" t="n">
        <v/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S50" t="n">
        <v/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P50" t="n">
        <v/>
      </c>
      <c r="AQ50" t="n">
        <v/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S51" t="n">
        <v/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T51" t="n">
        <v/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S52" t="n">
        <v/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Y52" t="n">
        <v/>
      </c>
      <c r="Z52" t="n">
        <v/>
      </c>
      <c r="AA52" t="n">
        <v/>
      </c>
      <c r="AB52" t="n">
        <v/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H52" t="n">
        <v/>
      </c>
      <c r="AI52" t="n">
        <v/>
      </c>
      <c r="AJ52" t="n">
        <v/>
      </c>
      <c r="AK52" t="n">
        <v/>
      </c>
      <c r="AL52" t="n">
        <v/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P52" t="n">
        <v/>
      </c>
      <c r="AQ52" t="n">
        <v/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V52" t="n">
        <v/>
      </c>
      <c r="AW52" t="n">
        <v/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I52" t="n">
        <v/>
      </c>
      <c r="BJ52" t="n">
        <v/>
      </c>
      <c r="BK52" t="n">
        <v>56</v>
      </c>
      <c r="BL52" t="n">
        <v>79</v>
      </c>
      <c r="BM52" t="n">
        <v>0</v>
      </c>
      <c r="BN52" t="n">
        <v>585.7707912722916</v>
      </c>
      <c r="BO52" t="n">
        <v/>
      </c>
      <c r="BP52" t="n">
        <v/>
      </c>
      <c r="BQ52" t="n">
        <v/>
      </c>
      <c r="BR52" t="inlineStr">
        <is>
          <t>TC-9179</t>
        </is>
      </c>
      <c r="BS52" t="b">
        <v>0</v>
      </c>
      <c r="BT52" t="n">
        <v/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Y53" t="n">
        <v/>
      </c>
      <c r="Z53" t="n">
        <v/>
      </c>
      <c r="AA53" t="n">
        <v/>
      </c>
      <c r="AB53" t="n">
        <v/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I53" t="n">
        <v/>
      </c>
      <c r="AJ53" t="n">
        <v/>
      </c>
      <c r="AK53" t="n">
        <v/>
      </c>
      <c r="AL53" t="n">
        <v/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P53" t="n">
        <v/>
      </c>
      <c r="AQ53" t="n">
        <v/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W53" t="n">
        <v/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I53" t="n">
        <v/>
      </c>
      <c r="BJ53" t="n">
        <v/>
      </c>
      <c r="BK53" t="n">
        <v>46</v>
      </c>
      <c r="BL53" t="n">
        <v>25</v>
      </c>
      <c r="BM53" t="n">
        <v>120</v>
      </c>
      <c r="BN53" t="n">
        <v>554.7707912723959</v>
      </c>
      <c r="BO53" t="n">
        <v/>
      </c>
      <c r="BP53" t="n">
        <v/>
      </c>
      <c r="BQ53" t="n">
        <v/>
      </c>
      <c r="BR53" t="inlineStr">
        <is>
          <t>TC-8517</t>
        </is>
      </c>
      <c r="BS53" t="b">
        <v>0</v>
      </c>
      <c r="BT53" t="n">
        <v/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T54" t="n">
        <v/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S55" t="n">
        <v/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Y55" t="n">
        <v/>
      </c>
      <c r="Z55" t="n">
        <v/>
      </c>
      <c r="AA55" t="n">
        <v/>
      </c>
      <c r="AB55" t="n">
        <v/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H55" t="n">
        <v/>
      </c>
      <c r="AI55" t="n">
        <v/>
      </c>
      <c r="AJ55" t="n">
        <v/>
      </c>
      <c r="AK55" t="n">
        <v/>
      </c>
      <c r="AL55" t="n">
        <v/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P55" t="n">
        <v/>
      </c>
      <c r="AQ55" t="n">
        <v/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V55" t="n">
        <v/>
      </c>
      <c r="AW55" t="n">
        <v/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I55" t="n">
        <v/>
      </c>
      <c r="BJ55" t="n">
        <v/>
      </c>
      <c r="BK55" t="n">
        <v>41</v>
      </c>
      <c r="BL55" t="n">
        <v>17</v>
      </c>
      <c r="BM55" t="n">
        <v>0</v>
      </c>
      <c r="BN55" t="n">
        <v>595.7707912726157</v>
      </c>
      <c r="BO55" t="n">
        <v/>
      </c>
      <c r="BP55" t="n">
        <v/>
      </c>
      <c r="BQ55" t="n">
        <v/>
      </c>
      <c r="BR55" t="inlineStr">
        <is>
          <t>TC-9830</t>
        </is>
      </c>
      <c r="BS55" t="b">
        <v>0</v>
      </c>
      <c r="BT55" t="n">
        <v/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S56" t="n">
        <v/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Y56" t="n">
        <v/>
      </c>
      <c r="Z56" t="n">
        <v/>
      </c>
      <c r="AA56" t="n">
        <v/>
      </c>
      <c r="AB56" t="n">
        <v/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F56" t="n">
        <v/>
      </c>
      <c r="AG56" t="n">
        <v/>
      </c>
      <c r="AH56" t="n">
        <v/>
      </c>
      <c r="AI56" t="n">
        <v/>
      </c>
      <c r="AJ56" t="n">
        <v/>
      </c>
      <c r="AK56" t="n">
        <v/>
      </c>
      <c r="AL56" t="n">
        <v/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P56" t="n">
        <v/>
      </c>
      <c r="AQ56" t="n">
        <v/>
      </c>
      <c r="AR56" t="inlineStr">
        <is>
          <t>Triage</t>
        </is>
      </c>
      <c r="AS56" t="n">
        <v>4</v>
      </c>
      <c r="AT56" t="n">
        <v>9</v>
      </c>
      <c r="AU56" t="n">
        <v/>
      </c>
      <c r="AV56" t="n">
        <v/>
      </c>
      <c r="AW56" t="n">
        <v/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I56" t="n">
        <v/>
      </c>
      <c r="BJ56" t="n">
        <v/>
      </c>
      <c r="BK56" t="n">
        <v>37</v>
      </c>
      <c r="BL56" t="n">
        <v>9</v>
      </c>
      <c r="BM56" t="n">
        <v>0</v>
      </c>
      <c r="BN56" t="n">
        <v>562.7707912727316</v>
      </c>
      <c r="BO56" t="n">
        <v/>
      </c>
      <c r="BP56" t="n">
        <v/>
      </c>
      <c r="BQ56" t="n">
        <v/>
      </c>
      <c r="BR56" t="inlineStr">
        <is>
          <t>TC-8019</t>
        </is>
      </c>
      <c r="BS56" t="b">
        <v>0</v>
      </c>
      <c r="BT56" t="n">
        <v/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S57" t="n">
        <v/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L57" t="n">
        <v/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P57" t="n">
        <v/>
      </c>
      <c r="AQ57" t="n">
        <v/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I57" t="n">
        <v/>
      </c>
      <c r="BJ57" t="n">
        <v/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Q57" t="n">
        <v/>
      </c>
      <c r="BR57" t="n">
        <v/>
      </c>
      <c r="BS57" t="b">
        <v>0</v>
      </c>
      <c r="BT57" t="n">
        <v/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T58" t="n">
        <v/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S59" t="n">
        <v/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L59" t="n">
        <v/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P59" t="n">
        <v/>
      </c>
      <c r="AQ59" t="n">
        <v/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I59" t="n">
        <v/>
      </c>
      <c r="BJ59" t="n">
        <v/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Q59" t="n">
        <v/>
      </c>
      <c r="BR59" t="n">
        <v/>
      </c>
      <c r="BS59" t="b">
        <v>0</v>
      </c>
      <c r="BT59" t="n">
        <v/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L60" t="n">
        <v/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P60" t="n">
        <v/>
      </c>
      <c r="AQ60" t="n">
        <v/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I60" t="n">
        <v/>
      </c>
      <c r="BJ60" t="n">
        <v/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Q60" t="n">
        <v/>
      </c>
      <c r="BR60" t="inlineStr">
        <is>
          <t>TC-9085</t>
        </is>
      </c>
      <c r="BS60" t="b">
        <v>0</v>
      </c>
      <c r="BT60" t="n">
        <v/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S61" t="n">
        <v/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Y61" t="n">
        <v/>
      </c>
      <c r="Z61" t="n">
        <v/>
      </c>
      <c r="AA61" t="n">
        <v/>
      </c>
      <c r="AB61" t="n">
        <v/>
      </c>
      <c r="AC61" t="inlineStr">
        <is>
          <t>2024-02-09</t>
        </is>
      </c>
      <c r="AD61" t="inlineStr">
        <is>
          <t>2024-02-09 16:00:00</t>
        </is>
      </c>
      <c r="AE61" t="n">
        <v/>
      </c>
      <c r="AF61" t="n">
        <v/>
      </c>
      <c r="AG61" t="n">
        <v/>
      </c>
      <c r="AH61" t="n">
        <v/>
      </c>
      <c r="AI61" t="n">
        <v/>
      </c>
      <c r="AJ61" t="n">
        <v/>
      </c>
      <c r="AK61" t="n">
        <v/>
      </c>
      <c r="AL61" t="n">
        <v/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P61" t="n">
        <v/>
      </c>
      <c r="AQ61" t="n">
        <v/>
      </c>
      <c r="AR61" t="inlineStr">
        <is>
          <t>Open</t>
        </is>
      </c>
      <c r="AS61" t="n">
        <v>1</v>
      </c>
      <c r="AT61" t="n">
        <v/>
      </c>
      <c r="AU61" t="n">
        <v/>
      </c>
      <c r="AV61" t="n">
        <v/>
      </c>
      <c r="AW61" t="n">
        <v/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I61" t="n">
        <v/>
      </c>
      <c r="BJ61" t="n">
        <v/>
      </c>
      <c r="BK61" t="n">
        <v/>
      </c>
      <c r="BL61" t="n">
        <v>0</v>
      </c>
      <c r="BM61" t="n">
        <v>0</v>
      </c>
      <c r="BN61" t="n">
        <v>685.770791273264</v>
      </c>
      <c r="BO61" t="n">
        <v/>
      </c>
      <c r="BP61" t="n">
        <v/>
      </c>
      <c r="BQ61" t="n">
        <v/>
      </c>
      <c r="BR61" t="inlineStr">
        <is>
          <t>TC-1771</t>
        </is>
      </c>
      <c r="BS61" t="b">
        <v>0</v>
      </c>
      <c r="BT61" t="n">
        <v/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S62" t="n">
        <v/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L62" t="n">
        <v/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P62" t="n">
        <v/>
      </c>
      <c r="AQ62" t="n">
        <v/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I62" t="n">
        <v/>
      </c>
      <c r="BJ62" t="n">
        <v/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Q62" t="n">
        <v/>
      </c>
      <c r="BR62" t="n">
        <v/>
      </c>
      <c r="BS62" t="b">
        <v>0</v>
      </c>
      <c r="BT62" t="n">
        <v/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S63" t="n">
        <v/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T63" t="n">
        <v/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S64" t="n">
        <v/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Y64" t="n">
        <v/>
      </c>
      <c r="Z64" t="n">
        <v/>
      </c>
      <c r="AA64" t="n">
        <v/>
      </c>
      <c r="AB64" t="n">
        <v/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F64" t="n">
        <v/>
      </c>
      <c r="AG64" t="n">
        <v/>
      </c>
      <c r="AH64" t="n">
        <v/>
      </c>
      <c r="AI64" t="n">
        <v/>
      </c>
      <c r="AJ64" t="n">
        <v/>
      </c>
      <c r="AK64" t="n">
        <v/>
      </c>
      <c r="AL64" t="n">
        <v/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P64" t="n">
        <v/>
      </c>
      <c r="AQ64" t="n">
        <v/>
      </c>
      <c r="AR64" t="inlineStr">
        <is>
          <t>Triage</t>
        </is>
      </c>
      <c r="AS64" t="n">
        <v>2</v>
      </c>
      <c r="AT64" t="n">
        <v>10</v>
      </c>
      <c r="AU64" t="n">
        <v/>
      </c>
      <c r="AV64" t="n">
        <v/>
      </c>
      <c r="AW64" t="n">
        <v/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I64" t="n">
        <v/>
      </c>
      <c r="BJ64" t="n">
        <v/>
      </c>
      <c r="BK64" t="n">
        <v>33</v>
      </c>
      <c r="BL64" t="n">
        <v>10</v>
      </c>
      <c r="BM64" t="n">
        <v>0</v>
      </c>
      <c r="BN64" t="n">
        <v>607.7707912735996</v>
      </c>
      <c r="BO64" t="n">
        <v/>
      </c>
      <c r="BP64" t="n">
        <v/>
      </c>
      <c r="BQ64" t="n">
        <v/>
      </c>
      <c r="BR64" t="n">
        <v/>
      </c>
      <c r="BS64" t="b">
        <v>0</v>
      </c>
      <c r="BT64" t="n">
        <v/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S65" t="n">
        <v/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J65" t="n">
        <v/>
      </c>
      <c r="AK65" t="n">
        <v/>
      </c>
      <c r="AL65" t="n">
        <v/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P65" t="n">
        <v/>
      </c>
      <c r="AQ65" t="n">
        <v/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I65" t="n">
        <v/>
      </c>
      <c r="BJ65" t="n">
        <v/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Q65" t="n">
        <v/>
      </c>
      <c r="BR65" t="inlineStr">
        <is>
          <t>TC-2040</t>
        </is>
      </c>
      <c r="BS65" t="b">
        <v>0</v>
      </c>
      <c r="BT65" t="n">
        <v/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S66" t="n">
        <v/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T66" t="n">
        <v/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S67" t="n">
        <v/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T67" t="n">
        <v/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L68" t="n">
        <v/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P68" t="n">
        <v/>
      </c>
      <c r="AQ68" t="n">
        <v/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I68" t="n">
        <v/>
      </c>
      <c r="BJ68" t="n">
        <v/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Q68" t="n">
        <v/>
      </c>
      <c r="BR68" t="n">
        <v/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T69" t="n">
        <v/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S70" t="n">
        <v/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Y70" t="n">
        <v/>
      </c>
      <c r="Z70" t="n">
        <v/>
      </c>
      <c r="AA70" t="n">
        <v/>
      </c>
      <c r="AB70" t="n">
        <v/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H70" t="n">
        <v/>
      </c>
      <c r="AI70" t="n">
        <v/>
      </c>
      <c r="AJ70" t="n">
        <v/>
      </c>
      <c r="AK70" t="n">
        <v/>
      </c>
      <c r="AL70" t="n">
        <v/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P70" t="n">
        <v/>
      </c>
      <c r="AQ70" t="n">
        <v/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V70" t="n">
        <v/>
      </c>
      <c r="AW70" t="n">
        <v/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I70" t="n">
        <v/>
      </c>
      <c r="BJ70" t="n">
        <v/>
      </c>
      <c r="BK70" t="n">
        <v>38</v>
      </c>
      <c r="BL70" t="n">
        <v>64</v>
      </c>
      <c r="BM70" t="n">
        <v>0</v>
      </c>
      <c r="BN70" t="n">
        <v>554.7707912742477</v>
      </c>
      <c r="BO70" t="n">
        <v/>
      </c>
      <c r="BP70" t="n">
        <v/>
      </c>
      <c r="BQ70" t="n">
        <v/>
      </c>
      <c r="BR70" t="n">
        <v/>
      </c>
      <c r="BS70" t="b">
        <v>0</v>
      </c>
      <c r="BT70" t="n">
        <v/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Y71" t="n">
        <v/>
      </c>
      <c r="Z71" t="n">
        <v/>
      </c>
      <c r="AA71" t="n">
        <v/>
      </c>
      <c r="AB71" t="n">
        <v/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H71" t="n">
        <v/>
      </c>
      <c r="AI71" t="n">
        <v/>
      </c>
      <c r="AJ71" t="n">
        <v/>
      </c>
      <c r="AK71" t="n">
        <v/>
      </c>
      <c r="AL71" t="n">
        <v/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P71" t="n">
        <v/>
      </c>
      <c r="AQ71" t="n">
        <v/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V71" t="n">
        <v/>
      </c>
      <c r="AW71" t="n">
        <v/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I71" t="n">
        <v/>
      </c>
      <c r="BJ71" t="n">
        <v/>
      </c>
      <c r="BK71" t="n">
        <v>41</v>
      </c>
      <c r="BL71" t="n">
        <v>31</v>
      </c>
      <c r="BM71" t="n">
        <v>0</v>
      </c>
      <c r="BN71" t="n">
        <v>649.7707912743634</v>
      </c>
      <c r="BO71" t="n">
        <v/>
      </c>
      <c r="BP71" t="n">
        <v/>
      </c>
      <c r="BQ71" t="n">
        <v/>
      </c>
      <c r="BR71" t="n">
        <v/>
      </c>
      <c r="BS71" t="b">
        <v>0</v>
      </c>
      <c r="BT71" t="n">
        <v/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P72" t="n">
        <v/>
      </c>
      <c r="AQ72" t="n">
        <v/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T72" t="n">
        <v/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S73" t="n">
        <v/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T73" t="n">
        <v/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S74" t="n">
        <v/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T74" t="n">
        <v/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S75" t="n">
        <v/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R75" t="n">
        <v/>
      </c>
      <c r="BS75" t="b">
        <v>0</v>
      </c>
      <c r="BT75" t="n">
        <v/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S76" t="n">
        <v/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J76" t="n">
        <v/>
      </c>
      <c r="AK76" t="n">
        <v/>
      </c>
      <c r="AL76" t="n">
        <v/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P76" t="n">
        <v/>
      </c>
      <c r="AQ76" t="n">
        <v/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I76" t="n">
        <v/>
      </c>
      <c r="BJ76" t="n">
        <v/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Q76" t="n">
        <v/>
      </c>
      <c r="BR76" t="n">
        <v/>
      </c>
      <c r="BS76" t="b">
        <v>0</v>
      </c>
      <c r="BT76" t="n">
        <v/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S77" t="n">
        <v/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J77" t="n">
        <v/>
      </c>
      <c r="AK77" t="n">
        <v/>
      </c>
      <c r="AL77" t="n">
        <v/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P77" t="n">
        <v/>
      </c>
      <c r="AQ77" t="n">
        <v/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I77" t="n">
        <v/>
      </c>
      <c r="BJ77" t="n">
        <v/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Q77" t="n">
        <v/>
      </c>
      <c r="BR77" t="inlineStr">
        <is>
          <t>TC-2743</t>
        </is>
      </c>
      <c r="BS77" t="b">
        <v>0</v>
      </c>
      <c r="BT77" t="n">
        <v/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S78" t="n">
        <v/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R78" t="n">
        <v/>
      </c>
      <c r="BS78" t="b">
        <v>0</v>
      </c>
      <c r="BT78" t="n">
        <v/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S79" t="n">
        <v/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L79" t="n">
        <v/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P79" t="n">
        <v/>
      </c>
      <c r="AQ79" t="n">
        <v/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I79" t="n">
        <v/>
      </c>
      <c r="BJ79" t="n">
        <v/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Q79" t="n">
        <v/>
      </c>
      <c r="BR79" t="inlineStr">
        <is>
          <t>TC-9317</t>
        </is>
      </c>
      <c r="BS79" t="b">
        <v>0</v>
      </c>
      <c r="BT79" t="n">
        <v/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R80" t="n">
        <v/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T81" t="n">
        <v/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S82" t="n">
        <v/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P82" t="n">
        <v/>
      </c>
      <c r="AQ82" t="n">
        <v/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T82" t="n">
        <v/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Y83" t="n">
        <v/>
      </c>
      <c r="Z83" t="n">
        <v/>
      </c>
      <c r="AA83" t="n">
        <v/>
      </c>
      <c r="AB83" t="n">
        <v/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H83" t="n">
        <v/>
      </c>
      <c r="AI83" t="n">
        <v/>
      </c>
      <c r="AJ83" t="n">
        <v/>
      </c>
      <c r="AK83" t="n">
        <v/>
      </c>
      <c r="AL83" t="n">
        <v/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P83" t="n">
        <v/>
      </c>
      <c r="AQ83" t="n">
        <v/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V83" t="n">
        <v/>
      </c>
      <c r="AW83" t="n">
        <v/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I83" t="n">
        <v/>
      </c>
      <c r="BJ83" t="n">
        <v/>
      </c>
      <c r="BK83" t="n">
        <v>41</v>
      </c>
      <c r="BL83" t="n">
        <v>18</v>
      </c>
      <c r="BM83" t="n">
        <v>0</v>
      </c>
      <c r="BN83" t="n">
        <v>577.7707912757407</v>
      </c>
      <c r="BO83" t="n">
        <v/>
      </c>
      <c r="BP83" t="n">
        <v/>
      </c>
      <c r="BQ83" t="n">
        <v/>
      </c>
      <c r="BR83" t="n">
        <v/>
      </c>
      <c r="BS83" t="b">
        <v>0</v>
      </c>
      <c r="BT83" t="n">
        <v/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S84" t="n">
        <v/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Y84" t="n">
        <v/>
      </c>
      <c r="Z84" t="n">
        <v/>
      </c>
      <c r="AA84" t="n">
        <v/>
      </c>
      <c r="AB84" t="n">
        <v/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H84" t="n">
        <v/>
      </c>
      <c r="AI84" t="n">
        <v/>
      </c>
      <c r="AJ84" t="n">
        <v/>
      </c>
      <c r="AK84" t="n">
        <v/>
      </c>
      <c r="AL84" t="n">
        <v/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P84" t="n">
        <v/>
      </c>
      <c r="AQ84" t="n">
        <v/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V84" t="n">
        <v/>
      </c>
      <c r="AW84" t="n">
        <v/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I84" t="n">
        <v/>
      </c>
      <c r="BJ84" t="n">
        <v/>
      </c>
      <c r="BK84" t="n">
        <v>39</v>
      </c>
      <c r="BL84" t="n">
        <v>84</v>
      </c>
      <c r="BM84" t="n">
        <v>0</v>
      </c>
      <c r="BN84" t="n">
        <v>648.7707912758565</v>
      </c>
      <c r="BO84" t="n">
        <v/>
      </c>
      <c r="BP84" t="n">
        <v/>
      </c>
      <c r="BQ84" t="n">
        <v/>
      </c>
      <c r="BR84" t="inlineStr">
        <is>
          <t>TC-9005</t>
        </is>
      </c>
      <c r="BS84" t="b">
        <v>0</v>
      </c>
      <c r="BT84" t="n">
        <v/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S85" t="n">
        <v/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Y85" t="n">
        <v/>
      </c>
      <c r="Z85" t="n">
        <v/>
      </c>
      <c r="AA85" t="n">
        <v/>
      </c>
      <c r="AB85" t="n">
        <v/>
      </c>
      <c r="AC85" t="inlineStr">
        <is>
          <t>2024-05-19</t>
        </is>
      </c>
      <c r="AD85" t="inlineStr">
        <is>
          <t>2024-05-20 15:00:00</t>
        </is>
      </c>
      <c r="AE85" t="n">
        <v/>
      </c>
      <c r="AF85" t="n">
        <v/>
      </c>
      <c r="AG85" t="n">
        <v/>
      </c>
      <c r="AH85" t="n">
        <v/>
      </c>
      <c r="AI85" t="n">
        <v/>
      </c>
      <c r="AJ85" t="n">
        <v/>
      </c>
      <c r="AK85" t="n">
        <v/>
      </c>
      <c r="AL85" t="n">
        <v/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P85" t="n">
        <v/>
      </c>
      <c r="AQ85" t="n">
        <v/>
      </c>
      <c r="AR85" t="inlineStr">
        <is>
          <t>Open</t>
        </is>
      </c>
      <c r="AS85" t="n">
        <v>4</v>
      </c>
      <c r="AT85" t="n">
        <v/>
      </c>
      <c r="AU85" t="n">
        <v/>
      </c>
      <c r="AV85" t="n">
        <v/>
      </c>
      <c r="AW85" t="n">
        <v/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I85" t="n">
        <v/>
      </c>
      <c r="BJ85" t="n">
        <v/>
      </c>
      <c r="BK85" t="n">
        <v/>
      </c>
      <c r="BL85" t="n">
        <v>0</v>
      </c>
      <c r="BM85" t="n">
        <v>0</v>
      </c>
      <c r="BN85" t="n">
        <v>585.7707912759606</v>
      </c>
      <c r="BO85" t="n">
        <v/>
      </c>
      <c r="BP85" t="n">
        <v/>
      </c>
      <c r="BQ85" t="n">
        <v/>
      </c>
      <c r="BR85" t="inlineStr">
        <is>
          <t>TC-6947</t>
        </is>
      </c>
      <c r="BS85" t="b">
        <v>0</v>
      </c>
      <c r="BT85" t="n">
        <v/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S86" t="n">
        <v/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L86" t="n">
        <v/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P86" t="n">
        <v/>
      </c>
      <c r="AQ86" t="n">
        <v/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I86" t="n">
        <v/>
      </c>
      <c r="BJ86" t="n">
        <v/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Q86" t="n">
        <v/>
      </c>
      <c r="BR86" t="n">
        <v/>
      </c>
      <c r="BS86" t="b">
        <v>0</v>
      </c>
      <c r="BT86" t="n">
        <v/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Y87" t="n">
        <v/>
      </c>
      <c r="Z87" t="n">
        <v/>
      </c>
      <c r="AA87" t="n">
        <v/>
      </c>
      <c r="AB87" t="n">
        <v/>
      </c>
      <c r="AC87" t="inlineStr">
        <is>
          <t>2024-06-20</t>
        </is>
      </c>
      <c r="AD87" t="n">
        <v/>
      </c>
      <c r="AE87" t="n">
        <v/>
      </c>
      <c r="AF87" t="n">
        <v/>
      </c>
      <c r="AG87" t="n">
        <v/>
      </c>
      <c r="AH87" t="n">
        <v/>
      </c>
      <c r="AI87" t="n">
        <v/>
      </c>
      <c r="AJ87" t="n">
        <v/>
      </c>
      <c r="AK87" t="n">
        <v/>
      </c>
      <c r="AL87" t="n">
        <v/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P87" t="n">
        <v/>
      </c>
      <c r="AQ87" t="n">
        <v/>
      </c>
      <c r="AR87" t="n">
        <v/>
      </c>
      <c r="AS87" t="n">
        <v>2</v>
      </c>
      <c r="AT87" t="n">
        <v/>
      </c>
      <c r="AU87" t="n">
        <v/>
      </c>
      <c r="AV87" t="n">
        <v/>
      </c>
      <c r="AW87" t="n">
        <v/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I87" t="n">
        <v/>
      </c>
      <c r="BJ87" t="n">
        <v/>
      </c>
      <c r="BK87" t="n">
        <v/>
      </c>
      <c r="BL87" t="n">
        <v>0</v>
      </c>
      <c r="BM87" t="n">
        <v>0</v>
      </c>
      <c r="BN87" t="n">
        <v>553.7707912761805</v>
      </c>
      <c r="BO87" t="n">
        <v/>
      </c>
      <c r="BP87" t="n">
        <v/>
      </c>
      <c r="BQ87" t="n">
        <v/>
      </c>
      <c r="BR87" t="n">
        <v/>
      </c>
      <c r="BS87" t="b">
        <v>0</v>
      </c>
      <c r="BT87" t="n">
        <v/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S88" t="n">
        <v/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J88" t="n">
        <v/>
      </c>
      <c r="AK88" t="n">
        <v/>
      </c>
      <c r="AL88" t="n">
        <v/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P88" t="n">
        <v/>
      </c>
      <c r="AQ88" t="n">
        <v/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I88" t="n">
        <v/>
      </c>
      <c r="BJ88" t="n">
        <v/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Q88" t="n">
        <v/>
      </c>
      <c r="BR88" t="inlineStr">
        <is>
          <t>TC-1949</t>
        </is>
      </c>
      <c r="BS88" t="b">
        <v>0</v>
      </c>
      <c r="BT88" t="n">
        <v/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S89" t="n">
        <v/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J89" t="n">
        <v/>
      </c>
      <c r="AK89" t="n">
        <v/>
      </c>
      <c r="AL89" t="n">
        <v/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P89" t="n">
        <v/>
      </c>
      <c r="AQ89" t="n">
        <v/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I89" t="n">
        <v/>
      </c>
      <c r="BJ89" t="n">
        <v/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Q89" t="n">
        <v/>
      </c>
      <c r="BR89" t="inlineStr">
        <is>
          <t>TC-2290</t>
        </is>
      </c>
      <c r="BS89" t="b">
        <v>0</v>
      </c>
      <c r="BT89" t="n">
        <v/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Y90" t="n">
        <v/>
      </c>
      <c r="Z90" t="n">
        <v/>
      </c>
      <c r="AA90" t="n">
        <v/>
      </c>
      <c r="AB90" t="n">
        <v/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H90" t="n">
        <v/>
      </c>
      <c r="AI90" t="n">
        <v/>
      </c>
      <c r="AJ90" t="n">
        <v/>
      </c>
      <c r="AK90" t="n">
        <v/>
      </c>
      <c r="AL90" t="n">
        <v/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P90" t="n">
        <v/>
      </c>
      <c r="AQ90" t="n">
        <v/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V90" t="n">
        <v/>
      </c>
      <c r="AW90" t="n">
        <v/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I90" t="n">
        <v/>
      </c>
      <c r="BJ90" t="n">
        <v/>
      </c>
      <c r="BK90" t="n">
        <v>36</v>
      </c>
      <c r="BL90" t="n">
        <v>14</v>
      </c>
      <c r="BM90" t="n">
        <v>0</v>
      </c>
      <c r="BN90" t="n">
        <v>690.7707912765162</v>
      </c>
      <c r="BO90" t="n">
        <v/>
      </c>
      <c r="BP90" t="n">
        <v/>
      </c>
      <c r="BQ90" t="n">
        <v/>
      </c>
      <c r="BR90" t="inlineStr">
        <is>
          <t>TC-8962</t>
        </is>
      </c>
      <c r="BS90" t="b">
        <v>0</v>
      </c>
      <c r="BT90" t="n">
        <v/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L91" t="n">
        <v/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P91" t="n">
        <v/>
      </c>
      <c r="AQ91" t="n">
        <v/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I91" t="n">
        <v/>
      </c>
      <c r="BJ91" t="n">
        <v/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Q91" t="n">
        <v/>
      </c>
      <c r="BR91" t="n">
        <v/>
      </c>
      <c r="BS91" t="b">
        <v>0</v>
      </c>
      <c r="BT91" t="n">
        <v/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Y92" t="n">
        <v/>
      </c>
      <c r="Z92" t="n">
        <v/>
      </c>
      <c r="AA92" t="n">
        <v/>
      </c>
      <c r="AB92" t="n">
        <v/>
      </c>
      <c r="AC92" t="inlineStr">
        <is>
          <t>2024-04-17</t>
        </is>
      </c>
      <c r="AD92" t="n">
        <v/>
      </c>
      <c r="AE92" t="n">
        <v/>
      </c>
      <c r="AF92" t="n">
        <v/>
      </c>
      <c r="AG92" t="n">
        <v/>
      </c>
      <c r="AH92" t="n">
        <v/>
      </c>
      <c r="AI92" t="n">
        <v/>
      </c>
      <c r="AJ92" t="n">
        <v/>
      </c>
      <c r="AK92" t="n">
        <v/>
      </c>
      <c r="AL92" t="n">
        <v/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P92" t="n">
        <v/>
      </c>
      <c r="AQ92" t="n">
        <v/>
      </c>
      <c r="AR92" t="n">
        <v/>
      </c>
      <c r="AS92" t="n">
        <v>3</v>
      </c>
      <c r="AT92" t="n">
        <v/>
      </c>
      <c r="AU92" t="n">
        <v/>
      </c>
      <c r="AV92" t="n">
        <v/>
      </c>
      <c r="AW92" t="n">
        <v/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I92" t="n">
        <v/>
      </c>
      <c r="BJ92" t="n">
        <v/>
      </c>
      <c r="BK92" t="n">
        <v/>
      </c>
      <c r="BL92" t="n">
        <v>0</v>
      </c>
      <c r="BM92" t="n">
        <v>0</v>
      </c>
      <c r="BN92" t="n">
        <v>617.7707912767361</v>
      </c>
      <c r="BO92" t="n">
        <v/>
      </c>
      <c r="BP92" t="n">
        <v/>
      </c>
      <c r="BQ92" t="n">
        <v/>
      </c>
      <c r="BR92" t="n">
        <v/>
      </c>
      <c r="BS92" t="b">
        <v>0</v>
      </c>
      <c r="BT92" t="n">
        <v/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S93" t="n">
        <v/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Y93" t="n">
        <v/>
      </c>
      <c r="Z93" t="n">
        <v/>
      </c>
      <c r="AA93" t="n">
        <v/>
      </c>
      <c r="AB93" t="n">
        <v/>
      </c>
      <c r="AC93" t="inlineStr">
        <is>
          <t>2024-01-21</t>
        </is>
      </c>
      <c r="AD93" t="n">
        <v/>
      </c>
      <c r="AE93" t="n">
        <v/>
      </c>
      <c r="AF93" t="n">
        <v/>
      </c>
      <c r="AG93" t="n">
        <v/>
      </c>
      <c r="AH93" t="n">
        <v/>
      </c>
      <c r="AI93" t="n">
        <v/>
      </c>
      <c r="AJ93" t="n">
        <v/>
      </c>
      <c r="AK93" t="n">
        <v/>
      </c>
      <c r="AL93" t="n">
        <v/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P93" t="n">
        <v/>
      </c>
      <c r="AQ93" t="n">
        <v/>
      </c>
      <c r="AR93" t="n">
        <v/>
      </c>
      <c r="AS93" t="n">
        <v>3</v>
      </c>
      <c r="AT93" t="n">
        <v/>
      </c>
      <c r="AU93" t="n">
        <v/>
      </c>
      <c r="AV93" t="n">
        <v/>
      </c>
      <c r="AW93" t="n">
        <v/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I93" t="n">
        <v/>
      </c>
      <c r="BJ93" t="n">
        <v/>
      </c>
      <c r="BK93" t="n">
        <v/>
      </c>
      <c r="BL93" t="n">
        <v>0</v>
      </c>
      <c r="BM93" t="n">
        <v>0</v>
      </c>
      <c r="BN93" t="n">
        <v>704.7707912768403</v>
      </c>
      <c r="BO93" t="n">
        <v/>
      </c>
      <c r="BP93" t="n">
        <v/>
      </c>
      <c r="BQ93" t="n">
        <v/>
      </c>
      <c r="BR93" t="inlineStr">
        <is>
          <t>TC-3060</t>
        </is>
      </c>
      <c r="BS93" t="b">
        <v>0</v>
      </c>
      <c r="BT93" t="n">
        <v/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S94" t="n">
        <v/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P94" t="n">
        <v/>
      </c>
      <c r="AQ94" t="n">
        <v/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T94" t="n">
        <v/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S95" t="n">
        <v/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Y95" t="n">
        <v/>
      </c>
      <c r="Z95" t="n">
        <v/>
      </c>
      <c r="AA95" t="n">
        <v/>
      </c>
      <c r="AB95" t="n">
        <v/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H95" t="n">
        <v/>
      </c>
      <c r="AI95" t="n">
        <v/>
      </c>
      <c r="AJ95" t="n">
        <v/>
      </c>
      <c r="AK95" t="n">
        <v/>
      </c>
      <c r="AL95" t="n">
        <v/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P95" t="n">
        <v/>
      </c>
      <c r="AQ95" t="n">
        <v/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V95" t="n">
        <v/>
      </c>
      <c r="AW95" t="n">
        <v/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I95" t="n">
        <v/>
      </c>
      <c r="BJ95" t="n">
        <v/>
      </c>
      <c r="BK95" t="n">
        <v>14</v>
      </c>
      <c r="BL95" t="n">
        <v>22</v>
      </c>
      <c r="BM95" t="n">
        <v>0</v>
      </c>
      <c r="BN95" t="n">
        <v>661.7707912770602</v>
      </c>
      <c r="BO95" t="n">
        <v/>
      </c>
      <c r="BP95" t="n">
        <v/>
      </c>
      <c r="BQ95" t="n">
        <v/>
      </c>
      <c r="BR95" t="n">
        <v/>
      </c>
      <c r="BS95" t="b">
        <v>0</v>
      </c>
      <c r="BT95" t="n">
        <v/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Y96" t="n">
        <v/>
      </c>
      <c r="Z96" t="n">
        <v/>
      </c>
      <c r="AA96" t="n">
        <v/>
      </c>
      <c r="AB96" t="n">
        <v/>
      </c>
      <c r="AC96" t="inlineStr">
        <is>
          <t>2024-02-02</t>
        </is>
      </c>
      <c r="AD96" t="inlineStr">
        <is>
          <t>2024-02-03 07:00:00</t>
        </is>
      </c>
      <c r="AE96" t="n">
        <v/>
      </c>
      <c r="AF96" t="n">
        <v/>
      </c>
      <c r="AG96" t="n">
        <v/>
      </c>
      <c r="AH96" t="n">
        <v/>
      </c>
      <c r="AI96" t="n">
        <v/>
      </c>
      <c r="AJ96" t="n">
        <v/>
      </c>
      <c r="AK96" t="n">
        <v/>
      </c>
      <c r="AL96" t="n">
        <v/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P96" t="n">
        <v/>
      </c>
      <c r="AQ96" t="n">
        <v/>
      </c>
      <c r="AR96" t="inlineStr">
        <is>
          <t>Open</t>
        </is>
      </c>
      <c r="AS96" t="n">
        <v>2</v>
      </c>
      <c r="AT96" t="n">
        <v/>
      </c>
      <c r="AU96" t="n">
        <v/>
      </c>
      <c r="AV96" t="n">
        <v/>
      </c>
      <c r="AW96" t="n">
        <v/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I96" t="n">
        <v/>
      </c>
      <c r="BJ96" t="n">
        <v/>
      </c>
      <c r="BK96" t="n">
        <v/>
      </c>
      <c r="BL96" t="n">
        <v>0</v>
      </c>
      <c r="BM96" t="n">
        <v>0</v>
      </c>
      <c r="BN96" t="n">
        <v>692.7707912771643</v>
      </c>
      <c r="BO96" t="n">
        <v/>
      </c>
      <c r="BP96" t="n">
        <v/>
      </c>
      <c r="BQ96" t="n">
        <v/>
      </c>
      <c r="BR96" t="inlineStr">
        <is>
          <t>TC-9645</t>
        </is>
      </c>
      <c r="BS96" t="b">
        <v>0</v>
      </c>
      <c r="BT96" t="n">
        <v/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S97" t="n">
        <v/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J97" t="n">
        <v/>
      </c>
      <c r="AK97" t="n">
        <v/>
      </c>
      <c r="AL97" t="n">
        <v/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P97" t="n">
        <v/>
      </c>
      <c r="AQ97" t="n">
        <v/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I97" t="n">
        <v/>
      </c>
      <c r="BJ97" t="n">
        <v/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Q97" t="n">
        <v/>
      </c>
      <c r="BR97" t="n">
        <v/>
      </c>
      <c r="BS97" t="b">
        <v>0</v>
      </c>
      <c r="BT97" t="n">
        <v/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S98" t="n">
        <v/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S99" t="n">
        <v/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Y99" t="n">
        <v/>
      </c>
      <c r="Z99" t="n">
        <v/>
      </c>
      <c r="AA99" t="n">
        <v/>
      </c>
      <c r="AB99" t="n">
        <v/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F99" t="n">
        <v/>
      </c>
      <c r="AG99" t="n">
        <v/>
      </c>
      <c r="AH99" t="n">
        <v/>
      </c>
      <c r="AI99" t="n">
        <v/>
      </c>
      <c r="AJ99" t="n">
        <v/>
      </c>
      <c r="AK99" t="n">
        <v/>
      </c>
      <c r="AL99" t="n">
        <v/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P99" t="n">
        <v/>
      </c>
      <c r="AQ99" t="n">
        <v/>
      </c>
      <c r="AR99" t="inlineStr">
        <is>
          <t>Triage</t>
        </is>
      </c>
      <c r="AS99" t="n">
        <v>5</v>
      </c>
      <c r="AT99" t="n">
        <v>23</v>
      </c>
      <c r="AU99" t="n">
        <v/>
      </c>
      <c r="AV99" t="n">
        <v/>
      </c>
      <c r="AW99" t="n">
        <v/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I99" t="n">
        <v/>
      </c>
      <c r="BJ99" t="n">
        <v/>
      </c>
      <c r="BK99" t="n">
        <v>49</v>
      </c>
      <c r="BL99" t="n">
        <v>23</v>
      </c>
      <c r="BM99" t="n">
        <v>0</v>
      </c>
      <c r="BN99" t="n">
        <v>628.7707912774885</v>
      </c>
      <c r="BO99" t="n">
        <v/>
      </c>
      <c r="BP99" t="n">
        <v/>
      </c>
      <c r="BQ99" t="n">
        <v/>
      </c>
      <c r="BR99" t="n">
        <v/>
      </c>
      <c r="BS99" t="b">
        <v>0</v>
      </c>
      <c r="BT99" t="n">
        <v/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S100" t="n">
        <v/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L100" t="n">
        <v/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P100" t="n">
        <v/>
      </c>
      <c r="AQ100" t="n">
        <v/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I100" t="n">
        <v/>
      </c>
      <c r="BJ100" t="n">
        <v/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Q100" t="n">
        <v/>
      </c>
      <c r="BR100" t="n">
        <v/>
      </c>
      <c r="BS100" t="b">
        <v>0</v>
      </c>
      <c r="BT100" t="n">
        <v/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S101" t="n">
        <v/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Y101" t="n">
        <v/>
      </c>
      <c r="Z101" t="n">
        <v/>
      </c>
      <c r="AA101" t="n">
        <v/>
      </c>
      <c r="AB101" t="n">
        <v/>
      </c>
      <c r="AC101" t="inlineStr">
        <is>
          <t>2024-06-02</t>
        </is>
      </c>
      <c r="AD101" t="inlineStr">
        <is>
          <t>2024-06-02 08:00:00</t>
        </is>
      </c>
      <c r="AE101" t="n">
        <v/>
      </c>
      <c r="AF101" t="n">
        <v/>
      </c>
      <c r="AG101" t="n">
        <v/>
      </c>
      <c r="AH101" t="n">
        <v/>
      </c>
      <c r="AI101" t="n">
        <v/>
      </c>
      <c r="AJ101" t="n">
        <v/>
      </c>
      <c r="AK101" t="n">
        <v/>
      </c>
      <c r="AL101" t="n">
        <v/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P101" t="n">
        <v/>
      </c>
      <c r="AQ101" t="n">
        <v/>
      </c>
      <c r="AR101" t="inlineStr">
        <is>
          <t>Open</t>
        </is>
      </c>
      <c r="AS101" t="n">
        <v>1</v>
      </c>
      <c r="AT101" t="n">
        <v/>
      </c>
      <c r="AU101" t="n">
        <v/>
      </c>
      <c r="AV101" t="n">
        <v/>
      </c>
      <c r="AW101" t="n">
        <v/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I101" t="n">
        <v/>
      </c>
      <c r="BJ101" t="n">
        <v/>
      </c>
      <c r="BK101" t="n">
        <v/>
      </c>
      <c r="BL101" t="n">
        <v>0</v>
      </c>
      <c r="BM101" t="n">
        <v>0</v>
      </c>
      <c r="BN101" t="n">
        <v>571.7707912777083</v>
      </c>
      <c r="BO101" t="n">
        <v/>
      </c>
      <c r="BP101" t="n">
        <v/>
      </c>
      <c r="BQ101" t="n">
        <v/>
      </c>
      <c r="BR101" t="n">
        <v/>
      </c>
      <c r="BS101" t="b">
        <v>0</v>
      </c>
      <c r="BT101" t="n">
        <v/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Code</t>
        </is>
      </c>
      <c r="B1" s="13" t="inlineStr">
        <is>
          <t>Metric_Name</t>
        </is>
      </c>
      <c r="C1" s="13" t="inlineStr">
        <is>
          <t>Value</t>
        </is>
      </c>
      <c r="D1" s="13" t="inlineStr">
        <is>
          <t>Formula_Text</t>
        </is>
      </c>
      <c r="E1" s="1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TOP 20 CRITICAL BUGS</t>
        </is>
      </c>
    </row>
    <row r="2">
      <c r="A2" s="15" t="inlineStr">
        <is>
          <t>BugID</t>
        </is>
      </c>
      <c r="B2" s="15" t="inlineStr">
        <is>
          <t>Title</t>
        </is>
      </c>
      <c r="C2" s="1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2025-12-25T21:35:17Z</dcterms:created>
  <dcterms:modified xsi:type="dcterms:W3CDTF">2025-12-25T21:35:17Z</dcterms:modified>
</cp:coreProperties>
</file>