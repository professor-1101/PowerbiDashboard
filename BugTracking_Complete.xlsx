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Dashboard" sheetId="1" state="visible" r:id="rId1"/>
    <sheet name="Volume_Analysis" sheetId="2" state="visible" r:id="rId2"/>
    <sheet name="Team_Performance" sheetId="3" state="visible" r:id="rId3"/>
    <sheet name="Sprint_Analysis" sheetId="4" state="visible" r:id="rId4"/>
    <sheet name="Time_Flow" sheetId="5" state="visible" r:id="rId5"/>
    <sheet name="Quality_Analysis" sheetId="6" state="visible" r:id="rId6"/>
    <sheet name="KPIs_Detail" sheetId="7" state="visible" r:id="rId7"/>
    <sheet name="raw_data" sheetId="8" state="visible" r:id="rId8"/>
    <sheet name="metrics" sheetId="9" state="visible" r:id="rId9"/>
    <sheet name="Summary_Top20" sheetId="10" state="visible" r:id="rId10"/>
  </sheets>
  <definedNames>
    <definedName name="_xlnm._FilterDatabase" localSheetId="7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b val="1"/>
      <color rgb="001F4E78"/>
      <sz val="10"/>
    </font>
    <font>
      <b val="1"/>
      <color rgb="00FFFFFF"/>
      <sz val="9"/>
    </font>
    <font>
      <b val="1"/>
      <color rgb="00FFFFFF"/>
      <sz val="14"/>
    </font>
    <font>
      <i val="1"/>
      <color rgb="00FFFFFF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</font>
    <font>
      <b val="1"/>
      <color rgb="00FFFFFF"/>
      <sz val="16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9" fillId="8" borderId="0" pivotButton="0" quotePrefix="0" xfId="0"/>
    <xf numFmtId="0" fontId="7" fillId="6" borderId="0" pivotButton="0" quotePrefix="0" xfId="0"/>
    <xf numFmtId="0" fontId="5" fillId="7" borderId="0" pivotButton="0" quotePrefix="0" xfId="0"/>
    <xf numFmtId="0" fontId="10" fillId="0" borderId="0" pivotButton="0" quotePrefix="0" xfId="0"/>
    <xf numFmtId="0" fontId="11" fillId="6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'PowerBI_Dashboard'!B24</f>
            </strRef>
          </tx>
          <spPr>
            <a:ln>
              <a:prstDash val="solid"/>
            </a:ln>
          </spPr>
          <cat>
            <numRef>
              <f>'PowerBI_Dashboard'!$A$25:$A$29</f>
            </numRef>
          </cat>
          <val>
            <numRef>
              <f>'PowerBI_Dashboard'!$B$25:$B$29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 Level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'PowerBI_Dashboard'!E24</f>
            </strRef>
          </tx>
          <spPr>
            <a:ln>
              <a:prstDash val="solid"/>
            </a:ln>
          </spPr>
          <cat>
            <numRef>
              <f>'PowerBI_Dashboard'!$D$25:$D$28</f>
            </numRef>
          </cat>
          <val>
            <numRef>
              <f>'PowerBI_Dashboard'!$E$25:$E$28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Trend - Opened vs Closed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'PowerBI_Dashboard'!H24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'PowerBI_Dashboard'!$H$25:$H$30</f>
            </numRef>
          </val>
        </ser>
        <ser>
          <idx val="1"/>
          <order val="1"/>
          <tx>
            <strRef>
              <f>'PowerBI_Dashboard'!I24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'PowerBI_Dashboard'!$I$25:$I$30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'PowerBI_Dashboard'!L24</f>
            </strRef>
          </tx>
          <spPr>
            <a:ln>
              <a:prstDash val="solid"/>
            </a:ln>
          </spPr>
          <cat>
            <numRef>
              <f>'PowerBI_Dashboard'!$K$25:$K$28</f>
            </numRef>
          </cat>
          <val>
            <numRef>
              <f>'PowerBI_Dashboard'!$L$25:$L$28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'PowerBI_Dashboard'!B34</f>
            </strRef>
          </tx>
          <spPr>
            <a:ln>
              <a:prstDash val="solid"/>
            </a:ln>
          </spPr>
          <cat>
            <numRef>
              <f>'PowerBI_Dashboard'!$A$35:$A$40</f>
            </numRef>
          </cat>
          <val>
            <numRef>
              <f>'PowerBI_Dashboard'!$B$35:$B$40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Performance (Open vs Resolved)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'PowerBI_Dashboard'!E34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'PowerBI_Dashboard'!$E$35:$E$38</f>
            </numRef>
          </val>
        </ser>
        <ser>
          <idx val="1"/>
          <order val="1"/>
          <tx>
            <strRef>
              <f>'PowerBI_Dashboard'!F34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'PowerBI_Dashboard'!$F$35:$F$38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'Volume_Analysis'!$A$5:$A$8</f>
            </numRef>
          </cat>
          <val>
            <numRef>
              <f>'Volume_Analysis'!$B$5:$B$8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'Volume_Analysis'!$D$5:$D$12</f>
            </numRef>
          </cat>
          <val>
            <numRef>
              <f>'Volume_Analysis'!$E$5:$E$12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'Volume_Analysis'!$G$5:$G$10</f>
            </numRef>
          </cat>
          <val>
            <numRef>
              <f>'Volume_Analysis'!$H$5:$H$10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'Volume_Analysis'!$J$5:$J$14</f>
            </numRef>
          </cat>
          <val>
            <numRef>
              <f>'Volume_Analysis'!$K$5:$K$14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'Volume_Analysis'!$M$5:$M$8</f>
            </numRef>
          </cat>
          <val>
            <numRef>
              <f>'Volume_Analysis'!$N$5:$N$8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Team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'Team_Performance'!$A$5:$A$8</f>
            </numRef>
          </cat>
          <val>
            <numRef>
              <f>'Team_Performance'!$B$5:$B$8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'Team_Performance'!$D$5:$D$14</f>
            </numRef>
          </cat>
          <val>
            <numRef>
              <f>'Team_Performance'!$E$5:$E$14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Resolvers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'Team_Performance'!$G$5:$G$14</f>
            </numRef>
          </cat>
          <val>
            <numRef>
              <f>'Team_Performance'!$H$5:$H$14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Sprint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'Sprint_Analysis'!$A$5:$A$9</f>
            </numRef>
          </cat>
          <val>
            <numRef>
              <f>'Sprint_Analysis'!$B$5:$B$9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Aging Buckets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'Time_Flow'!$A$5:$A$9</f>
            </numRef>
          </cat>
          <val>
            <numRef>
              <f>'Time_Flow'!$B$5:$B$9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vs Cycle Time</a:t>
            </a:r>
          </a:p>
        </rich>
      </tx>
    </title>
    <plotArea>
      <scatterChart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'Time_Flow'!$D$15:$D$64</f>
            </numRef>
          </xVal>
          <yVal>
            <numRef>
              <f>'Time_Flow'!$E$15:$E$64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Lead Time (hrs)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(hrs)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Reopen Analysis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'Quality_Analysis'!$A$5:$A$8</f>
            </numRef>
          </cat>
          <val>
            <numRef>
              <f>'Quality_Analysis'!$B$5:$B$8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Escaped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'Quality_Analysis'!$D$5:$D$6</f>
            </numRef>
          </cat>
          <val>
            <numRef>
              <f>'Quality_Analysis'!$E$5:$E$6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Regression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'Quality_Analysis'!$G$5:$G$6</f>
            </numRef>
          </cat>
          <val>
            <numRef>
              <f>'Quality_Analysis'!$H$5:$H$6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47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47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47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34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34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4" customWidth="1" min="7" max="7"/>
    <col width="14" customWidth="1" min="9" max="9"/>
    <col width="14" customWidth="1" min="11" max="11"/>
    <col width="14" customWidth="1" min="13" max="13"/>
  </cols>
  <sheetData>
    <row r="1" ht="35" customHeight="1">
      <c r="A1" s="1" t="inlineStr">
        <is>
          <t>BUG TRACKING &amp; QUALITY ASSURANCE DASHBOARD</t>
        </is>
      </c>
    </row>
    <row r="2" ht="20" customHeight="1">
      <c r="A2" s="2" t="inlineStr">
        <is>
          <t>Executive Summary | Last Updated: December 25, 2025 at 21:46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  <c r="M4" s="3" t="inlineStr">
        <is>
          <t>State</t>
        </is>
      </c>
    </row>
    <row r="5" ht="25" customHeight="1">
      <c r="A5" s="4" t="inlineStr">
        <is>
          <t>2023-01-01</t>
        </is>
      </c>
      <c r="C5" s="4" t="inlineStr">
        <is>
          <t>2023-12-31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  <c r="M5" s="4" t="inlineStr">
        <is>
          <t>All</t>
        </is>
      </c>
    </row>
    <row r="8">
      <c r="A8" s="5" t="inlineStr">
        <is>
          <t>Total Bugs</t>
        </is>
      </c>
      <c r="C8" s="6" t="inlineStr">
        <is>
          <t>Open Bugs</t>
        </is>
      </c>
      <c r="E8" s="7" t="inlineStr">
        <is>
          <t>Critical Bugs</t>
        </is>
      </c>
      <c r="G8" s="8" t="inlineStr">
        <is>
          <t>Resolved Bugs</t>
        </is>
      </c>
      <c r="I8" s="8" t="inlineStr">
        <is>
          <t>Quality Index</t>
        </is>
      </c>
      <c r="K8" s="8" t="inlineStr">
        <is>
          <t>Avg Lead Time</t>
        </is>
      </c>
    </row>
    <row r="9">
      <c r="A9" s="9" t="inlineStr">
        <is>
          <t>8,431</t>
        </is>
      </c>
      <c r="C9" s="10" t="inlineStr">
        <is>
          <t>2,145</t>
        </is>
      </c>
      <c r="E9" s="11" t="inlineStr">
        <is>
          <t>842</t>
        </is>
      </c>
      <c r="G9" s="12" t="inlineStr">
        <is>
          <t>4,782</t>
        </is>
      </c>
      <c r="I9" s="12" t="inlineStr">
        <is>
          <t>85.4%</t>
        </is>
      </c>
      <c r="K9" s="12" t="inlineStr">
        <is>
          <t>48.5h</t>
        </is>
      </c>
    </row>
    <row r="10">
      <c r="A10" s="13" t="inlineStr">
        <is>
          <t>vs 7,215</t>
        </is>
      </c>
      <c r="C10" s="14" t="inlineStr">
        <is>
          <t>vs 2,876</t>
        </is>
      </c>
      <c r="E10" s="15" t="inlineStr">
        <is>
          <t>vs 1,123</t>
        </is>
      </c>
      <c r="G10" s="16" t="inlineStr">
        <is>
          <t>vs 3,912</t>
        </is>
      </c>
      <c r="I10" s="16" t="inlineStr">
        <is>
          <t>vs 78.2%</t>
        </is>
      </c>
      <c r="K10" s="16" t="inlineStr">
        <is>
          <t>vs 56.3h</t>
        </is>
      </c>
    </row>
    <row r="11">
      <c r="A11" s="5" t="inlineStr">
        <is>
          <t>+16.8%</t>
        </is>
      </c>
      <c r="C11" s="6" t="inlineStr">
        <is>
          <t>-25.4%</t>
        </is>
      </c>
      <c r="E11" s="7" t="inlineStr">
        <is>
          <t>-25.0%</t>
        </is>
      </c>
      <c r="G11" s="8" t="inlineStr">
        <is>
          <t>+22.2%</t>
        </is>
      </c>
      <c r="I11" s="8" t="inlineStr">
        <is>
          <t>+9.2%</t>
        </is>
      </c>
      <c r="K11" s="8" t="inlineStr">
        <is>
          <t>-13.9%</t>
        </is>
      </c>
    </row>
    <row r="14">
      <c r="A14" s="6" t="inlineStr">
        <is>
          <t>High Severity</t>
        </is>
      </c>
      <c r="C14" s="17" t="inlineStr">
        <is>
          <t>Medium Severity</t>
        </is>
      </c>
      <c r="E14" s="8" t="inlineStr">
        <is>
          <t>Low Severity</t>
        </is>
      </c>
      <c r="G14" s="7" t="inlineStr">
        <is>
          <t>Reopened Bugs</t>
        </is>
      </c>
      <c r="I14" s="7" t="inlineStr">
        <is>
          <t>Escaped Bugs</t>
        </is>
      </c>
      <c r="K14" s="7" t="inlineStr">
        <is>
          <t>P0 Bugs</t>
        </is>
      </c>
    </row>
    <row r="15">
      <c r="A15" s="10" t="inlineStr">
        <is>
          <t>1,928</t>
        </is>
      </c>
      <c r="C15" s="18" t="inlineStr">
        <is>
          <t>3,201</t>
        </is>
      </c>
      <c r="E15" s="12" t="inlineStr">
        <is>
          <t>2,518</t>
        </is>
      </c>
      <c r="G15" s="11" t="inlineStr">
        <is>
          <t>621</t>
        </is>
      </c>
      <c r="I15" s="11" t="inlineStr">
        <is>
          <t>412</t>
        </is>
      </c>
      <c r="K15" s="11" t="inlineStr">
        <is>
          <t>512</t>
        </is>
      </c>
    </row>
    <row r="16">
      <c r="A16" s="14" t="inlineStr">
        <is>
          <t>vs 1,645</t>
        </is>
      </c>
      <c r="C16" s="19" t="inlineStr">
        <is>
          <t>vs 2,834</t>
        </is>
      </c>
      <c r="E16" s="16" t="inlineStr">
        <is>
          <t>vs 1,713</t>
        </is>
      </c>
      <c r="G16" s="15" t="inlineStr">
        <is>
          <t>vs 834</t>
        </is>
      </c>
      <c r="I16" s="15" t="inlineStr">
        <is>
          <t>vs 623</t>
        </is>
      </c>
      <c r="K16" s="15" t="inlineStr">
        <is>
          <t>vs 734</t>
        </is>
      </c>
    </row>
    <row r="17">
      <c r="A17" s="6" t="inlineStr">
        <is>
          <t>+17.2%</t>
        </is>
      </c>
      <c r="C17" s="17" t="inlineStr">
        <is>
          <t>+13.0%</t>
        </is>
      </c>
      <c r="E17" s="8" t="inlineStr">
        <is>
          <t>+47.1%</t>
        </is>
      </c>
      <c r="G17" s="7" t="inlineStr">
        <is>
          <t>-25.5%</t>
        </is>
      </c>
      <c r="I17" s="7" t="inlineStr">
        <is>
          <t>-33.9%</t>
        </is>
      </c>
      <c r="K17" s="7" t="inlineStr">
        <is>
          <t>-30.2%</t>
        </is>
      </c>
    </row>
    <row r="24">
      <c r="A24" t="inlineStr">
        <is>
          <t>Status</t>
        </is>
      </c>
      <c r="B24" t="inlineStr">
        <is>
          <t>Count</t>
        </is>
      </c>
      <c r="D24" t="inlineStr">
        <is>
          <t>Severity</t>
        </is>
      </c>
      <c r="E24" t="inlineStr">
        <is>
          <t>Count</t>
        </is>
      </c>
      <c r="G24" t="inlineStr">
        <is>
          <t>Month</t>
        </is>
      </c>
      <c r="H24" t="inlineStr">
        <is>
          <t>Opened</t>
        </is>
      </c>
      <c r="I24" t="inlineStr">
        <is>
          <t>Closed</t>
        </is>
      </c>
      <c r="K24" t="inlineStr">
        <is>
          <t>Priority</t>
        </is>
      </c>
      <c r="L24" t="inlineStr">
        <is>
          <t>Count</t>
        </is>
      </c>
    </row>
    <row r="25">
      <c r="A25" t="inlineStr">
        <is>
          <t>Open</t>
        </is>
      </c>
      <c r="B25" t="n">
        <v>2145</v>
      </c>
      <c r="D25" t="inlineStr">
        <is>
          <t>Critical</t>
        </is>
      </c>
      <c r="E25" t="n">
        <v>842</v>
      </c>
      <c r="G25" t="inlineStr">
        <is>
          <t>Jan</t>
        </is>
      </c>
      <c r="H25" t="n">
        <v>2100</v>
      </c>
      <c r="I25" t="n">
        <v>1800</v>
      </c>
      <c r="K25" t="inlineStr">
        <is>
          <t>P0</t>
        </is>
      </c>
      <c r="L25" t="n">
        <v>512</v>
      </c>
    </row>
    <row r="26">
      <c r="A26" t="inlineStr">
        <is>
          <t>Active</t>
        </is>
      </c>
      <c r="B26" t="n">
        <v>3501</v>
      </c>
      <c r="D26" t="inlineStr">
        <is>
          <t>High</t>
        </is>
      </c>
      <c r="E26" t="n">
        <v>1928</v>
      </c>
      <c r="G26" t="inlineStr">
        <is>
          <t>Feb</t>
        </is>
      </c>
      <c r="H26" t="n">
        <v>2300</v>
      </c>
      <c r="I26" t="n">
        <v>1950</v>
      </c>
      <c r="K26" t="inlineStr">
        <is>
          <t>P1</t>
        </is>
      </c>
      <c r="L26" t="n">
        <v>1334</v>
      </c>
    </row>
    <row r="27">
      <c r="A27" t="inlineStr">
        <is>
          <t>In Progress</t>
        </is>
      </c>
      <c r="B27" t="n">
        <v>1523</v>
      </c>
      <c r="D27" t="inlineStr">
        <is>
          <t>Medium</t>
        </is>
      </c>
      <c r="E27" t="n">
        <v>3201</v>
      </c>
      <c r="G27" t="inlineStr">
        <is>
          <t>Mar</t>
        </is>
      </c>
      <c r="H27" t="n">
        <v>2150</v>
      </c>
      <c r="I27" t="n">
        <v>2100</v>
      </c>
      <c r="K27" t="inlineStr">
        <is>
          <t>P2</t>
        </is>
      </c>
      <c r="L27" t="n">
        <v>2876</v>
      </c>
    </row>
    <row r="28">
      <c r="A28" t="inlineStr">
        <is>
          <t>Resolved</t>
        </is>
      </c>
      <c r="B28" t="n">
        <v>4782</v>
      </c>
      <c r="D28" t="inlineStr">
        <is>
          <t>Low</t>
        </is>
      </c>
      <c r="E28" t="n">
        <v>2518</v>
      </c>
      <c r="G28" t="inlineStr">
        <is>
          <t>Apr</t>
        </is>
      </c>
      <c r="H28" t="n">
        <v>2400</v>
      </c>
      <c r="I28" t="n">
        <v>2200</v>
      </c>
      <c r="K28" t="inlineStr">
        <is>
          <t>P3</t>
        </is>
      </c>
      <c r="L28" t="n">
        <v>3709</v>
      </c>
    </row>
    <row r="29">
      <c r="A29" t="inlineStr">
        <is>
          <t>Closed</t>
        </is>
      </c>
      <c r="B29" t="n">
        <v>3945</v>
      </c>
      <c r="G29" t="inlineStr">
        <is>
          <t>May</t>
        </is>
      </c>
      <c r="H29" t="n">
        <v>2200</v>
      </c>
      <c r="I29" t="n">
        <v>2350</v>
      </c>
    </row>
    <row r="30">
      <c r="G30" t="inlineStr">
        <is>
          <t>Jun</t>
        </is>
      </c>
      <c r="H30" t="n">
        <v>2500</v>
      </c>
      <c r="I30" t="n">
        <v>2100</v>
      </c>
    </row>
    <row r="34">
      <c r="A34" t="inlineStr">
        <is>
          <t>Category</t>
        </is>
      </c>
      <c r="B34" t="inlineStr">
        <is>
          <t>Count</t>
        </is>
      </c>
      <c r="D34" t="inlineStr">
        <is>
          <t>Team</t>
        </is>
      </c>
      <c r="E34" t="inlineStr">
        <is>
          <t>Open Bugs</t>
        </is>
      </c>
      <c r="F34" t="inlineStr">
        <is>
          <t>Resolved</t>
        </is>
      </c>
    </row>
    <row r="35">
      <c r="A35" t="inlineStr">
        <is>
          <t>UI/UX</t>
        </is>
      </c>
      <c r="B35" t="n">
        <v>1845</v>
      </c>
      <c r="D35" t="inlineStr">
        <is>
          <t>Team A</t>
        </is>
      </c>
      <c r="E35" t="n">
        <v>523</v>
      </c>
      <c r="F35" t="n">
        <v>892</v>
      </c>
    </row>
    <row r="36">
      <c r="A36" t="inlineStr">
        <is>
          <t>Performance</t>
        </is>
      </c>
      <c r="B36" t="n">
        <v>512</v>
      </c>
      <c r="D36" t="inlineStr">
        <is>
          <t>Team B</t>
        </is>
      </c>
      <c r="E36" t="n">
        <v>634</v>
      </c>
      <c r="F36" t="n">
        <v>1023</v>
      </c>
    </row>
    <row r="37">
      <c r="A37" t="inlineStr">
        <is>
          <t>Security</t>
        </is>
      </c>
      <c r="B37" t="n">
        <v>318</v>
      </c>
      <c r="D37" t="inlineStr">
        <is>
          <t>Team C</t>
        </is>
      </c>
      <c r="E37" t="n">
        <v>445</v>
      </c>
      <c r="F37" t="n">
        <v>789</v>
      </c>
    </row>
    <row r="38">
      <c r="A38" t="inlineStr">
        <is>
          <t>Data Integrity</t>
        </is>
      </c>
      <c r="B38" t="n">
        <v>445</v>
      </c>
      <c r="D38" t="inlineStr">
        <is>
          <t>Team D</t>
        </is>
      </c>
      <c r="E38" t="n">
        <v>543</v>
      </c>
      <c r="F38" t="n">
        <v>967</v>
      </c>
    </row>
    <row r="39">
      <c r="A39" t="inlineStr">
        <is>
          <t>API</t>
        </is>
      </c>
      <c r="B39" t="n">
        <v>923</v>
      </c>
    </row>
    <row r="40">
      <c r="A40" t="inlineStr">
        <is>
          <t>Database</t>
        </is>
      </c>
      <c r="B40" t="n">
        <v>678</v>
      </c>
    </row>
  </sheetData>
  <mergeCells count="2">
    <mergeCell ref="A1:P1"/>
    <mergeCell ref="A2:P2"/>
  </mergeCells>
  <dataValidations count="5">
    <dataValidation sqref="E5" showDropDown="0" showInputMessage="0" showErrorMessage="0" allowBlank="0" errorTitle="Invalid Entry" error="Invalid selection. Please choose from the list." promptTitle="Select Project" prompt="Please select Project" type="list">
      <formula1>"All,Project Alpha,Project Beta,Project Gamma"</formula1>
    </dataValidation>
    <dataValidation sqref="G5" showDropDown="0" showInputMessage="0" showErrorMessage="0" allowBlank="0" errorTitle="Invalid Entry" error="Invalid selection. Please choose from the list." promptTitle="Select Team" prompt="Please select Team" type="list">
      <formula1>"All,Team A,Team B,Team C,Team D"</formula1>
    </dataValidation>
    <dataValidation sqref="I5" showDropDown="0" showInputMessage="0" showErrorMessage="0" allowBlank="0" errorTitle="Invalid Entry" error="Invalid selection. Please choose from the list." promptTitle="Select Sprint" prompt="Please select Sprint" type="list">
      <formula1>"All,Sprint 1,Sprint 2,Sprint 3,Sprint 4,Sprint 5"</formula1>
    </dataValidation>
    <dataValidation sqref="K5" showDropDown="0" showInputMessage="0" showErrorMessage="0" allowBlank="0" errorTitle="Invalid Entry" error="Invalid selection. Please choose from the list." promptTitle="Select Severity" prompt="Please select Severity" type="list">
      <formula1>"All,Critical,High,Medium,Low"</formula1>
    </dataValidation>
    <dataValidation sqref="M5" showDropDown="0" showInputMessage="0" showErrorMessage="0" allowBlank="0" errorTitle="Invalid Entry" error="Invalid selection. Please choose from the list." promptTitle="Select State" prompt="Please select State" type="list">
      <formula1>"All,Open,Active,In Progress,Resolved,Closed"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6" t="inlineStr">
        <is>
          <t>VOLUME ANALYSIS DASHBOARD</t>
        </is>
      </c>
    </row>
    <row r="5">
      <c r="A5" t="inlineStr">
        <is>
          <t>Medium</t>
        </is>
      </c>
      <c r="B5" t="n">
        <v>35</v>
      </c>
      <c r="D5" t="inlineStr">
        <is>
          <t>Closed</t>
        </is>
      </c>
      <c r="E5" t="n">
        <v>31</v>
      </c>
      <c r="G5" t="inlineStr">
        <is>
          <t>Data</t>
        </is>
      </c>
      <c r="H5" t="n">
        <v>21</v>
      </c>
      <c r="J5" t="inlineStr">
        <is>
          <t>Dem\DemBiz\SP_88</t>
        </is>
      </c>
      <c r="K5" t="n">
        <v>100</v>
      </c>
      <c r="M5" t="inlineStr">
        <is>
          <t>P2</t>
        </is>
      </c>
      <c r="N5" t="n">
        <v>43</v>
      </c>
    </row>
    <row r="6">
      <c r="A6" t="inlineStr">
        <is>
          <t>High</t>
        </is>
      </c>
      <c r="B6" t="n">
        <v>28</v>
      </c>
      <c r="D6" t="inlineStr">
        <is>
          <t>Done</t>
        </is>
      </c>
      <c r="E6" t="n">
        <v>20</v>
      </c>
      <c r="G6" t="inlineStr">
        <is>
          <t>Backend</t>
        </is>
      </c>
      <c r="H6" t="n">
        <v>20</v>
      </c>
      <c r="M6" t="inlineStr">
        <is>
          <t>P3</t>
        </is>
      </c>
      <c r="N6" t="n">
        <v>30</v>
      </c>
    </row>
    <row r="7">
      <c r="A7" t="inlineStr">
        <is>
          <t>Low</t>
        </is>
      </c>
      <c r="B7" t="n">
        <v>24</v>
      </c>
      <c r="D7" t="inlineStr">
        <is>
          <t>In Progress</t>
        </is>
      </c>
      <c r="E7" t="n">
        <v>15</v>
      </c>
      <c r="G7" t="inlineStr">
        <is>
          <t>Security</t>
        </is>
      </c>
      <c r="H7" t="n">
        <v>18</v>
      </c>
      <c r="M7" t="inlineStr">
        <is>
          <t>P1</t>
        </is>
      </c>
      <c r="N7" t="n">
        <v>22</v>
      </c>
    </row>
    <row r="8">
      <c r="A8" t="inlineStr">
        <is>
          <t>Critical</t>
        </is>
      </c>
      <c r="B8" t="n">
        <v>13</v>
      </c>
      <c r="D8" t="inlineStr">
        <is>
          <t>Resolved</t>
        </is>
      </c>
      <c r="E8" t="n">
        <v>9</v>
      </c>
      <c r="G8" t="inlineStr">
        <is>
          <t>UI</t>
        </is>
      </c>
      <c r="H8" t="n">
        <v>15</v>
      </c>
      <c r="M8" t="inlineStr">
        <is>
          <t>P0</t>
        </is>
      </c>
      <c r="N8" t="n">
        <v>5</v>
      </c>
    </row>
    <row r="9">
      <c r="D9" t="inlineStr">
        <is>
          <t>Active</t>
        </is>
      </c>
      <c r="E9" t="n">
        <v>8</v>
      </c>
      <c r="G9" t="inlineStr">
        <is>
          <t>Integration</t>
        </is>
      </c>
      <c r="H9" t="n">
        <v>14</v>
      </c>
    </row>
    <row r="10">
      <c r="D10" t="inlineStr">
        <is>
          <t>Triage</t>
        </is>
      </c>
      <c r="E10" t="n">
        <v>7</v>
      </c>
      <c r="G10" t="inlineStr">
        <is>
          <t>Performance</t>
        </is>
      </c>
      <c r="H10" t="n">
        <v>12</v>
      </c>
    </row>
    <row r="11">
      <c r="D11" t="inlineStr">
        <is>
          <t>Open</t>
        </is>
      </c>
      <c r="E11" t="n">
        <v>7</v>
      </c>
    </row>
    <row r="12">
      <c r="D12" t="inlineStr">
        <is>
          <t>Ready for Retest</t>
        </is>
      </c>
      <c r="E12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7" t="inlineStr">
        <is>
          <t>TEAM PERFORMANCE DASHBOARD</t>
        </is>
      </c>
    </row>
    <row r="5">
      <c r="A5" t="inlineStr">
        <is>
          <t>Team Alpha</t>
        </is>
      </c>
      <c r="B5" t="n">
        <v>28</v>
      </c>
      <c r="D5" t="inlineStr">
        <is>
          <t>Mina Hosseini</t>
        </is>
      </c>
      <c r="E5" t="n">
        <v>18</v>
      </c>
      <c r="G5" t="inlineStr">
        <is>
          <t>Ali Rezaei</t>
        </is>
      </c>
      <c r="H5" t="n">
        <v>11</v>
      </c>
    </row>
    <row r="6">
      <c r="A6" t="inlineStr">
        <is>
          <t>Team Beta</t>
        </is>
      </c>
      <c r="B6" t="n">
        <v>26</v>
      </c>
      <c r="D6" t="inlineStr">
        <is>
          <t>Hassan Karimi</t>
        </is>
      </c>
      <c r="E6" t="n">
        <v>15</v>
      </c>
      <c r="G6" t="inlineStr">
        <is>
          <t>Zahra Ebrahimi</t>
        </is>
      </c>
      <c r="H6" t="n">
        <v>10</v>
      </c>
    </row>
    <row r="7">
      <c r="A7" t="inlineStr">
        <is>
          <t>Team Gamma</t>
        </is>
      </c>
      <c r="B7" t="n">
        <v>23</v>
      </c>
      <c r="D7" t="inlineStr">
        <is>
          <t>Mohammad Safari</t>
        </is>
      </c>
      <c r="E7" t="n">
        <v>14</v>
      </c>
      <c r="G7" t="inlineStr">
        <is>
          <t>Hassan Karimi</t>
        </is>
      </c>
      <c r="H7" t="n">
        <v>8</v>
      </c>
    </row>
    <row r="8">
      <c r="A8" t="inlineStr">
        <is>
          <t>Team Delta</t>
        </is>
      </c>
      <c r="B8" t="n">
        <v>23</v>
      </c>
      <c r="D8" t="inlineStr">
        <is>
          <t>Fateme Akbari</t>
        </is>
      </c>
      <c r="E8" t="n">
        <v>11</v>
      </c>
      <c r="G8" t="inlineStr">
        <is>
          <t>Mohammad Safari</t>
        </is>
      </c>
      <c r="H8" t="n">
        <v>7</v>
      </c>
    </row>
    <row r="9">
      <c r="D9" t="inlineStr">
        <is>
          <t>Zahra Ebrahimi</t>
        </is>
      </c>
      <c r="E9" t="n">
        <v>11</v>
      </c>
      <c r="G9" t="inlineStr">
        <is>
          <t>Fateme Akbari</t>
        </is>
      </c>
      <c r="H9" t="n">
        <v>7</v>
      </c>
    </row>
    <row r="10">
      <c r="D10" t="inlineStr">
        <is>
          <t>Reza Mohammadi</t>
        </is>
      </c>
      <c r="E10" t="n">
        <v>11</v>
      </c>
      <c r="G10" t="inlineStr">
        <is>
          <t>Mina Hosseini</t>
        </is>
      </c>
      <c r="H10" t="n">
        <v>6</v>
      </c>
    </row>
    <row r="11">
      <c r="D11" t="inlineStr">
        <is>
          <t>Sara Ahmadi</t>
        </is>
      </c>
      <c r="E11" t="n">
        <v>11</v>
      </c>
      <c r="G11" t="inlineStr">
        <is>
          <t>Reza Mohammadi</t>
        </is>
      </c>
      <c r="H11" t="n">
        <v>6</v>
      </c>
    </row>
    <row r="12">
      <c r="D12" t="inlineStr">
        <is>
          <t>Ali Rezaei</t>
        </is>
      </c>
      <c r="E12" t="n">
        <v>9</v>
      </c>
      <c r="G12" t="inlineStr">
        <is>
          <t>Sara Ahmadi</t>
        </is>
      </c>
      <c r="H12" t="n">
        <v>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 ht="30" customHeight="1">
      <c r="A1" s="28" t="inlineStr">
        <is>
          <t>SPRINT ANALYSIS DASHBOARD</t>
        </is>
      </c>
    </row>
    <row r="5">
      <c r="A5" t="inlineStr">
        <is>
          <t>Sprint 25</t>
        </is>
      </c>
      <c r="B5" t="n">
        <v>22</v>
      </c>
    </row>
    <row r="6">
      <c r="A6" t="inlineStr">
        <is>
          <t>Sprint 26</t>
        </is>
      </c>
      <c r="B6" t="n">
        <v>21</v>
      </c>
    </row>
    <row r="7">
      <c r="A7" t="inlineStr">
        <is>
          <t>Sprint 23</t>
        </is>
      </c>
      <c r="B7" t="n">
        <v>20</v>
      </c>
    </row>
    <row r="8">
      <c r="A8" t="inlineStr">
        <is>
          <t>Sprint 24</t>
        </is>
      </c>
      <c r="B8" t="n">
        <v>20</v>
      </c>
    </row>
    <row r="9">
      <c r="A9" t="inlineStr">
        <is>
          <t>Sprint 27</t>
        </is>
      </c>
      <c r="B9" t="n">
        <v>17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selection activeCell="A1" sqref="A1"/>
    </sheetView>
  </sheetViews>
  <sheetFormatPr baseColWidth="8" defaultRowHeight="15"/>
  <sheetData>
    <row r="1" ht="30" customHeight="1">
      <c r="A1" s="29" t="inlineStr">
        <is>
          <t>TIME &amp; FLOW ANALYSIS DASHBOARD</t>
        </is>
      </c>
    </row>
    <row r="5">
      <c r="A5" t="inlineStr">
        <is>
          <t>0-7 days</t>
        </is>
      </c>
      <c r="B5" t="n">
        <v>0</v>
      </c>
    </row>
    <row r="6">
      <c r="A6" t="inlineStr">
        <is>
          <t>8-14 days</t>
        </is>
      </c>
      <c r="B6" t="n">
        <v>0</v>
      </c>
    </row>
    <row r="7">
      <c r="A7" t="inlineStr">
        <is>
          <t>15-30 days</t>
        </is>
      </c>
      <c r="B7" t="n">
        <v>0</v>
      </c>
    </row>
    <row r="8">
      <c r="A8" t="inlineStr">
        <is>
          <t>31-60 days</t>
        </is>
      </c>
      <c r="B8" t="n">
        <v>0</v>
      </c>
    </row>
    <row r="9">
      <c r="A9" t="inlineStr">
        <is>
          <t>60+ days</t>
        </is>
      </c>
      <c r="B9" t="n">
        <v>100</v>
      </c>
    </row>
    <row r="15">
      <c r="D15" t="n">
        <v/>
      </c>
      <c r="E15" t="n">
        <v/>
      </c>
    </row>
    <row r="16">
      <c r="D16" t="n">
        <v/>
      </c>
      <c r="E16" t="n">
        <v/>
      </c>
    </row>
    <row r="17">
      <c r="D17" t="n">
        <v/>
      </c>
      <c r="E17" t="n">
        <v/>
      </c>
    </row>
    <row r="18">
      <c r="D18" t="n">
        <v>165</v>
      </c>
      <c r="E18" t="n">
        <v>131</v>
      </c>
    </row>
    <row r="19">
      <c r="D19" t="n">
        <v/>
      </c>
      <c r="E19" t="n">
        <v/>
      </c>
    </row>
    <row r="20">
      <c r="D20" t="n">
        <v/>
      </c>
      <c r="E20" t="n">
        <v/>
      </c>
    </row>
    <row r="21">
      <c r="D21" t="n">
        <v/>
      </c>
      <c r="E21" t="n">
        <v/>
      </c>
    </row>
    <row r="22">
      <c r="D22" t="n">
        <v/>
      </c>
      <c r="E22" t="n">
        <v/>
      </c>
    </row>
    <row r="23">
      <c r="D23" t="n">
        <v/>
      </c>
      <c r="E23" t="n">
        <v/>
      </c>
    </row>
    <row r="24">
      <c r="D24" t="n">
        <v/>
      </c>
      <c r="E24" t="n">
        <v/>
      </c>
    </row>
    <row r="25">
      <c r="D25" t="n">
        <v/>
      </c>
      <c r="E25" t="n">
        <v/>
      </c>
    </row>
    <row r="26">
      <c r="D26" t="n">
        <v/>
      </c>
      <c r="E26" t="n">
        <v/>
      </c>
    </row>
    <row r="27">
      <c r="D27" t="n">
        <v/>
      </c>
      <c r="E27" t="n">
        <v/>
      </c>
    </row>
    <row r="28">
      <c r="D28" t="n">
        <v/>
      </c>
      <c r="E28" t="n">
        <v/>
      </c>
    </row>
    <row r="29">
      <c r="D29" t="n">
        <v>227</v>
      </c>
      <c r="E29" t="n">
        <v>151</v>
      </c>
    </row>
    <row r="30">
      <c r="D30" t="n">
        <v/>
      </c>
      <c r="E30" t="n">
        <v/>
      </c>
    </row>
    <row r="31">
      <c r="D31" t="n">
        <v/>
      </c>
      <c r="E31" t="n">
        <v/>
      </c>
    </row>
    <row r="32">
      <c r="D32" t="n">
        <v>200</v>
      </c>
      <c r="E32" t="n">
        <v>146</v>
      </c>
    </row>
    <row r="33">
      <c r="D33" t="n">
        <v/>
      </c>
      <c r="E33" t="n">
        <v/>
      </c>
    </row>
    <row r="34">
      <c r="D34" t="n">
        <v>172</v>
      </c>
      <c r="E34" t="n">
        <v>121</v>
      </c>
    </row>
    <row r="35">
      <c r="D35" t="n">
        <v/>
      </c>
      <c r="E35" t="n">
        <v/>
      </c>
    </row>
    <row r="36">
      <c r="D36" t="n">
        <v/>
      </c>
      <c r="E36" t="n">
        <v/>
      </c>
    </row>
    <row r="37">
      <c r="D37" t="n">
        <v/>
      </c>
      <c r="E37" t="n">
        <v/>
      </c>
    </row>
    <row r="38">
      <c r="D38" t="n">
        <v/>
      </c>
      <c r="E38" t="n">
        <v/>
      </c>
    </row>
    <row r="39">
      <c r="D39" t="n">
        <v/>
      </c>
      <c r="E39" t="n">
        <v/>
      </c>
    </row>
    <row r="40">
      <c r="D40" t="n">
        <v/>
      </c>
      <c r="E40" t="n">
        <v/>
      </c>
    </row>
    <row r="41">
      <c r="D41" t="n">
        <v>198</v>
      </c>
      <c r="E41" t="n">
        <v>154</v>
      </c>
    </row>
    <row r="42">
      <c r="D42" t="n">
        <v/>
      </c>
      <c r="E42" t="n">
        <v/>
      </c>
    </row>
    <row r="43">
      <c r="D43" t="n">
        <v>245</v>
      </c>
      <c r="E43" t="n">
        <v>151</v>
      </c>
    </row>
    <row r="44">
      <c r="D44" t="n">
        <v/>
      </c>
      <c r="E44" t="n">
        <v/>
      </c>
    </row>
    <row r="45">
      <c r="D45" t="n">
        <v>232</v>
      </c>
      <c r="E45" t="n">
        <v>135</v>
      </c>
    </row>
    <row r="46">
      <c r="D46" t="n">
        <v/>
      </c>
      <c r="E46" t="n">
        <v/>
      </c>
    </row>
    <row r="47">
      <c r="D47" t="n">
        <v/>
      </c>
      <c r="E47" t="n">
        <v/>
      </c>
    </row>
    <row r="48">
      <c r="D48" t="n">
        <v/>
      </c>
      <c r="E48" t="n">
        <v/>
      </c>
    </row>
    <row r="49">
      <c r="D49" t="n">
        <v/>
      </c>
      <c r="E49" t="n">
        <v/>
      </c>
    </row>
    <row r="50">
      <c r="D50" t="n">
        <v>259</v>
      </c>
      <c r="E50" t="n">
        <v>158</v>
      </c>
    </row>
    <row r="51">
      <c r="D51" t="n">
        <v/>
      </c>
      <c r="E51" t="n">
        <v/>
      </c>
    </row>
    <row r="52">
      <c r="D52" t="n">
        <v/>
      </c>
      <c r="E52" t="n">
        <v/>
      </c>
    </row>
    <row r="53">
      <c r="D53" t="n">
        <v/>
      </c>
      <c r="E53" t="n">
        <v/>
      </c>
    </row>
    <row r="54">
      <c r="D54" t="n">
        <v/>
      </c>
      <c r="E54" t="n">
        <v/>
      </c>
    </row>
    <row r="55">
      <c r="D55" t="n">
        <v>151</v>
      </c>
      <c r="E55" t="n">
        <v>69</v>
      </c>
    </row>
    <row r="56">
      <c r="D56" t="n">
        <v>199</v>
      </c>
      <c r="E56" t="n">
        <v>123</v>
      </c>
    </row>
    <row r="57">
      <c r="D57" t="n">
        <v>273</v>
      </c>
      <c r="E57" t="n">
        <v>177</v>
      </c>
    </row>
    <row r="58">
      <c r="D58" t="n">
        <v/>
      </c>
      <c r="E58" t="n">
        <v/>
      </c>
    </row>
    <row r="59">
      <c r="D59" t="n">
        <v/>
      </c>
      <c r="E59" t="n">
        <v/>
      </c>
    </row>
    <row r="60">
      <c r="D60" t="n">
        <v>315</v>
      </c>
      <c r="E60" t="n">
        <v>195</v>
      </c>
    </row>
    <row r="61">
      <c r="D61" t="n">
        <v/>
      </c>
      <c r="E61" t="n">
        <v/>
      </c>
    </row>
    <row r="62">
      <c r="D62" t="n">
        <v>176</v>
      </c>
      <c r="E62" t="n">
        <v>134</v>
      </c>
    </row>
    <row r="63">
      <c r="D63" t="n">
        <v>196</v>
      </c>
      <c r="E63" t="n">
        <v>125</v>
      </c>
    </row>
    <row r="64">
      <c r="D64" t="n">
        <v>192</v>
      </c>
      <c r="E64" t="n">
        <v>84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 ht="30" customHeight="1">
      <c r="A1" s="30" t="inlineStr">
        <is>
          <t>QUALITY &amp; STABILITY DASHBOARD</t>
        </is>
      </c>
    </row>
    <row r="5">
      <c r="A5" t="inlineStr">
        <is>
          <t>No Reopens</t>
        </is>
      </c>
      <c r="B5" t="n">
        <v>76</v>
      </c>
      <c r="D5" t="inlineStr">
        <is>
          <t>Not Escaped</t>
        </is>
      </c>
      <c r="E5" t="n">
        <v>83</v>
      </c>
      <c r="G5" t="inlineStr">
        <is>
          <t>Normal</t>
        </is>
      </c>
      <c r="H5" t="n">
        <v>75</v>
      </c>
    </row>
    <row r="6">
      <c r="A6" t="inlineStr">
        <is>
          <t>1 Reopen</t>
        </is>
      </c>
      <c r="B6" t="n">
        <v>10</v>
      </c>
      <c r="D6" t="inlineStr">
        <is>
          <t>Escaped</t>
        </is>
      </c>
      <c r="E6" t="n">
        <v>17</v>
      </c>
      <c r="G6" t="inlineStr">
        <is>
          <t>Regression</t>
        </is>
      </c>
      <c r="H6" t="n">
        <v>25</v>
      </c>
    </row>
    <row r="7">
      <c r="A7" t="inlineStr">
        <is>
          <t>2 Reopens</t>
        </is>
      </c>
      <c r="B7" t="n">
        <v>8</v>
      </c>
    </row>
    <row r="8">
      <c r="A8" t="inlineStr">
        <is>
          <t>3+ Reopens</t>
        </is>
      </c>
      <c r="B8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20" t="inlineStr">
        <is>
          <t>Code</t>
        </is>
      </c>
      <c r="B1" s="20" t="inlineStr">
        <is>
          <t>Metric Name</t>
        </is>
      </c>
      <c r="C1" s="20" t="inlineStr">
        <is>
          <t>Value</t>
        </is>
      </c>
      <c r="D1" s="20" t="inlineStr">
        <is>
          <t>Formula (as Text)</t>
        </is>
      </c>
      <c r="E1" s="2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2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2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2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2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2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2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2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2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2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2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2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2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2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2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2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2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2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2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2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2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2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2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2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2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2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2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2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2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2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2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2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2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2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2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2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2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2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2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2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2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2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2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2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2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2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2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2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2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2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2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2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2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2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2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2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2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2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2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2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2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2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2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2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2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2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2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2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2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2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2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2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2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2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2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2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2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2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2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2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2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2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2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2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2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2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2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2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2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2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2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2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2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2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2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2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2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2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2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2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2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2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2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2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2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2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2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2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2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2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2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2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2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2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2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2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2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2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2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2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2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2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2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2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2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2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2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2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2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2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2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2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2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2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2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2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2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2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2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2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2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2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2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2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2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2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2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2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2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2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2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2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2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2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2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2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2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2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2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2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2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2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2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2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2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2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2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2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2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2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2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2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2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2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2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2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2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2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2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2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2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2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2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2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2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2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2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2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2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2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2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2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2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2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2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2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2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2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2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2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2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2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2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2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2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2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2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2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2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2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2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2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2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2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2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2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2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2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2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2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2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2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2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2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2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2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2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2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2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2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2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2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2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2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2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2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2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2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2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2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2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2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2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2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2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2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2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2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2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2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2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2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2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2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2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2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2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2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2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2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2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2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2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2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2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2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2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2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2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2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2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2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2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2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2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2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2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2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2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2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2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2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2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2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2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2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2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2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2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BugID</t>
        </is>
      </c>
      <c r="B1" s="22" t="inlineStr">
        <is>
          <t>Title</t>
        </is>
      </c>
      <c r="C1" s="22" t="inlineStr">
        <is>
          <t>Description</t>
        </is>
      </c>
      <c r="D1" s="22" t="inlineStr">
        <is>
          <t>Severity</t>
        </is>
      </c>
      <c r="E1" s="22" t="inlineStr">
        <is>
          <t>Priority</t>
        </is>
      </c>
      <c r="F1" s="22" t="inlineStr">
        <is>
          <t>State</t>
        </is>
      </c>
      <c r="G1" s="22" t="inlineStr">
        <is>
          <t>Category</t>
        </is>
      </c>
      <c r="H1" s="22" t="inlineStr">
        <is>
          <t>IsRegression</t>
        </is>
      </c>
      <c r="I1" s="22" t="inlineStr">
        <is>
          <t>is_escaped</t>
        </is>
      </c>
      <c r="J1" s="22" t="inlineStr">
        <is>
          <t>ProjectID</t>
        </is>
      </c>
      <c r="K1" s="22" t="inlineStr">
        <is>
          <t>ProjectName</t>
        </is>
      </c>
      <c r="L1" s="22" t="inlineStr">
        <is>
          <t>TeamName</t>
        </is>
      </c>
      <c r="M1" s="22" t="inlineStr">
        <is>
          <t>TeamID</t>
        </is>
      </c>
      <c r="N1" s="22" t="inlineStr">
        <is>
          <t>ModuleID</t>
        </is>
      </c>
      <c r="O1" s="22" t="inlineStr">
        <is>
          <t>ModuleName</t>
        </is>
      </c>
      <c r="P1" s="22" t="inlineStr">
        <is>
          <t>SprintName</t>
        </is>
      </c>
      <c r="Q1" s="22" t="inlineStr">
        <is>
          <t>SprintID</t>
        </is>
      </c>
      <c r="R1" s="22" t="inlineStr">
        <is>
          <t>Tags</t>
        </is>
      </c>
      <c r="S1" s="22" t="inlineStr">
        <is>
          <t>ExternalTicketID</t>
        </is>
      </c>
      <c r="T1" s="22" t="inlineStr">
        <is>
          <t>Comments</t>
        </is>
      </c>
      <c r="U1" s="22" t="inlineStr">
        <is>
          <t>ReporterName</t>
        </is>
      </c>
      <c r="V1" s="22" t="inlineStr">
        <is>
          <t>ReporterID</t>
        </is>
      </c>
      <c r="W1" s="22" t="inlineStr">
        <is>
          <t>AssigneeName</t>
        </is>
      </c>
      <c r="X1" s="22" t="inlineStr">
        <is>
          <t>AssigneeID</t>
        </is>
      </c>
      <c r="Y1" s="22" t="inlineStr">
        <is>
          <t>VerifierName</t>
        </is>
      </c>
      <c r="Z1" s="22" t="inlineStr">
        <is>
          <t>VerifierID</t>
        </is>
      </c>
      <c r="AA1" s="22" t="inlineStr">
        <is>
          <t>ResolverName</t>
        </is>
      </c>
      <c r="AB1" s="22" t="inlineStr">
        <is>
          <t>ResolverID</t>
        </is>
      </c>
      <c r="AC1" s="22" t="inlineStr">
        <is>
          <t>CreatedDate</t>
        </is>
      </c>
      <c r="AD1" s="22" t="inlineStr">
        <is>
          <t>TriageDate</t>
        </is>
      </c>
      <c r="AE1" s="22" t="inlineStr">
        <is>
          <t>AssignedDate</t>
        </is>
      </c>
      <c r="AF1" s="22" t="inlineStr">
        <is>
          <t>StartedDate</t>
        </is>
      </c>
      <c r="AG1" s="22" t="inlineStr">
        <is>
          <t>InProgressDate</t>
        </is>
      </c>
      <c r="AH1" s="22" t="inlineStr">
        <is>
          <t>ReadyForRetestDate</t>
        </is>
      </c>
      <c r="AI1" s="22" t="inlineStr">
        <is>
          <t>ResolvedDate</t>
        </is>
      </c>
      <c r="AJ1" s="22" t="inlineStr">
        <is>
          <t>VerifiedDate</t>
        </is>
      </c>
      <c r="AK1" s="22" t="inlineStr">
        <is>
          <t>DoneDate</t>
        </is>
      </c>
      <c r="AL1" s="22" t="inlineStr">
        <is>
          <t>ClosedDate</t>
        </is>
      </c>
      <c r="AM1" s="22" t="inlineStr">
        <is>
          <t>LastModifiedDate</t>
        </is>
      </c>
      <c r="AN1" s="22" t="inlineStr">
        <is>
          <t>DueDate</t>
        </is>
      </c>
      <c r="AO1" s="22" t="inlineStr">
        <is>
          <t>ReopenCount</t>
        </is>
      </c>
      <c r="AP1" s="22" t="inlineStr">
        <is>
          <t>FirstReopenDate</t>
        </is>
      </c>
      <c r="AQ1" s="22" t="inlineStr">
        <is>
          <t>LastReopenDate</t>
        </is>
      </c>
      <c r="AR1" s="22" t="inlineStr">
        <is>
          <t>PreviousState</t>
        </is>
      </c>
      <c r="AS1" s="22" t="inlineStr">
        <is>
          <t>StateTransitionCount</t>
        </is>
      </c>
      <c r="AT1" s="22" t="inlineStr">
        <is>
          <t>TriageDurationHrs</t>
        </is>
      </c>
      <c r="AU1" s="22" t="inlineStr">
        <is>
          <t>ActiveDurationHrs</t>
        </is>
      </c>
      <c r="AV1" s="22" t="inlineStr">
        <is>
          <t>InProgressDurationHrs</t>
        </is>
      </c>
      <c r="AW1" s="22" t="inlineStr">
        <is>
          <t>ReadyForRetestDurationHrs</t>
        </is>
      </c>
      <c r="AX1" s="22" t="inlineStr">
        <is>
          <t>StateHistory</t>
        </is>
      </c>
      <c r="AY1" s="22" t="inlineStr">
        <is>
          <t>AssigneeChangeCount</t>
        </is>
      </c>
      <c r="AZ1" s="22" t="inlineStr">
        <is>
          <t>StateChangeCount</t>
        </is>
      </c>
      <c r="BA1" s="22" t="inlineStr">
        <is>
          <t>FixAttempts</t>
        </is>
      </c>
      <c r="BB1" s="22" t="inlineStr">
        <is>
          <t>AnalysisEffortHrs</t>
        </is>
      </c>
      <c r="BC1" s="22" t="inlineStr">
        <is>
          <t>DevEffortHrs</t>
        </is>
      </c>
      <c r="BD1" s="22" t="inlineStr">
        <is>
          <t>FixEffortHrs</t>
        </is>
      </c>
      <c r="BE1" s="22" t="inlineStr">
        <is>
          <t>TestEffortHrs</t>
        </is>
      </c>
      <c r="BF1" s="22" t="inlineStr">
        <is>
          <t>ReopenEffortHrs</t>
        </is>
      </c>
      <c r="BG1" s="22" t="inlineStr">
        <is>
          <t>TotalEffortHrs</t>
        </is>
      </c>
      <c r="BH1" s="22" t="inlineStr">
        <is>
          <t>EstimatedEffortHrs</t>
        </is>
      </c>
      <c r="BI1" s="22" t="inlineStr">
        <is>
          <t>LeadTimeHrs</t>
        </is>
      </c>
      <c r="BJ1" s="22" t="inlineStr">
        <is>
          <t>CycleTimeHrs</t>
        </is>
      </c>
      <c r="BK1" s="22" t="inlineStr">
        <is>
          <t>ResponseTimeHrs</t>
        </is>
      </c>
      <c r="BL1" s="22" t="inlineStr">
        <is>
          <t>WaitTimeHrs</t>
        </is>
      </c>
      <c r="BM1" s="22" t="inlineStr">
        <is>
          <t>ActiveWorkTimeHrs</t>
        </is>
      </c>
      <c r="BN1" s="22" t="inlineStr">
        <is>
          <t>AgeDays</t>
        </is>
      </c>
      <c r="BO1" s="22" t="inlineStr">
        <is>
          <t>RootCause</t>
        </is>
      </c>
      <c r="BP1" s="22" t="inlineStr">
        <is>
          <t>Resolution</t>
        </is>
      </c>
      <c r="BQ1" s="22" t="inlineStr">
        <is>
          <t>CloseReason</t>
        </is>
      </c>
      <c r="BR1" s="22" t="inlineStr">
        <is>
          <t>TestCaseID</t>
        </is>
      </c>
      <c r="BS1" s="22" t="inlineStr">
        <is>
          <t>IsDuplicate</t>
        </is>
      </c>
      <c r="BT1" s="22" t="inlineStr">
        <is>
          <t>DuplicateOfBugID</t>
        </is>
      </c>
      <c r="BU1" s="22" t="inlineStr">
        <is>
          <t>RetestPassCount</t>
        </is>
      </c>
      <c r="BV1" s="2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S2" t="b">
        <v>0</v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AC3" t="inlineStr">
        <is>
          <t>2024-01-27</t>
        </is>
      </c>
      <c r="AD3" t="inlineStr">
        <is>
          <t>2024-01-28 20:00:00</t>
        </is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R3" t="inlineStr">
        <is>
          <t>Open</t>
        </is>
      </c>
      <c r="AS3" t="n">
        <v>4</v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L3" t="n">
        <v>0</v>
      </c>
      <c r="BM3" t="n">
        <v>0</v>
      </c>
      <c r="BN3" t="n">
        <v>698.7707912664237</v>
      </c>
      <c r="BR3" t="inlineStr">
        <is>
          <t>TC-5506</t>
        </is>
      </c>
      <c r="BS3" t="b">
        <v>0</v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R4" t="inlineStr">
        <is>
          <t>Triage</t>
        </is>
      </c>
      <c r="AS4" t="n">
        <v>2</v>
      </c>
      <c r="AT4" t="n">
        <v>19</v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K4" t="n">
        <v>25</v>
      </c>
      <c r="BL4" t="n">
        <v>19</v>
      </c>
      <c r="BM4" t="n">
        <v>0</v>
      </c>
      <c r="BN4" t="n">
        <v>585.7707912665973</v>
      </c>
      <c r="BR4" t="inlineStr">
        <is>
          <t>TC-3286</t>
        </is>
      </c>
      <c r="BS4" t="b">
        <v>0</v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S6" t="b">
        <v>0</v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AC7" t="inlineStr">
        <is>
          <t>2024-02-09</t>
        </is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S7" t="n">
        <v>3</v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L7" t="n">
        <v>0</v>
      </c>
      <c r="BM7" t="n">
        <v>0</v>
      </c>
      <c r="BN7" t="n">
        <v>685.7707912669907</v>
      </c>
      <c r="BS7" t="b">
        <v>0</v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AC8" t="inlineStr">
        <is>
          <t>2024-03-27</t>
        </is>
      </c>
      <c r="AD8" t="inlineStr">
        <is>
          <t>2024-03-27 07:00:00</t>
        </is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R8" t="inlineStr">
        <is>
          <t>Open</t>
        </is>
      </c>
      <c r="AS8" t="n">
        <v>1</v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L8" t="n">
        <v>0</v>
      </c>
      <c r="BM8" t="n">
        <v>0</v>
      </c>
      <c r="BN8" t="n">
        <v>638.7707912671181</v>
      </c>
      <c r="BR8" t="inlineStr">
        <is>
          <t>TC-7912</t>
        </is>
      </c>
      <c r="BS8" t="b">
        <v>0</v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R9" t="inlineStr">
        <is>
          <t>TC-2535</t>
        </is>
      </c>
      <c r="BS9" t="b">
        <v>0</v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AC10" t="inlineStr">
        <is>
          <t>2024-04-27</t>
        </is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S10" t="n">
        <v>2</v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L10" t="n">
        <v>0</v>
      </c>
      <c r="BM10" t="n">
        <v>0</v>
      </c>
      <c r="BN10" t="n">
        <v>607.7707912673958</v>
      </c>
      <c r="BR10" t="inlineStr">
        <is>
          <t>TC-9279</t>
        </is>
      </c>
      <c r="BS10" t="b">
        <v>0</v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R11" t="inlineStr">
        <is>
          <t>Triage</t>
        </is>
      </c>
      <c r="AS11" t="n">
        <v>3</v>
      </c>
      <c r="AT11" t="n">
        <v>3</v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K11" t="n">
        <v>28</v>
      </c>
      <c r="BL11" t="n">
        <v>3</v>
      </c>
      <c r="BM11" t="n">
        <v>0</v>
      </c>
      <c r="BN11" t="n">
        <v>693.7707912675347</v>
      </c>
      <c r="BS11" t="b">
        <v>0</v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R12" t="inlineStr">
        <is>
          <t>TC-9928</t>
        </is>
      </c>
      <c r="BS12" t="b">
        <v>0</v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R13" t="inlineStr">
        <is>
          <t>TC-8359</t>
        </is>
      </c>
      <c r="BS13" t="b">
        <v>0</v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R14" t="inlineStr">
        <is>
          <t>TC-1106</t>
        </is>
      </c>
      <c r="BS14" t="b">
        <v>0</v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R15" t="inlineStr">
        <is>
          <t>Triage</t>
        </is>
      </c>
      <c r="AS15" t="n">
        <v>4</v>
      </c>
      <c r="AT15" t="n">
        <v>22</v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K15" t="n">
        <v>36</v>
      </c>
      <c r="BL15" t="n">
        <v>22</v>
      </c>
      <c r="BM15" t="n">
        <v>0</v>
      </c>
      <c r="BN15" t="n">
        <v>634.7707912679861</v>
      </c>
      <c r="BS15" t="b">
        <v>0</v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K17" t="n">
        <v>44</v>
      </c>
      <c r="BL17" t="n">
        <v>51</v>
      </c>
      <c r="BM17" t="n">
        <v>0</v>
      </c>
      <c r="BN17" t="n">
        <v>548.7707912682986</v>
      </c>
      <c r="BR17" t="inlineStr">
        <is>
          <t>TC-3547</t>
        </is>
      </c>
      <c r="BS17" t="b">
        <v>0</v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K18" t="n">
        <v>17</v>
      </c>
      <c r="BL18" t="n">
        <v>44</v>
      </c>
      <c r="BM18" t="n">
        <v>0</v>
      </c>
      <c r="BN18" t="n">
        <v>710.7707912684027</v>
      </c>
      <c r="BR18" t="inlineStr">
        <is>
          <t>TC-6514</t>
        </is>
      </c>
      <c r="BS18" t="b">
        <v>0</v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R20" t="inlineStr">
        <is>
          <t>TC-6635</t>
        </is>
      </c>
      <c r="BS20" t="b">
        <v>0</v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S21" t="b">
        <v>0</v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S22" t="b">
        <v>0</v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S23" t="b">
        <v>0</v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AC24" t="inlineStr">
        <is>
          <t>2024-06-13</t>
        </is>
      </c>
      <c r="AD24" t="inlineStr">
        <is>
          <t>2024-06-13 22:00:00</t>
        </is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R24" t="inlineStr">
        <is>
          <t>Open</t>
        </is>
      </c>
      <c r="AS24" t="n">
        <v>2</v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L24" t="n">
        <v>0</v>
      </c>
      <c r="BM24" t="n">
        <v>0</v>
      </c>
      <c r="BN24" t="n">
        <v>560.770791269074</v>
      </c>
      <c r="BR24" t="inlineStr">
        <is>
          <t>TC-7201</t>
        </is>
      </c>
      <c r="BS24" t="b">
        <v>0</v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K25" t="n">
        <v>34</v>
      </c>
      <c r="BL25" t="n">
        <v>66</v>
      </c>
      <c r="BM25" t="n">
        <v>0</v>
      </c>
      <c r="BN25" t="n">
        <v>649.7707912691783</v>
      </c>
      <c r="BR25" t="inlineStr">
        <is>
          <t>TC-5803</t>
        </is>
      </c>
      <c r="BS25" t="b">
        <v>0</v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K26" t="n">
        <v>39</v>
      </c>
      <c r="BL26" t="n">
        <v>72</v>
      </c>
      <c r="BM26" t="n">
        <v>0</v>
      </c>
      <c r="BN26" t="n">
        <v>657.7707912692824</v>
      </c>
      <c r="BS26" t="b">
        <v>0</v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K27" t="n">
        <v>41</v>
      </c>
      <c r="BL27" t="n">
        <v>87</v>
      </c>
      <c r="BM27" t="n">
        <v>0</v>
      </c>
      <c r="BN27" t="n">
        <v>564.7707912693982</v>
      </c>
      <c r="BS27" t="b">
        <v>0</v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S28" t="b">
        <v>0</v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K29" t="n">
        <v>28</v>
      </c>
      <c r="BL29" t="n">
        <v>17</v>
      </c>
      <c r="BM29" t="n">
        <v>38</v>
      </c>
      <c r="BN29" t="n">
        <v>632.770791269618</v>
      </c>
      <c r="BR29" t="inlineStr">
        <is>
          <t>TC-2139</t>
        </is>
      </c>
      <c r="BS29" t="b">
        <v>0</v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S31" t="b">
        <v>0</v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S32" t="b">
        <v>0</v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S33" t="b">
        <v>0</v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S34" t="b">
        <v>0</v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R35" t="inlineStr">
        <is>
          <t>TC-8428</t>
        </is>
      </c>
      <c r="BS35" t="b">
        <v>0</v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R36" t="inlineStr">
        <is>
          <t>Triage</t>
        </is>
      </c>
      <c r="AS36" t="n">
        <v>3</v>
      </c>
      <c r="AT36" t="n">
        <v>24</v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K36" t="n">
        <v>33</v>
      </c>
      <c r="BL36" t="n">
        <v>24</v>
      </c>
      <c r="BM36" t="n">
        <v>0</v>
      </c>
      <c r="BN36" t="n">
        <v>586.7707912705439</v>
      </c>
      <c r="BS36" t="b">
        <v>0</v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K38" t="n">
        <v>54</v>
      </c>
      <c r="BL38" t="n">
        <v>32</v>
      </c>
      <c r="BM38" t="n">
        <v>0</v>
      </c>
      <c r="BN38" t="n">
        <v>619.7707912707523</v>
      </c>
      <c r="BR38" t="inlineStr">
        <is>
          <t>TC-5374</t>
        </is>
      </c>
      <c r="BS38" t="b">
        <v>0</v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AC39" t="inlineStr">
        <is>
          <t>2024-06-16</t>
        </is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S39" t="n">
        <v>1</v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L39" t="n">
        <v>0</v>
      </c>
      <c r="BM39" t="n">
        <v>0</v>
      </c>
      <c r="BN39" t="n">
        <v>557.7707912708681</v>
      </c>
      <c r="BS39" t="b">
        <v>0</v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R41" t="inlineStr">
        <is>
          <t>Triage</t>
        </is>
      </c>
      <c r="AS41" t="n">
        <v>4</v>
      </c>
      <c r="AT41" t="n">
        <v>15</v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K41" t="n">
        <v>50</v>
      </c>
      <c r="BL41" t="n">
        <v>15</v>
      </c>
      <c r="BM41" t="n">
        <v>0</v>
      </c>
      <c r="BN41" t="n">
        <v>676.770791271088</v>
      </c>
      <c r="BR41" t="inlineStr">
        <is>
          <t>TC-3803</t>
        </is>
      </c>
      <c r="BS41" t="b">
        <v>0</v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K45" t="n">
        <v>66</v>
      </c>
      <c r="BL45" t="n">
        <v>27</v>
      </c>
      <c r="BM45" t="n">
        <v>0</v>
      </c>
      <c r="BN45" t="n">
        <v>576.7707912715277</v>
      </c>
      <c r="BS45" t="b">
        <v>0</v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AC46" t="inlineStr">
        <is>
          <t>2024-03-21</t>
        </is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S46" t="n">
        <v>3</v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L46" t="n">
        <v>0</v>
      </c>
      <c r="BM46" t="n">
        <v>0</v>
      </c>
      <c r="BN46" t="n">
        <v>644.7707912716435</v>
      </c>
      <c r="BS46" t="b">
        <v>0</v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S47" t="b">
        <v>0</v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K48" t="n">
        <v>27</v>
      </c>
      <c r="BL48" t="n">
        <v>54</v>
      </c>
      <c r="BM48" t="n">
        <v>59</v>
      </c>
      <c r="BN48" t="n">
        <v>572.7707912718519</v>
      </c>
      <c r="BR48" t="inlineStr">
        <is>
          <t>TC-1525</t>
        </is>
      </c>
      <c r="BS48" t="b">
        <v>0</v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K52" t="n">
        <v>56</v>
      </c>
      <c r="BL52" t="n">
        <v>79</v>
      </c>
      <c r="BM52" t="n">
        <v>0</v>
      </c>
      <c r="BN52" t="n">
        <v>585.7707912722916</v>
      </c>
      <c r="BR52" t="inlineStr">
        <is>
          <t>TC-9179</t>
        </is>
      </c>
      <c r="BS52" t="b">
        <v>0</v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K53" t="n">
        <v>46</v>
      </c>
      <c r="BL53" t="n">
        <v>25</v>
      </c>
      <c r="BM53" t="n">
        <v>120</v>
      </c>
      <c r="BN53" t="n">
        <v>554.7707912723959</v>
      </c>
      <c r="BR53" t="inlineStr">
        <is>
          <t>TC-8517</t>
        </is>
      </c>
      <c r="BS53" t="b">
        <v>0</v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K55" t="n">
        <v>41</v>
      </c>
      <c r="BL55" t="n">
        <v>17</v>
      </c>
      <c r="BM55" t="n">
        <v>0</v>
      </c>
      <c r="BN55" t="n">
        <v>595.7707912726157</v>
      </c>
      <c r="BR55" t="inlineStr">
        <is>
          <t>TC-9830</t>
        </is>
      </c>
      <c r="BS55" t="b">
        <v>0</v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R56" t="inlineStr">
        <is>
          <t>Triage</t>
        </is>
      </c>
      <c r="AS56" t="n">
        <v>4</v>
      </c>
      <c r="AT56" t="n">
        <v>9</v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K56" t="n">
        <v>37</v>
      </c>
      <c r="BL56" t="n">
        <v>9</v>
      </c>
      <c r="BM56" t="n">
        <v>0</v>
      </c>
      <c r="BN56" t="n">
        <v>562.7707912727316</v>
      </c>
      <c r="BR56" t="inlineStr">
        <is>
          <t>TC-8019</t>
        </is>
      </c>
      <c r="BS56" t="b">
        <v>0</v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S57" t="b">
        <v>0</v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S59" t="b">
        <v>0</v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R60" t="inlineStr">
        <is>
          <t>TC-9085</t>
        </is>
      </c>
      <c r="BS60" t="b">
        <v>0</v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AC61" t="inlineStr">
        <is>
          <t>2024-02-09</t>
        </is>
      </c>
      <c r="AD61" t="inlineStr">
        <is>
          <t>2024-02-09 16:00:00</t>
        </is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R61" t="inlineStr">
        <is>
          <t>Open</t>
        </is>
      </c>
      <c r="AS61" t="n">
        <v>1</v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L61" t="n">
        <v>0</v>
      </c>
      <c r="BM61" t="n">
        <v>0</v>
      </c>
      <c r="BN61" t="n">
        <v>685.770791273264</v>
      </c>
      <c r="BR61" t="inlineStr">
        <is>
          <t>TC-1771</t>
        </is>
      </c>
      <c r="BS61" t="b">
        <v>0</v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S62" t="b">
        <v>0</v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R64" t="inlineStr">
        <is>
          <t>Triage</t>
        </is>
      </c>
      <c r="AS64" t="n">
        <v>2</v>
      </c>
      <c r="AT64" t="n">
        <v>10</v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K64" t="n">
        <v>33</v>
      </c>
      <c r="BL64" t="n">
        <v>10</v>
      </c>
      <c r="BM64" t="n">
        <v>0</v>
      </c>
      <c r="BN64" t="n">
        <v>607.7707912735996</v>
      </c>
      <c r="BS64" t="b">
        <v>0</v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R65" t="inlineStr">
        <is>
          <t>TC-2040</t>
        </is>
      </c>
      <c r="BS65" t="b">
        <v>0</v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K70" t="n">
        <v>38</v>
      </c>
      <c r="BL70" t="n">
        <v>64</v>
      </c>
      <c r="BM70" t="n">
        <v>0</v>
      </c>
      <c r="BN70" t="n">
        <v>554.7707912742477</v>
      </c>
      <c r="BS70" t="b">
        <v>0</v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K71" t="n">
        <v>41</v>
      </c>
      <c r="BL71" t="n">
        <v>31</v>
      </c>
      <c r="BM71" t="n">
        <v>0</v>
      </c>
      <c r="BN71" t="n">
        <v>649.7707912743634</v>
      </c>
      <c r="BS71" t="b">
        <v>0</v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S75" t="b">
        <v>0</v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S76" t="b">
        <v>0</v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R77" t="inlineStr">
        <is>
          <t>TC-2743</t>
        </is>
      </c>
      <c r="BS77" t="b">
        <v>0</v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S78" t="b">
        <v>0</v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R79" t="inlineStr">
        <is>
          <t>TC-9317</t>
        </is>
      </c>
      <c r="BS79" t="b">
        <v>0</v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K83" t="n">
        <v>41</v>
      </c>
      <c r="BL83" t="n">
        <v>18</v>
      </c>
      <c r="BM83" t="n">
        <v>0</v>
      </c>
      <c r="BN83" t="n">
        <v>577.7707912757407</v>
      </c>
      <c r="BS83" t="b">
        <v>0</v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K84" t="n">
        <v>39</v>
      </c>
      <c r="BL84" t="n">
        <v>84</v>
      </c>
      <c r="BM84" t="n">
        <v>0</v>
      </c>
      <c r="BN84" t="n">
        <v>648.7707912758565</v>
      </c>
      <c r="BR84" t="inlineStr">
        <is>
          <t>TC-9005</t>
        </is>
      </c>
      <c r="BS84" t="b">
        <v>0</v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AC85" t="inlineStr">
        <is>
          <t>2024-05-19</t>
        </is>
      </c>
      <c r="AD85" t="inlineStr">
        <is>
          <t>2024-05-20 15:00:00</t>
        </is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R85" t="inlineStr">
        <is>
          <t>Open</t>
        </is>
      </c>
      <c r="AS85" t="n">
        <v>4</v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L85" t="n">
        <v>0</v>
      </c>
      <c r="BM85" t="n">
        <v>0</v>
      </c>
      <c r="BN85" t="n">
        <v>585.7707912759606</v>
      </c>
      <c r="BR85" t="inlineStr">
        <is>
          <t>TC-6947</t>
        </is>
      </c>
      <c r="BS85" t="b">
        <v>0</v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S86" t="b">
        <v>0</v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AC87" t="inlineStr">
        <is>
          <t>2024-06-20</t>
        </is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S87" t="n">
        <v>2</v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L87" t="n">
        <v>0</v>
      </c>
      <c r="BM87" t="n">
        <v>0</v>
      </c>
      <c r="BN87" t="n">
        <v>553.7707912761805</v>
      </c>
      <c r="BS87" t="b">
        <v>0</v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R88" t="inlineStr">
        <is>
          <t>TC-1949</t>
        </is>
      </c>
      <c r="BS88" t="b">
        <v>0</v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R89" t="inlineStr">
        <is>
          <t>TC-2290</t>
        </is>
      </c>
      <c r="BS89" t="b">
        <v>0</v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K90" t="n">
        <v>36</v>
      </c>
      <c r="BL90" t="n">
        <v>14</v>
      </c>
      <c r="BM90" t="n">
        <v>0</v>
      </c>
      <c r="BN90" t="n">
        <v>690.7707912765162</v>
      </c>
      <c r="BR90" t="inlineStr">
        <is>
          <t>TC-8962</t>
        </is>
      </c>
      <c r="BS90" t="b">
        <v>0</v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S91" t="b">
        <v>0</v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AC92" t="inlineStr">
        <is>
          <t>2024-04-17</t>
        </is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S92" t="n">
        <v>3</v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L92" t="n">
        <v>0</v>
      </c>
      <c r="BM92" t="n">
        <v>0</v>
      </c>
      <c r="BN92" t="n">
        <v>617.7707912767361</v>
      </c>
      <c r="BS92" t="b">
        <v>0</v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AC93" t="inlineStr">
        <is>
          <t>2024-01-21</t>
        </is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S93" t="n">
        <v>3</v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L93" t="n">
        <v>0</v>
      </c>
      <c r="BM93" t="n">
        <v>0</v>
      </c>
      <c r="BN93" t="n">
        <v>704.7707912768403</v>
      </c>
      <c r="BR93" t="inlineStr">
        <is>
          <t>TC-3060</t>
        </is>
      </c>
      <c r="BS93" t="b">
        <v>0</v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K95" t="n">
        <v>14</v>
      </c>
      <c r="BL95" t="n">
        <v>22</v>
      </c>
      <c r="BM95" t="n">
        <v>0</v>
      </c>
      <c r="BN95" t="n">
        <v>661.7707912770602</v>
      </c>
      <c r="BS95" t="b">
        <v>0</v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AC96" t="inlineStr">
        <is>
          <t>2024-02-02</t>
        </is>
      </c>
      <c r="AD96" t="inlineStr">
        <is>
          <t>2024-02-03 07:00:00</t>
        </is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R96" t="inlineStr">
        <is>
          <t>Open</t>
        </is>
      </c>
      <c r="AS96" t="n">
        <v>2</v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L96" t="n">
        <v>0</v>
      </c>
      <c r="BM96" t="n">
        <v>0</v>
      </c>
      <c r="BN96" t="n">
        <v>692.7707912771643</v>
      </c>
      <c r="BR96" t="inlineStr">
        <is>
          <t>TC-9645</t>
        </is>
      </c>
      <c r="BS96" t="b">
        <v>0</v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S97" t="b">
        <v>0</v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R99" t="inlineStr">
        <is>
          <t>Triage</t>
        </is>
      </c>
      <c r="AS99" t="n">
        <v>5</v>
      </c>
      <c r="AT99" t="n">
        <v>23</v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K99" t="n">
        <v>49</v>
      </c>
      <c r="BL99" t="n">
        <v>23</v>
      </c>
      <c r="BM99" t="n">
        <v>0</v>
      </c>
      <c r="BN99" t="n">
        <v>628.7707912774885</v>
      </c>
      <c r="BS99" t="b">
        <v>0</v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S100" t="b">
        <v>0</v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AC101" t="inlineStr">
        <is>
          <t>2024-06-02</t>
        </is>
      </c>
      <c r="AD101" t="inlineStr">
        <is>
          <t>2024-06-02 08:00:00</t>
        </is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R101" t="inlineStr">
        <is>
          <t>Open</t>
        </is>
      </c>
      <c r="AS101" t="n">
        <v>1</v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L101" t="n">
        <v>0</v>
      </c>
      <c r="BM101" t="n">
        <v>0</v>
      </c>
      <c r="BN101" t="n">
        <v>571.7707912777083</v>
      </c>
      <c r="BS101" t="b">
        <v>0</v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Code</t>
        </is>
      </c>
      <c r="B1" s="23" t="inlineStr">
        <is>
          <t>Metric_Name</t>
        </is>
      </c>
      <c r="C1" s="23" t="inlineStr">
        <is>
          <t>Value</t>
        </is>
      </c>
      <c r="D1" s="23" t="inlineStr">
        <is>
          <t>Formula_Text</t>
        </is>
      </c>
      <c r="E1" s="2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TOP 20 CRITICAL BUGS</t>
        </is>
      </c>
    </row>
    <row r="2">
      <c r="A2" s="25" t="inlineStr">
        <is>
          <t>BugID</t>
        </is>
      </c>
      <c r="B2" s="25" t="inlineStr">
        <is>
          <t>Title</t>
        </is>
      </c>
      <c r="C2" s="2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2025-12-25T21:46:26Z</dcterms:created>
  <dcterms:modified xsi:type="dcterms:W3CDTF">2025-12-25T21:52:29Z</dcterms:modified>
</cp:coreProperties>
</file>