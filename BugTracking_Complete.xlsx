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BI_Simulation" sheetId="1" state="visible" r:id="rId1"/>
    <sheet name="KPIs_Detail" sheetId="2" state="visible" r:id="rId2"/>
    <sheet name="raw_data" sheetId="3" state="visible" r:id="rId3"/>
    <sheet name="metrics" sheetId="4" state="visible" r:id="rId4"/>
    <sheet name="Summary_Top20" sheetId="5" state="visible" r:id="rId5"/>
  </sheets>
  <definedNames>
    <definedName name="_xlnm._FilterDatabase" localSheetId="2" hidden="1">'raw_data'!$A$1:$BV$101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0"/>
    </font>
    <font>
      <b val="1"/>
      <sz val="10"/>
    </font>
    <font>
      <b val="1"/>
      <color rgb="004472C4"/>
      <sz val="9"/>
    </font>
    <font>
      <b val="1"/>
      <sz val="14"/>
    </font>
    <font>
      <color rgb="00808080"/>
      <sz val="8"/>
    </font>
    <font>
      <b val="1"/>
      <color rgb="0070AD47"/>
      <sz val="8"/>
    </font>
    <font>
      <b val="1"/>
      <color rgb="00C00000"/>
      <sz val="8"/>
    </font>
    <font>
      <b val="1"/>
      <color rgb="00FFFFFF"/>
      <sz val="11"/>
    </font>
    <font>
      <name val="Courier New"/>
      <color rgb="00006400"/>
      <sz val="9"/>
    </font>
    <font>
      <b val="1"/>
      <color rgb="00FFFFFF"/>
      <sz val="10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  <fill>
      <patternFill patternType="solid">
        <fgColor rgb="0070AD47"/>
        <bgColor rgb="0070AD47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4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0" fontId="10" fillId="0" borderId="0" pivotButton="0" quotePrefix="0" xfId="0"/>
    <xf numFmtId="0" fontId="11" fillId="5" borderId="0" pivotButton="0" quotePrefix="0" xfId="0"/>
    <xf numFmtId="0" fontId="9" fillId="6" borderId="0" pivotButton="0" quotePrefix="0" xfId="0"/>
    <xf numFmtId="0" fontId="12" fillId="7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'PowerBI_Simulation'!B27</f>
            </strRef>
          </tx>
          <spPr>
            <a:ln>
              <a:prstDash val="solid"/>
            </a:ln>
          </spPr>
          <cat>
            <numRef>
              <f>'PowerBI_Simulation'!$A$28:$A$31</f>
            </numRef>
          </cat>
          <val>
            <numRef>
              <f>'PowerBI_Simulation'!$B$28:$B$31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Bugs by Severity</a:t>
            </a:r>
          </a:p>
        </rich>
      </tx>
    </title>
    <plotArea>
      <pieChart>
        <varyColors val="1"/>
        <ser>
          <idx val="0"/>
          <order val="0"/>
          <tx>
            <strRef>
              <f>'PowerBI_Simulation'!F27</f>
            </strRef>
          </tx>
          <spPr>
            <a:ln>
              <a:prstDash val="solid"/>
            </a:ln>
          </spPr>
          <cat>
            <numRef>
              <f>'PowerBI_Simulation'!$E$28:$E$30</f>
            </numRef>
          </cat>
          <val>
            <numRef>
              <f>'PowerBI_Simulation'!$F$28:$F$30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Bug Trend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'PowerBI_Simulation'!J27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'PowerBI_Simulation'!$I$28:$I$31</f>
            </numRef>
          </cat>
          <val>
            <numRef>
              <f>'PowerBI_Simulation'!$J$28:$J$31</f>
            </numRef>
          </val>
        </ser>
        <ser>
          <idx val="1"/>
          <order val="1"/>
          <tx>
            <strRef>
              <f>'PowerBI_Simulation'!K27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'PowerBI_Simulation'!$I$28:$I$31</f>
            </numRef>
          </cat>
          <val>
            <numRef>
              <f>'PowerBI_Simulation'!$K$28:$K$31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34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Bug Tracking &amp; Quality Assurance Dashboard</t>
        </is>
      </c>
    </row>
    <row r="2">
      <c r="A2" s="2" t="inlineStr">
        <is>
          <t>Data last updated on 12/25/2025</t>
        </is>
      </c>
    </row>
    <row r="4">
      <c r="A4" s="3" t="inlineStr">
        <is>
          <t>Start date</t>
        </is>
      </c>
      <c r="C4" s="3" t="inlineStr">
        <is>
          <t>End date</t>
        </is>
      </c>
      <c r="E4" s="3" t="inlineStr">
        <is>
          <t>Project</t>
        </is>
      </c>
      <c r="G4" s="3" t="inlineStr">
        <is>
          <t>Team</t>
        </is>
      </c>
      <c r="I4" s="3" t="inlineStr">
        <is>
          <t>Sprint</t>
        </is>
      </c>
      <c r="K4" s="3" t="inlineStr">
        <is>
          <t>Severity</t>
        </is>
      </c>
    </row>
    <row r="5">
      <c r="A5" s="4" t="inlineStr">
        <is>
          <t>1/1/2023</t>
        </is>
      </c>
      <c r="C5" s="4" t="inlineStr">
        <is>
          <t>12/30/2023</t>
        </is>
      </c>
      <c r="E5" s="4" t="inlineStr">
        <is>
          <t>All</t>
        </is>
      </c>
      <c r="G5" s="4" t="inlineStr">
        <is>
          <t>All</t>
        </is>
      </c>
      <c r="I5" s="4" t="inlineStr">
        <is>
          <t>Sprint 4</t>
        </is>
      </c>
      <c r="K5" s="4" t="inlineStr">
        <is>
          <t>All</t>
        </is>
      </c>
    </row>
    <row r="7">
      <c r="A7" s="5" t="inlineStr">
        <is>
          <t>Open Bugs (count)</t>
        </is>
      </c>
      <c r="C7" s="5" t="inlineStr">
        <is>
          <t>New Bugs (count)</t>
        </is>
      </c>
      <c r="E7" s="5" t="inlineStr">
        <is>
          <t>Active Bugs (count)</t>
        </is>
      </c>
      <c r="G7" s="5" t="inlineStr">
        <is>
          <t>Resolved Bugs (count)</t>
        </is>
      </c>
      <c r="I7" s="5" t="inlineStr">
        <is>
          <t>Verified Bugs (count)</t>
        </is>
      </c>
      <c r="K7" s="5" t="inlineStr">
        <is>
          <t>Closed Bugs (count)</t>
        </is>
      </c>
      <c r="M7" s="5" t="inlineStr">
        <is>
          <t>Reopened Bugs (count)</t>
        </is>
      </c>
    </row>
    <row r="8">
      <c r="A8" s="6" t="inlineStr">
        <is>
          <t>8.4K</t>
        </is>
      </c>
      <c r="C8" s="6" t="inlineStr">
        <is>
          <t>2.1K</t>
        </is>
      </c>
      <c r="E8" s="6" t="inlineStr">
        <is>
          <t>3.5K</t>
        </is>
      </c>
      <c r="G8" s="6" t="inlineStr">
        <is>
          <t>4.8K</t>
        </is>
      </c>
      <c r="I8" s="6" t="inlineStr">
        <is>
          <t>4.2K</t>
        </is>
      </c>
      <c r="K8" s="6" t="inlineStr">
        <is>
          <t>3.9K</t>
        </is>
      </c>
      <c r="M8" s="6" t="inlineStr">
        <is>
          <t>0.6K</t>
        </is>
      </c>
    </row>
    <row r="9">
      <c r="A9" s="7" t="inlineStr">
        <is>
          <t>vs prev: 7.2K</t>
        </is>
      </c>
      <c r="B9" s="8" t="inlineStr">
        <is>
          <t>+16.67%</t>
        </is>
      </c>
      <c r="C9" s="7" t="inlineStr">
        <is>
          <t>vs prev: 2.8K</t>
        </is>
      </c>
      <c r="D9" s="9" t="inlineStr">
        <is>
          <t>-25%</t>
        </is>
      </c>
      <c r="E9" s="7" t="inlineStr">
        <is>
          <t>vs prev: 3.2K</t>
        </is>
      </c>
      <c r="F9" s="8" t="inlineStr">
        <is>
          <t>+9.37%</t>
        </is>
      </c>
      <c r="G9" s="7" t="inlineStr">
        <is>
          <t>vs prev: 3.9K</t>
        </is>
      </c>
      <c r="H9" s="8" t="inlineStr">
        <is>
          <t>+23%</t>
        </is>
      </c>
      <c r="I9" s="7" t="inlineStr">
        <is>
          <t>vs prev: 3.5K</t>
        </is>
      </c>
      <c r="J9" s="8" t="inlineStr">
        <is>
          <t>+20%</t>
        </is>
      </c>
      <c r="K9" s="7" t="inlineStr">
        <is>
          <t>vs prev: 3.1K</t>
        </is>
      </c>
      <c r="L9" s="8" t="inlineStr">
        <is>
          <t>+26%</t>
        </is>
      </c>
      <c r="M9" s="7" t="inlineStr">
        <is>
          <t>vs prev: 0.8K</t>
        </is>
      </c>
      <c r="N9" s="9" t="inlineStr">
        <is>
          <t>-25%</t>
        </is>
      </c>
    </row>
    <row r="11">
      <c r="A11" s="5" t="inlineStr">
        <is>
          <t>Multi-Reopened Bugs (count)</t>
        </is>
      </c>
      <c r="C11" s="5" t="inlineStr">
        <is>
          <t>Escaped Bugs (count)</t>
        </is>
      </c>
      <c r="E11" s="5" t="inlineStr">
        <is>
          <t>Regression Bugs (count)</t>
        </is>
      </c>
      <c r="G11" s="5" t="inlineStr">
        <is>
          <t>Critical Bugs (count)</t>
        </is>
      </c>
      <c r="I11" s="5" t="inlineStr">
        <is>
          <t>High Severity Bugs (count)</t>
        </is>
      </c>
      <c r="K11" s="5" t="inlineStr">
        <is>
          <t>Medium Severity Bugs (count)</t>
        </is>
      </c>
      <c r="M11" s="5" t="inlineStr">
        <is>
          <t>Low Severity Bugs (count)</t>
        </is>
      </c>
    </row>
    <row r="12">
      <c r="A12" s="6" t="inlineStr">
        <is>
          <t>0.2K</t>
        </is>
      </c>
      <c r="C12" s="6" t="inlineStr">
        <is>
          <t>0.4K</t>
        </is>
      </c>
      <c r="E12" s="6" t="inlineStr">
        <is>
          <t>0.3K</t>
        </is>
      </c>
      <c r="G12" s="6" t="inlineStr">
        <is>
          <t>0.8K</t>
        </is>
      </c>
      <c r="I12" s="6" t="inlineStr">
        <is>
          <t>1.9K</t>
        </is>
      </c>
      <c r="K12" s="6" t="inlineStr">
        <is>
          <t>3.2K</t>
        </is>
      </c>
      <c r="M12" s="6" t="inlineStr">
        <is>
          <t>2.5K</t>
        </is>
      </c>
    </row>
    <row r="13">
      <c r="A13" s="7" t="inlineStr">
        <is>
          <t>vs prev: 0.3K</t>
        </is>
      </c>
      <c r="B13" s="9" t="inlineStr">
        <is>
          <t>-33%</t>
        </is>
      </c>
      <c r="C13" s="7" t="inlineStr">
        <is>
          <t>vs prev: 0.6K</t>
        </is>
      </c>
      <c r="D13" s="9" t="inlineStr">
        <is>
          <t>-33%</t>
        </is>
      </c>
      <c r="E13" s="7" t="inlineStr">
        <is>
          <t>vs prev: 0.4K</t>
        </is>
      </c>
      <c r="F13" s="9" t="inlineStr">
        <is>
          <t>-25%</t>
        </is>
      </c>
      <c r="G13" s="7" t="inlineStr">
        <is>
          <t>vs prev: 1.1K</t>
        </is>
      </c>
      <c r="H13" s="9" t="inlineStr">
        <is>
          <t>-27%</t>
        </is>
      </c>
      <c r="I13" s="7" t="inlineStr">
        <is>
          <t>vs prev: 1.6K</t>
        </is>
      </c>
      <c r="J13" s="8" t="inlineStr">
        <is>
          <t>+19%</t>
        </is>
      </c>
      <c r="K13" s="7" t="inlineStr">
        <is>
          <t>vs prev: 2.8K</t>
        </is>
      </c>
      <c r="L13" s="8" t="inlineStr">
        <is>
          <t>+14%</t>
        </is>
      </c>
      <c r="M13" s="7" t="inlineStr">
        <is>
          <t>vs prev: 1.7K</t>
        </is>
      </c>
      <c r="N13" s="8" t="inlineStr">
        <is>
          <t>+47%</t>
        </is>
      </c>
    </row>
    <row r="15">
      <c r="A15" s="5" t="inlineStr">
        <is>
          <t>P0 Bugs (count)</t>
        </is>
      </c>
      <c r="C15" s="5" t="inlineStr">
        <is>
          <t>P1 Bugs (count)</t>
        </is>
      </c>
      <c r="E15" s="5" t="inlineStr">
        <is>
          <t>P2 Bugs (count)</t>
        </is>
      </c>
      <c r="G15" s="5" t="inlineStr">
        <is>
          <t>Blocking Bugs (count)</t>
        </is>
      </c>
      <c r="I15" s="5" t="inlineStr">
        <is>
          <t>Customer Reported Bugs (count)</t>
        </is>
      </c>
      <c r="K15" s="5" t="inlineStr">
        <is>
          <t>Security Bugs (count)</t>
        </is>
      </c>
      <c r="M15" s="5" t="inlineStr">
        <is>
          <t>Performance Bugs (count)</t>
        </is>
      </c>
    </row>
    <row r="16">
      <c r="A16" s="6" t="inlineStr">
        <is>
          <t>0.5K</t>
        </is>
      </c>
      <c r="C16" s="6" t="inlineStr">
        <is>
          <t>1.3K</t>
        </is>
      </c>
      <c r="E16" s="6" t="inlineStr">
        <is>
          <t>2.8K</t>
        </is>
      </c>
      <c r="G16" s="6" t="inlineStr">
        <is>
          <t>0.7K</t>
        </is>
      </c>
      <c r="I16" s="6" t="inlineStr">
        <is>
          <t>1.1K</t>
        </is>
      </c>
      <c r="K16" s="6" t="inlineStr">
        <is>
          <t>0.3K</t>
        </is>
      </c>
      <c r="M16" s="6" t="inlineStr">
        <is>
          <t>0.5K</t>
        </is>
      </c>
    </row>
    <row r="17">
      <c r="A17" s="7" t="inlineStr">
        <is>
          <t>vs prev: 0.7K</t>
        </is>
      </c>
      <c r="B17" s="9" t="inlineStr">
        <is>
          <t>-29%</t>
        </is>
      </c>
      <c r="C17" s="7" t="inlineStr">
        <is>
          <t>vs prev: 1.1K</t>
        </is>
      </c>
      <c r="D17" s="8" t="inlineStr">
        <is>
          <t>+18%</t>
        </is>
      </c>
      <c r="E17" s="7" t="inlineStr">
        <is>
          <t>vs prev: 2.4K</t>
        </is>
      </c>
      <c r="F17" s="8" t="inlineStr">
        <is>
          <t>+17%</t>
        </is>
      </c>
      <c r="G17" s="7" t="inlineStr">
        <is>
          <t>vs prev: 0.9K</t>
        </is>
      </c>
      <c r="H17" s="9" t="inlineStr">
        <is>
          <t>-22%</t>
        </is>
      </c>
      <c r="I17" s="7" t="inlineStr">
        <is>
          <t>vs prev: 1.4K</t>
        </is>
      </c>
      <c r="J17" s="9" t="inlineStr">
        <is>
          <t>-21%</t>
        </is>
      </c>
      <c r="K17" s="7" t="inlineStr">
        <is>
          <t>vs prev: 0.2K</t>
        </is>
      </c>
      <c r="L17" s="8" t="inlineStr">
        <is>
          <t>+50%</t>
        </is>
      </c>
      <c r="M17" s="7" t="inlineStr">
        <is>
          <t>vs prev: 0.4K</t>
        </is>
      </c>
      <c r="N17" s="8" t="inlineStr">
        <is>
          <t>+25%</t>
        </is>
      </c>
    </row>
    <row r="19">
      <c r="A19" s="5" t="inlineStr">
        <is>
          <t>User Interface Bugs (count)</t>
        </is>
      </c>
      <c r="C19" s="5" t="inlineStr">
        <is>
          <t>Data Integrity Bugs (count)</t>
        </is>
      </c>
    </row>
    <row r="20">
      <c r="A20" s="6" t="inlineStr">
        <is>
          <t>1.8K</t>
        </is>
      </c>
      <c r="C20" s="6" t="inlineStr">
        <is>
          <t>0.4K</t>
        </is>
      </c>
    </row>
    <row r="21">
      <c r="A21" s="7" t="inlineStr">
        <is>
          <t>vs prev: 1.5K</t>
        </is>
      </c>
      <c r="B21" s="8" t="inlineStr">
        <is>
          <t>+20%</t>
        </is>
      </c>
      <c r="C21" s="7" t="inlineStr">
        <is>
          <t>vs prev: 0.3K</t>
        </is>
      </c>
      <c r="D21" s="8" t="inlineStr">
        <is>
          <t>+33%</t>
        </is>
      </c>
    </row>
    <row r="27">
      <c r="A27" t="inlineStr">
        <is>
          <t>Status</t>
        </is>
      </c>
      <c r="B27" t="inlineStr">
        <is>
          <t>Count</t>
        </is>
      </c>
      <c r="E27" t="inlineStr">
        <is>
          <t>Severity</t>
        </is>
      </c>
      <c r="F27" t="inlineStr">
        <is>
          <t>Count</t>
        </is>
      </c>
      <c r="I27" t="inlineStr">
        <is>
          <t>Week</t>
        </is>
      </c>
      <c r="J27" t="inlineStr">
        <is>
          <t>Metric 1</t>
        </is>
      </c>
      <c r="K27" t="inlineStr">
        <is>
          <t>Metric 2</t>
        </is>
      </c>
    </row>
    <row r="28">
      <c r="A28" t="inlineStr">
        <is>
          <t>Verified</t>
        </is>
      </c>
      <c r="B28" t="n">
        <v>980</v>
      </c>
      <c r="E28" t="inlineStr">
        <is>
          <t>Medium</t>
        </is>
      </c>
      <c r="F28" t="n">
        <v>3200</v>
      </c>
      <c r="I28" t="inlineStr">
        <is>
          <t>W1</t>
        </is>
      </c>
      <c r="J28" t="n">
        <v>100</v>
      </c>
      <c r="K28" t="n">
        <v>95</v>
      </c>
    </row>
    <row r="29">
      <c r="A29" t="inlineStr">
        <is>
          <t>Closed</t>
        </is>
      </c>
      <c r="B29" t="n">
        <v>650</v>
      </c>
      <c r="E29" t="inlineStr">
        <is>
          <t>Critical</t>
        </is>
      </c>
      <c r="F29" t="n">
        <v>800</v>
      </c>
      <c r="I29" t="inlineStr">
        <is>
          <t>W2</t>
        </is>
      </c>
      <c r="J29" t="n">
        <v>110</v>
      </c>
      <c r="K29" t="n">
        <v>102</v>
      </c>
    </row>
    <row r="30">
      <c r="A30" t="inlineStr">
        <is>
          <t>In Progress</t>
        </is>
      </c>
      <c r="B30" t="n">
        <v>360</v>
      </c>
      <c r="E30" t="inlineStr">
        <is>
          <t>High</t>
        </is>
      </c>
      <c r="F30" t="n">
        <v>1900</v>
      </c>
      <c r="I30" t="inlineStr">
        <is>
          <t>W3</t>
        </is>
      </c>
      <c r="J30" t="n">
        <v>105</v>
      </c>
      <c r="K30" t="n">
        <v>98</v>
      </c>
    </row>
    <row r="31">
      <c r="A31" t="inlineStr">
        <is>
          <t>Resolved</t>
        </is>
      </c>
      <c r="B31" t="n">
        <v>180</v>
      </c>
      <c r="I31" t="inlineStr">
        <is>
          <t>W4</t>
        </is>
      </c>
      <c r="J31" t="n">
        <v>120</v>
      </c>
      <c r="K31" t="n">
        <v>110</v>
      </c>
    </row>
  </sheetData>
  <mergeCells count="2">
    <mergeCell ref="A2:N2"/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60" customWidth="1" min="4" max="4"/>
    <col width="50" customWidth="1" min="5" max="5"/>
  </cols>
  <sheetData>
    <row r="1">
      <c r="A1" s="10" t="inlineStr">
        <is>
          <t>Code</t>
        </is>
      </c>
      <c r="B1" s="10" t="inlineStr">
        <is>
          <t>Metric Name</t>
        </is>
      </c>
      <c r="C1" s="10" t="inlineStr">
        <is>
          <t>Value</t>
        </is>
      </c>
      <c r="D1" s="10" t="inlineStr">
        <is>
          <t>Formula (as Text)</t>
        </is>
      </c>
      <c r="E1" s="10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 s="11">
        <f>SUM('Bugs'[BusinessImpact])</f>
        <v/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 s="11">
        <f>AVERAGE('Bugs'[BusinessImpact])</f>
        <v/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 s="11">
        <f>CALCULATE(COUNTA(raw_data!A:A)-1, 'Bugs'[BusinessImpact] &gt; 10000)</f>
        <v/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 s="11">
        <f>SWITCH(TRUE(),
        [V23_Security_Bugs] &gt; 10, "High",
        [V23_Security_Bugs] &gt; 5, "Medium",
        "Low"
    )</f>
        <v/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 s="11">
        <f>CALCULATE(COUNTA(raw_data!A:A)-1, 'Bugs'[Category] = "Compliance")</f>
        <v/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 s="11">
        <f>CALCULATE(COUNTA(raw_data!A:A)-1, 'Bugs'[Category] = "Data Loss")</f>
        <v/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 s="11">
        <f>CALCULATE(
        COUNTA(raw_data!A:A)-1,
        raw_data!D:D = "Critical",
        'Bugs'[BusinessImpact] &gt; 0
    )</f>
        <v/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 s="11">
        <f>[J18_Project_Cost_of_Quality]</f>
        <v/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 s="11">
        <f>AVERAGEX(
        VALUES(raw_data!D:D),
        CALCULATE(AVERAGE('Bugs'[BusinessImpact]))
    )</f>
        <v/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 s="11">
        <f>SUM('Bugs'[BusinessImpact])</f>
        <v/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 s="11">
        <f>AVERAGEX(
        VALUES('Bugs'[ModuleName]),
        CALCULATE(SUM('Bugs'[BusinessImpact]))
    )</f>
        <v/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 s="11">
        <f>CALCULATE(
        SUM('Bugs'[BusinessImpact]),
        raw_data!D:D IN {"Critical", "High"}
    )</f>
        <v/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 s="11">
        <f>CALCULATE(
        SUM('Bugs'[BusinessImpact]),
        'Bugs'[Tags] CONTAINS "Production"
    )</f>
        <v/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 s="11">
        <f>CALCULATE(
        SUM('Bugs'[BusinessImpact]),
        raw_data!I:I = TRUE
    )</f>
        <v/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 s="11">
        <f>([B15_Total_Business_Impact] * 0.4) +
    ([B19_Escaped_Bug_Impact] * 0.35) +
    ([B17_High_Severity_Impact] * 0.25)</f>
        <v/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 s="11">
        <f>AVERAGE('Bugs'[TotalEffortHrs]) * 100</f>
        <v/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 s="11">
        <f>CALCULATE(
        SUM('Bugs'[BusinessImpact]),
        'Bugs'[Category] = "Security"
    )</f>
        <v/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 s="11">
        <f>CALCULATE(
        SUM('Bugs'[BusinessImpact]),
        'Bugs'[Category] = "Performance"
    )</f>
        <v/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 s="11">
        <f>CALCULATE(
        SUM('Bugs'[TotalEffortHrs]),
        'Bugs'[Category] = "Compliance"
    ) * 100</f>
        <v/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 s="11">
        <f>CALCULATE(
        SUM('Bugs'[BusinessImpact]),
        ALLEXCEPT('Bugs', raw_data!E:E)
    )</f>
        <v/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 s="11">
        <f>[V22_Customer_Reported_Bugs]</f>
        <v/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 s="11">
        <f>DIVIDE([C01_Customer_Reported_Bugs], [V01_Total_Bugs], 0)</f>
        <v/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 s="11">
        <f>AVERAGEX(
        FILTER('Bugs', raw_data!I:I = TRUE),
        'Bugs'[ResponseTimeHrs]
    )</f>
        <v/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 s="11">
        <f>AVERAGEX(
        FILTER('Bugs', raw_data!I:I = TRUE),
        'Bugs'[LeadTimeHrs]
    )</f>
        <v/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 s="11">
        <f>CALCULATE(
        COUNTA(raw_data!A:A)-1,
        raw_data!I:I = TRUE,
        raw_data!D:D = "Critical"
    )</f>
        <v/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 s="11">
        <f>CALCULATE(
        COUNTA(raw_data!A:A)-1,
        raw_data!I:I = TRUE,
        raw_data!D:D = "High"
    )</f>
        <v/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 s="11">
        <f>1 - ([C02_Customer_Bug_Rate] * 0.4 + [Q01_Escape_Rate] * 0.6)</f>
        <v/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 s="11">
        <f>([C05_Customer_Critical_Bugs] * 10) +
    ([C06_Customer_High_Bugs] * 5) +
    ([C01_Customer_Reported_Bugs] * 1)</f>
        <v/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 s="11">
        <f>Complex formula (see DAX reference)</f>
        <v/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 s="11">
        <f>DIVIDE(
        CALCULATE(COUNTA(raw_data!A:A)-1, raw_data!AM:AM &gt; 0, raw_data!I:I = TRUE),
        [C01_Customer_Reported_Bugs],
        0
    )</f>
        <v/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 s="11">
        <f>AVERAGEX(
        FILTER('Bugs', raw_data!I:I = TRUE),
        'Bugs'[TotalEffortHrs]
    )</f>
        <v/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 s="11">
        <f>DIVIDE(
        CALCULATE(COUNTA(raw_data!A:A)-1, raw_data!E:E = "P0", raw_data!I:I = TRUE),
        [C01_Customer_Reported_Bugs],
        0
    )</f>
        <v/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 s="11">
        <f>([C07_Customer_Satisfaction_Index] * 0.4) +
    ((1 - [C10_Customer_Reopen_Rate]) * 0.3) +
    ([C09_SLA_Compliance_Rate] * 0.3)</f>
        <v/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 s="11">
        <f>DIVIDE(
        CALCULATE(COUNTA(raw_data!A:A)-1, raw_data!F:F IN {"Resolved", "Done", "Closed"}, raw_data!I:I = TRUE),
        [C01_Customer_Reported_Bugs],
        0
    )</f>
        <v/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 s="11">
        <f>CALCULATE(
        COUNTA(raw_data!A:A)-1,
        raw_data!F:F NOT IN {"Resolved", "Done", "Closed"},
        raw_data!I:I = TRUE
    )</f>
        <v/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 s="11">
        <f>AVERAGEX(
        FILTER('Bugs', raw_data!I:I = TRUE),
        'Bugs'[WaitTimeHrs]
    )</f>
        <v/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 s="11">
        <f>Complex formula (see DAX reference)</f>
        <v/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 s="11">
        <f>AVERAGEX(
        FILTER('Bugs', raw_data!I:I = TRUE &amp;&amp; raw_data!E:E = "P0"),
        'Bugs'[ResponseTimeHrs]
    )</f>
        <v/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 s="11">
        <f>COUNTIF(raw_data!BR:BR,"By Design")</f>
        <v/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 s="11">
        <f>COUNTIF(raw_data!BR:BR,"Cannot Reproduce")</f>
        <v/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 s="11">
        <f>COUNTIF(raw_data!BR:BR,"Completed")</f>
        <v/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 s="11">
        <f>COUNTIF(raw_data!BR:BR,"Duplicate")</f>
        <v/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 s="11">
        <f>COUNTIF(raw_data!BR:BR,"Invalid")</f>
        <v/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 s="11">
        <f>COUNTIF(raw_data!BR:BR,"Obsolete")</f>
        <v/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 s="11">
        <f>COUNTIF(raw_data!BR:BR,"Won't Fix")</f>
        <v/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 s="11">
        <f>DIVIDE(
        COUNTA(raw_data!A:A)-1,
        CALCULATE(COUNTA(raw_data!A:A)-1, ALL('Bugs'[CloseReason])),
        0
    )</f>
        <v/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 s="11">
        <f>CR02_Cannot_Reproduce_Count/V09_Closed_Bugs*100</f>
        <v/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 s="11">
        <f>CR04_Duplicate_Count/V09_Closed_Bugs*100</f>
        <v/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 s="11">
        <f>DIVIDE(
        [CR05_Invalid_Count],
        [V09_Closed_Bugs],
        0
    )</f>
        <v/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 s="11">
        <f>CR03_Completed_Count/V09_Closed_Bugs*100</f>
        <v/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 s="11">
        <f>DIVIDE(
        [CR01_By_Design_Count],
        [V09_Closed_Bugs],
        0
    )</f>
        <v/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 s="11">
        <f>DIVIDE(
        [CR07_Wont_Fix_Count],
        [V09_Closed_Bugs],
        0
    )</f>
        <v/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 s="11">
        <f>DIVIDE(
        [CR03_Completed_Count],
        [V09_Closed_Bugs] - [CR04_Duplicate_Count] - [CR05_Invalid_Count],
        0
    )</f>
        <v/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 s="11">
        <f>SUM(raw_data!BA:BA)</f>
        <v/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 s="11">
        <f>AVERAGE(raw_data!BA:BA)</f>
        <v/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 s="11">
        <f>MEDIAN(raw_data!BA:BA)</f>
        <v/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 s="11">
        <f>SUM(raw_data!AX:AX)</f>
        <v/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 s="11">
        <f>SUM(raw_data!AZ:AZ)</f>
        <v/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 s="11">
        <f>SUM(raw_data!AW:AW)</f>
        <v/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 s="11">
        <f>SUM(raw_data!AY:AY)</f>
        <v/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 s="11">
        <f>SUM('Bugs'[ReopenEffortHrs])</f>
        <v/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 s="11">
        <f>AVERAGE(raw_data!AX:AX)</f>
        <v/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 s="11">
        <f>AVERAGE(raw_data!AZ:AZ)</f>
        <v/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 s="11">
        <f>AVERAGE('Bugs'[AnalysisEffortHrs])</f>
        <v/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 s="11">
        <f>AVERAGE('Bugs'[FixEffortHrs])</f>
        <v/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 s="11">
        <f>E04_Total_Dev_Effort/E01_Total_Effort*100</f>
        <v/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 s="11">
        <f>E05_Total_Test_Effort/E01_Total_Effort*100</f>
        <v/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 s="11">
        <f>DIVIDE([E06_Total_Analysis_Effort], [E01_Total_Effort], 0)</f>
        <v/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 s="11">
        <f>DIVIDE([E07_Total_Fix_Effort], [E01_Total_Effort], 0)</f>
        <v/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 s="11">
        <f>DIVIDE([E08_Total_Reopen_Effort], [E01_Total_Effort], 0)</f>
        <v/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 s="11">
        <f>CALCULATE(
        SUM('Bugs'[TotalEffortHrs]),
        raw_data!D:D = "Critical"
    )</f>
        <v/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 s="11">
        <f>CALCULATE(
        SUM('Bugs'[TotalEffortHrs]),
        raw_data!D:D = "High"
    )</f>
        <v/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 s="11">
        <f>CALCULATE(
        SUM('Bugs'[TotalEffortHrs]),
        raw_data!I:I = TRUE
    )</f>
        <v/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 s="11">
        <f>AVERAGEX(
        'Bugs',
        'Bugs'[TotalEffortHrs] - 'Bugs'[EstimatedEffortHrs]
    )</f>
        <v/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 s="11">
        <f>DIVIDE(
        [E21_Effort_Variance],
        AVERAGE('Bugs'[EstimatedEffortHrs]),
        0
    )</f>
        <v/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 s="11">
        <f>1 - ABS([E22_Effort_Variance_Pct])</f>
        <v/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 s="11">
        <f>DIVIDE(
        [E18_Critical_Bugs_Effort],
        CALCULATE(COUNTA(raw_data!A:A)-1, raw_data!D:D = "Critical"),
        0
    )</f>
        <v/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 s="11">
        <f>DIVIDE(
        [E19_High_Bugs_Effort],
        CALCULATE(COUNTA(raw_data!A:A)-1, raw_data!D:D = "High"),
        0
    )</f>
        <v/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 s="11">
        <f>[E08_Total_Reopen_Effort]</f>
        <v/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 s="11">
        <f>V01_Total_Bugs</f>
        <v/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 s="11">
        <f>[Q14_Bug_Density]</f>
        <v/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 s="11">
        <f>[J02_Project_Bug_Density]</f>
        <v/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 s="11">
        <f>[Q15_Critical_Bug_Density]</f>
        <v/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 s="11">
        <f>Q01_Escape_Rate</f>
        <v/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 s="11">
        <f>[Q03_Reopen_Rate]</f>
        <v/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 s="11">
        <f>Q13_Quality_Index</f>
        <v/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 s="11">
        <f>T01_Avg_Lead_Time</f>
        <v/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 s="11">
        <f>[T03_Avg_Cycle_Time]</f>
        <v/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 s="11">
        <f>[E01_Total_Effort]</f>
        <v/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 s="11">
        <f>AVERAGEX(
        'Bugs',
        DATEDIFF('Bugs'[DueDate], 'Bugs'[ClosedDate], DAY)
    )</f>
        <v/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 s="11">
        <f>[E21_Effort_Variance]</f>
        <v/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 s="11">
        <f>Complex formula (see DAX reference)</f>
        <v/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 s="11">
        <f>[V12_Escaped_Bugs]</f>
        <v/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 s="11">
        <f>[V13_Regression_Bugs]</f>
        <v/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 s="11">
        <f>([J07_Project_Quality_Index] * 0.4) +
    ([J13_Project_On_Time_Delivery_Rate] * 0.3) +
    ((1 - [J05_Project_Escape_Rate]) * 0.3)</f>
        <v/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 s="11">
        <f>DIVIDE(
        [S02_Sprint_Completed_Bugs],
        [J10_Project_Total_Effort],
        0
    )</f>
        <v/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 s="11">
        <f>[E08_Total_Reopen_Effort] + [E20_Escaped_Bugs_Effort]</f>
        <v/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 s="11">
        <f>DIVIDE([E08_Total_Reopen_Effort], [E01_Total_Effort], 0)</f>
        <v/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 s="11">
        <f>1 - [J19_Project_Rework_Rate]</f>
        <v/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 s="11">
        <f>V01_Total_Bugs/COUNTA(UNIQUE(raw_data!W:W))</f>
        <v/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 s="11">
        <f>DIVIDE(
        CALCULATE(COUNTA(raw_data!A:A)-1, raw_data!F:F IN {"Resolved", "Done", "Closed"}),
        DISTINCTCOUNT('Bugs'[AssigneeName]),
        0
    )</f>
        <v/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 s="11">
        <f>DIVIDE(
        CALCULATE(COUNTA(raw_data!A:A)-1, raw_data!AM:AM &gt; 0),
        COUNTA(raw_data!A:A)-1,
        0
    )</f>
        <v/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 s="11">
        <f>AVERAGE('Bugs'[FixEffortHrs])</f>
        <v/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 s="11">
        <f>SUM('Bugs'[TotalEffortHrs])</f>
        <v/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 s="11">
        <f>DIVIDE(
        CALCULATE(COUNTA(raw_data!A:A)-1, raw_data!F:F IN {"Resolved", "Done", "Closed"}),
        [P05_Developer_Workload_Hours],
        0
    )</f>
        <v/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 s="11">
        <f>([P06_Developer_Efficiency] * 0.4) +
    ((1 - [P03_Reopen_Rate_by_Developer]) * 0.3) +
    ([P02_Avg_Resolution_Rate] * 0.3)</f>
        <v/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 s="11">
        <f>DIVIDE(
        CALCULATE(COUNTA(raw_data!A:A)-1, 'Bugs'[IsDuplicate] = FALSE &amp;&amp; 'Bugs'[CloseReason] != "Invalid"),
        COUNTA(raw_data!A:A)-1,
        0
    )</f>
        <v/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 s="11">
        <f>DIVIDE(
        CALCULATE(COUNTA(raw_data!A:A)-1, 'Bugs'[RetestFailCount] &gt; 0),
        CALCULATE(COUNTA(raw_data!A:A)-1, NOT(ISBLANK('Bugs'[VerifierName]))),
        0
    )</f>
        <v/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 s="11">
        <f>V01_Total_Bugs/COUNTA(UNIQUE(raw_data!L:L))</f>
        <v/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 s="11">
        <f>[T01_Avg_Lead_Time]</f>
        <v/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 s="11">
        <f>([Q05_Fix_Success_Rate] * 0.35) +
    ((1 - [Q01_Escape_Rate]) * 0.35) +
    ([Q12_Testing_Effectiveness] * 0.30)</f>
        <v/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 s="11">
        <f>V12_Escaped_Bugs/V01_Total_Bugs*100</f>
        <v/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 s="11">
        <f>V13_Regression_Bugs/V01_Total_Bugs*100</f>
        <v/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 s="11">
        <f>V10_Reopened_Bugs/V09_Closed_Bugs*100</f>
        <v/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 s="11">
        <f>DIVIDE([V11_Multi_Reopened_Bugs], [V09_Closed_Bugs], 0)</f>
        <v/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 s="11">
        <f>(1-Q03_Reopen_Rate/100)*100</f>
        <v/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 s="11">
        <f>DIVIDE(
        CALCULATE(COUNTA(raw_data!A:A)-1, 'Bugs'[FixAttempts] = 1),
        CALCULATE(COUNTA(raw_data!A:A)-1, NOT(ISBLANK('Bugs'[FixAttempts]))),
        0
    )</f>
        <v/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 s="11">
        <f>V35_Duplicate_Bugs/V01_Total_Bugs*100</f>
        <v/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 s="11">
        <f>V14_Critical_Bugs/V01_Total_Bugs*100</f>
        <v/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 s="11">
        <f>DIVIDE([V15_High_Severity_Bugs], [V01_Total_Bugs], 0)</f>
        <v/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 s="11">
        <f>(V01_Total_Bugs-V12_Escaped_Bugs)/V01_Total_Bugs*100</f>
        <v/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 s="11">
        <f>[Q10_Defect_Detection_Effectiveness_DDE]</f>
        <v/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 s="11">
        <f>DIVIDE(
        CALCULATE(COUNTA(raw_data!A:A)-1, raw_data!F:F IN {"Resolved", "Done", "Closed"}),
        [V01_Total_Bugs],
        0
    )</f>
        <v/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 s="11">
        <f>(Q05_Fix_Success_Rate*0.4+Q10_Defect_Detection_Effectiveness_DDE*0.3+(100-Q01_Escape_Rate)*0.3)</f>
        <v/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 s="11">
        <f>DIVIDE(
        [V01_Total_Bugs],
        1000,
        0
    )</f>
        <v/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 s="11">
        <f>DIVIDE(
        [V14_Critical_Bugs],
        1000,
        0
    )</f>
        <v/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 s="11">
        <f>DIVIDE([V23_Security_Bugs], [V01_Total_Bugs], 0)</f>
        <v/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 s="11">
        <f>DIVIDE([V24_Performance_Bugs], [V01_Total_Bugs], 0)</f>
        <v/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 s="11">
        <f>DIVIDE(
        [V13_Regression_Bugs],
        CALCULATE(COUNTA(raw_data!A:A)-1, raw_data!F:F IN {"Resolved", "Done", "Closed"}),
        0
    )</f>
        <v/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 s="11">
        <f>DIVIDE(
        CALCULATE(COUNTA(raw_data!A:A)-1, NOT(ISBLANK('Bugs'[RootCause]))),
        [V01_Total_Bugs],
        0
    )</f>
        <v/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 s="11">
        <f>DIVIDE(
        [V12_Escaped_Bugs],
        [V01_Total_Bugs] - [V12_Escaped_Bugs],
        0
    )</f>
        <v/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 s="11">
        <f>DIVIDE(
        CALCULATE(COUNTA(raw_data!A:A)-1, NOT(ISBLANK('Bugs'[TestCaseID]))),
        [V01_Total_Bugs],
        0
    )</f>
        <v/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 s="11">
        <f>AVERAGE(raw_data!AM:AM)</f>
        <v/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 s="11">
        <f>AVERAGE('Bugs'[RiskScore])</f>
        <v/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 s="11">
        <f>CALCULATE(COUNTA(raw_data!A:A)-1, 'Bugs'[RiskScore] &gt; 7)</f>
        <v/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 s="11">
        <f>CALCULATE(COUNTA(raw_data!A:A)-1, 'Bugs'[RiskScore] &gt;= 4 &amp;&amp; 'Bugs'[RiskScore] &lt;= 7)</f>
        <v/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 s="11">
        <f>CALCULATE(COUNTA(raw_data!A:A)-1, 'Bugs'[RiskScore] &lt; 4)</f>
        <v/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 s="11">
        <f>DIVIDE(
        COUNTA(raw_data!A:A)-1,
        CALCULATE(COUNTA(raw_data!A:A)-1, ALL('Bugs'[RiskScore])),
        0
    )</f>
        <v/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 s="11">
        <f>CALCULATE(
        COUNTA(raw_data!A:A)-1,
        'Bugs'[RiskScore] &gt; 8,
        raw_data!D:D = "Critical"
    )</f>
        <v/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 s="11">
        <f>CALCULATE(
        COUNTA(raw_data!A:A)-1,
        'Bugs'[EscapeProbability] &gt; 0.7
    )</f>
        <v/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 s="11">
        <f>CALCULATE(
        COUNTA(raw_data!A:A)-1,
        'Bugs'[RecurrenceProbability] &gt; 0.5
    )</f>
        <v/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 s="11">
        <f>SUMX(
        FILTER('Bugs', raw_data!F:F = "Open"),
        'Bugs'[RiskScore]
    )</f>
        <v/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 s="11">
        <f>VAR ActualEscapes = [V12_Escaped_Bugs]
    VAR PredictedEscapes = [R07_Predicted_Escapes]
    RETURN DIVIDE(ABS(ActualEscapes - PredictedEscapes), ActualEscapes, 0)</f>
        <v/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 s="11">
        <f>AVERAGEX(
        VALUES('Bugs'[ModuleName]),
        CALCULATE(AVERAGE('Bugs'[RiskScore]))
    )</f>
        <v/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 s="11">
        <f>AVERAGEX(
        VALUES('Bugs'[TeamName]),
        CALCULATE(AVERAGE('Bugs'[RiskScore]))
    )</f>
        <v/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 s="11">
        <f>VAR CurrentRisk = [R01_Overall_Risk_Score]
    VAR PreviousRisk = CALCULATE([R01_Overall_Risk_Score], DATEADD('Date'[Date], -1, MONTH))
    RETURN CurrentRisk - PreviousRisk</f>
        <v/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 s="11">
        <f>CALCULATE(
        COUNTA(raw_data!A:A)-1,
        'Bugs'[RiskScore] &gt; 7,
        raw_data!D:D = "Critical"
    )</f>
        <v/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 s="11">
        <f>DIVIDE(
        [R16_High_Risk_Critical_Bugs],
        [V01_Total_Bugs],
        0
    )</f>
        <v/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 s="11">
        <f>Complex formula (see DAX reference)</f>
        <v/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 s="11">
        <f>CALCULATE(COUNTA(raw_data!A:A)-1, 'Bugs'[IsAnomaly] = TRUE)</f>
        <v/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 s="11">
        <f>([R01_Overall_Risk_Score] * 0.3) +
    ([V14_Critical_Bugs] * 0.25) +
    ([V12_Escaped_Bugs] * 0.25) +
    ([T18_Avg_Age_Days] * 0.20)</f>
        <v/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 s="11">
        <f>AVERAGEX(
        FILTER('Bugs', 'Bugs'[RiskScore] &gt; 7),
        'Bugs'[AgeDays]
    )</f>
        <v/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 s="11">
        <f>VAR CurrentVelocity = [S01_Sprint_Velocity]
    VAR RiskFactor = [R01_Overall_Risk_Score] / 10
    RETURN CurrentVelocity * (1 - RiskFactor)</f>
        <v/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 s="11">
        <f>VAR AvgBugsPerSprint = AVERAGEX(VALUES('Sprint'[SprintID]), [S09_Sprint_Inflow])
    VAR Trend = [TR04_Bug_Trend_7Days]
    RETURN AvgBugsPerSprint * (1 + Trend)</f>
        <v/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 s="11">
        <f>DIVIDE(
        [R02_High_Risk_Bugs],
        CALCULATE([R02_High_Risk_Bugs], DATEADD('Date'[Date], -7, DAY)),
        0
    ) - 1</f>
        <v/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 s="11">
        <f>CALCULATE(
        SUM('Bugs'[RiskScore]),
        'Bugs'[IsBlocking] = TRUE
    )</f>
        <v/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 s="11">
        <f>V01_Total_Bugs/COUNTA(UNIQUE(raw_data!P:P))</f>
        <v/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 s="11">
        <f>COUNTIFS(raw_data!F:F,"Done")+COUNTIFS(raw_data!F:F,"Closed")</f>
        <v/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 s="11">
        <f>CALCULATE(
        COUNTA(raw_data!A:A)-1,
        raw_data!F:F NOT IN {"Resolved", "Done", "Closed"}
    )</f>
        <v/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 s="11">
        <f>DIVIDE([S03_Sprint_Carryover], [S01_Sprint_Velocity], 0)</f>
        <v/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 s="11">
        <f>S02_Sprint_Completed_Bugs/V01_Total_Bugs*100</f>
        <v/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 s="11">
        <f>[T03_Avg_Cycle_Time]</f>
        <v/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 s="11">
        <f>CALCULATE(
        COUNTA(raw_data!A:A)-1,
        'Bugs'[CreatedDate] &gt;= EARLIER('Sprint'[StartDate]) &amp;&amp;
        'Bugs'[CreatedDate] &lt;= EARLIER('Sprint'[EndDate])
    )</f>
        <v/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 s="11">
        <f>[S02_Sprint_Completed_Bugs]</f>
        <v/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 s="11">
        <f>[S03_Sprint_Carryover]</f>
        <v/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 s="11">
        <f>ABS([S09_Sprint_Inflow] - [S01_Sprint_Velocity])</f>
        <v/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 s="11">
        <f>DIVIDE(
        [S01_Sprint_Velocity] - [S12_Sprint_Scope_Change],
        [S01_Sprint_Velocity],
        0
    )</f>
        <v/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 s="11">
        <f>[S02_Sprint_Completed_Bugs]</f>
        <v/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 s="11">
        <f>[T01_Avg_Lead_Time]</f>
        <v/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 s="11">
        <f>[S05_Sprint_Completion_Rate]</f>
        <v/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 s="11">
        <f>[Q13_Quality_Index]</f>
        <v/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 s="11">
        <f>[Q14_Bug_Density]</f>
        <v/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 s="11">
        <f>AVERAGE(raw_data!AQ:AQ)</f>
        <v/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 s="11">
        <f>MEDIAN(raw_data!AQ:AQ)</f>
        <v/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 s="11">
        <f>MAX(raw_data!AQ:AQ)</f>
        <v/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 s="11">
        <f>COUNTIFS(raw_data!F:F,"Triage",raw_data!AQ:AQ,"&gt;24")</f>
        <v/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 s="11">
        <f>AVERAGE(raw_data!AR:AR)</f>
        <v/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 s="11">
        <f>AVERAGE(raw_data!AS:AS)</f>
        <v/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 s="11">
        <f>MEDIAN(raw_data!AS:AS)</f>
        <v/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 s="11">
        <f>AVERAGE(raw_data!AT:AT)</f>
        <v/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 s="11">
        <f>MEDIAN(raw_data!AT:AT)</f>
        <v/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 s="11">
        <f>COUNTIFS(raw_data!F:F,"Ready for Retest",raw_data!AT:AT,"&gt;48")</f>
        <v/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 s="11">
        <f>AVERAGE(raw_data!AP:AP)</f>
        <v/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 s="11">
        <f>COUNTIF(raw_data!AP:AP,"&gt;8")</f>
        <v/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 s="11">
        <f>COUNTIF(raw_data!AP:AP,"&lt;=4")</f>
        <v/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 s="11">
        <f>COUNTIFS(raw_data!AQ:AQ,"&lt;=4")/COUNTA(raw_data!AQ:AQ)*100</f>
        <v/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 s="11">
        <f>COUNTIF(raw_data!BW:BW,0)/V09_Closed_Bugs*100</f>
        <v/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 s="11">
        <f>DIVIDE(
        [V45_Completed_Bugs],
        [V45_Completed_Bugs] + CALCULATE(COUNTA(raw_data!A:A)-1, 'Bugs'[RetestFailCount] &gt; 0),
        0
    )</f>
        <v/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 s="11">
        <f>DIVIDE(
        CALCULATE(COUNTA(raw_data!A:A)-1, 'Bugs'[PreviousState] &gt; raw_data!F:F),
        COUNTA(raw_data!A:A)-1,
        0
    )</f>
        <v/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 s="11">
        <f>AVERAGEX(
        FILTER('Bugs', NOT(ISBLANK('Bugs'[TriageDate]))),
        DATEDIFF('Bugs'[CreatedDate], 'Bugs'[TriageDate], HOUR)
    )</f>
        <v/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 s="11">
        <f>AVERAGEX(
        FILTER('Bugs', NOT(ISBLANK('Bugs'[TriageDate])) &amp;&amp; raw_data!F:F != "Triage"),
        DATEDIFF('Bugs'[TriageDate], 'Bugs'[AssignedDate], HOUR)
    )</f>
        <v/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 s="11">
        <f>AVERAGEX(
        FILTER('Bugs', NOT(ISBLANK('Bugs'[InProgressDate]))),
        DATEDIFF('Bugs'[AssignedDate], 'Bugs'[InProgressDate], HOUR)
    )</f>
        <v/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 s="11">
        <f>AVERAGEX(
        FILTER('Bugs', NOT(ISBLANK('Bugs'[ReadyForRetestDate]))),
        DATEDIFF('Bugs'[InProgressDate], 'Bugs'[ReadyForRetestDate], HOUR)
    )</f>
        <v/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 s="11">
        <f>AVERAGEX(
        FILTER('Bugs', NOT(ISBLANK('Bugs'[DoneDate]))),
        DATEDIFF('Bugs'[ReadyForRetestDate], 'Bugs'[DoneDate], HOUR)
    )</f>
        <v/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 s="11">
        <f>AVERAGEX(
        FILTER('Bugs', NOT(ISBLANK('Bugs'[ClosedDate])) &amp;&amp; NOT(ISBLANK('Bugs'[DoneDate]))),
        DATEDIFF('Bugs'[DoneDate], 'Bugs'[ClosedDate], HOUR)
    )</f>
        <v/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 s="11">
        <f>Complex formula (see DAX reference)</f>
        <v/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 s="11">
        <f>DIVIDE(
        [SF06_Avg_InProgress_Duration],
        [SF05_Avg_Active_Duration] + [SF06_Avg_InProgress_Duration] + [SF08_Avg_ReadyForRetest_Duration],
        0
    )</f>
        <v/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 s="11">
        <f>DIVIDE(
        SUM('Bugs'[StateTransitionCount]),
        DISTINCTCOUNT('Bugs'[BugID]),
        0
    )</f>
        <v/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 s="11">
        <f>CALCULATE(
        COUNTA(raw_data!A:A)-1,
        ALLEXCEPT('Bugs', raw_data!F:F)
    )</f>
        <v/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 s="11">
        <f>DIVIDE(
        [SF27_Bugs_by_Current_State],
        [V01_Total_Bugs],
        0
    )</f>
        <v/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 s="11">
        <f>CALCULATE(
        COUNTA(raw_data!A:A)-1,
        raw_data!F:F = "Triage",
        raw_data!D:D = "Critical"
    )</f>
        <v/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 s="11">
        <f>AVERAGEX(
        FILTER('Bugs', NOT(ISBLANK('Bugs'[InProgressDate]))),
        DATEDIFF('Bugs'[CreatedDate], 'Bugs'[InProgressDate], HOUR)
    )</f>
        <v/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 s="11">
        <f>AVERAGE(raw_data!BD:BD)</f>
        <v/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 s="11">
        <f>MEDIAN(raw_data!BD:BD)</f>
        <v/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 s="11">
        <f>AVERAGE(raw_data!BE:BE)</f>
        <v/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 s="11">
        <f>MEDIAN(raw_data!BE:BE)</f>
        <v/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 s="11">
        <f>PERCENTILE(raw_data!BE:BE,0.75)</f>
        <v/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 s="11">
        <f>PERCENTILEX.INC('Bugs', 'Bugs'[CycleTimeHrs], 0.90)</f>
        <v/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 s="11">
        <f>PERCENTILEX.INC('Bugs', 'Bugs'[LeadTimeHrs], 0.95)</f>
        <v/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 s="11">
        <f>MAX(raw_data!BD:BD)</f>
        <v/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 s="11">
        <f>MAX('Bugs'[CycleTimeHrs])</f>
        <v/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 s="11">
        <f>MIN(raw_data!BD:BD)</f>
        <v/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 s="11">
        <f>AVERAGEX(
        FILTER('Bugs', NOT(ISBLANK('Bugs'[ResolvedDate]))),
        DATEDIFF('Bugs'[CreatedDate], 'Bugs'[ResolvedDate], HOUR)
    )</f>
        <v/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 s="11">
        <f>AVERAGEX(
        FILTER('Bugs', NOT(ISBLANK('Bugs'[ClosedDate]))),
        DATEDIFF('Bugs'[CreatedDate], 'Bugs'[ClosedDate], HOUR)
    )</f>
        <v/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 s="11">
        <f>AVERAGE(raw_data!BF:BF)</f>
        <v/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 s="11">
        <f>AVERAGE('Bugs'[FixEffortHrs])</f>
        <v/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 s="11">
        <f>AVERAGEX(
        FILTER('Bugs', NOT(ISBLANK('Bugs'[VerifiedDate])) &amp;&amp; NOT(ISBLANK('Bugs'[ResolvedDate]))),
        DATEDIFF('Bugs'[ResolvedDate], 'Bugs'[VerifiedDate], HOUR)
    )</f>
        <v/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 s="11">
        <f>AVERAGE(raw_data!BG:BG)</f>
        <v/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 s="11">
        <f>AVERAGE(raw_data!BH:BH)</f>
        <v/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 s="11">
        <f>AVERAGE(raw_data!BI:BI)</f>
        <v/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 s="11">
        <f>COUNTIF(raw_data!BI:BI,"&gt;7")</f>
        <v/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 s="11">
        <f>COUNTIF(raw_data!BI:BI,"&gt;14")</f>
        <v/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 s="11">
        <f>COUNTIF(raw_data!BI:BI,"&gt;30")</f>
        <v/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 s="11">
        <f>COUNTIF(raw_data!BI:BI,"&gt;60")</f>
        <v/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 s="11">
        <f>CALCULATE(COUNTA(raw_data!A:A)-1, 'Bugs'[AgeDays] &gt; 90)</f>
        <v/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 s="11">
        <f>AVERAGEX(
        FILTER('Bugs', raw_data!AM:AM &gt; 0),
        DATEDIFF('Bugs'[ClosedDate], 'Bugs'[FirstReopenDate], HOUR)
    )</f>
        <v/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 s="11">
        <f>AVERAGEX(
        FILTER('Bugs', raw_data!F:F = "Open"),
        DATEDIFF('Bugs'[CreatedDate], TODAY(), DAY)
    )</f>
        <v/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 s="11">
        <f>T17_Avg_Active_Work_Time/T01_Avg_Lead_Time*100</f>
        <v/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 s="11">
        <f>AVERAGEX(
        'Bugs',
        DATEDIFF('Bugs'[LastModifiedDate], TODAY(), DAY)
    )</f>
        <v/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 s="11">
        <f>CALCULATE(COUNTA(raw_data!A:A)-1, DATEDIFF('Bugs'[LastModifiedDate], TODAY(), DAY) &gt; 30)</f>
        <v/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 s="11">
        <f>CALCULATE(COUNTA(raw_data!A:A)-1, DATEDIFF('Bugs'[LastModifiedDate], TODAY(), DAY) &lt;= 7)</f>
        <v/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 s="11">
        <f>0</f>
        <v/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 s="11">
        <f>0</f>
        <v/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 s="11">
        <f>VAR Current = [Q01_Escape_Rate]
    VAR Previous = CALCULATE([Q01_Escape_Rate], DATEADD('Date'[Date], -1, MONTH))
    RETURN Current - Previous</f>
        <v/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 s="11">
        <f>0</f>
        <v/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 s="11">
        <f>CALCULATE(
        AVERAGEX(
            DATESINPERIOD('Date'[Date], MAX('Date'[Date]), -7, DAY),
            [V01_Total_Bugs]
        )
    )</f>
        <v/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 s="11">
        <f>CALCULATE(
        AVERAGEX(
            DATESINPERIOD('Date'[Date], MAX('Date'[Date]), -30, DAY),
            [V01_Total_Bugs]
        )
    )</f>
        <v/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 s="11">
        <f>VAR Current = [V14_Critical_Bugs]
    VAR Previous = CALCULATE([V14_Critical_Bugs], DATEADD('Date'[Date], -1, MONTH))
    RETURN DIVIDE(Current - Previous, Previous, 0)</f>
        <v/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 s="11">
        <f>VAR Current = [Q03_Reopen_Rate]
    VAR Previous = CALCULATE([Q03_Reopen_Rate], DATEADD('Date'[Date], -1, MONTH))
    RETURN Current - Previous</f>
        <v/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 s="11">
        <f>VAR Current = [T01_Avg_Lead_Time]
    VAR Previous = CALCULATE([T01_Avg_Lead_Time], DATEADD('Date'[Date], -1, MONTH))
    RETURN DIVIDE(Current - Previous, Previous, 0)</f>
        <v/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 s="11">
        <f>VAR Current = [S01_Sprint_Velocity]
    VAR Previous = CALCULATE([S01_Sprint_Velocity], DATEADD('Date'[Date], -1, MONTH))
    RETURN DIVIDE(Current - Previous, Previous, 0)</f>
        <v/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 s="11">
        <f>VAR Current = [E01_Total_Effort]
    VAR Previous = CALCULATE([E01_Total_Effort], DATEADD('Date'[Date], -1, MONTH))
    RETURN DIVIDE(Current - Previous, Previous, 0)</f>
        <v/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 s="11">
        <f>AVERAGEX(
        VALUES('Bugs'[ModuleName]),
        CALCULATE([V01_Total_Bugs])
    )</f>
        <v/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 s="11">
        <f>AVERAGEX(
        VALUES('Bugs'[TeamName]),
        CALCULATE([V01_Total_Bugs])
    )</f>
        <v/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 s="11">
        <f>Complex formula (see DAX reference)</f>
        <v/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 s="11">
        <f>VAR CurrentQuarter = [V01_Total_Bugs]
    VAR PreviousQuarter = CALCULATE([V01_Total_Bugs], DATEADD('Date'[Date], -1, QUARTER))
    RETURN DIVIDE(CurrentQuarter - PreviousQuarter, PreviousQuarter, 0)</f>
        <v/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 s="11">
        <f>COUNTA(raw_data!A:A)-1</f>
        <v/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 s="11">
        <f>COUNTIFS(raw_data!F:F,"Open",raw_data!F:F,"Triage",raw_data!F:F,"Active",raw_data!F:F,"In Progress",raw_data!F:F,"Ready for Retest")</f>
        <v/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 s="11">
        <f>COUNTIF(raw_data!F:F,"Triage")</f>
        <v/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 s="11">
        <f>COUNTIF(raw_data!F:F,"Active")</f>
        <v/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 s="11">
        <f>COUNTIF(raw_data!F:F,"In Progress")</f>
        <v/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 s="11">
        <f>COUNTIF(raw_data!F:F,"Ready for Retest")</f>
        <v/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 s="11">
        <f>COUNTIF(raw_data!F:F,"Resolved")</f>
        <v/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 s="11">
        <f>COUNTIF(raw_data!F:F,"Done")</f>
        <v/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 s="11">
        <f>COUNTIF(raw_data!F:F,"Closed")</f>
        <v/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 s="11">
        <f>COUNTIF(raw_data!AM:AM,"&gt;0")</f>
        <v/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 s="11">
        <f>COUNTIF(raw_data!AM:AM,"&gt;1")</f>
        <v/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 s="11">
        <f>COUNTIF(raw_data!I:I,TRUE)</f>
        <v/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 s="11">
        <f>COUNTIF(raw_data!H:H,TRUE)</f>
        <v/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 s="11">
        <f>COUNTIF(raw_data!D:D,"Critical")</f>
        <v/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 s="11">
        <f>COUNTIF(raw_data!D:D,"High")</f>
        <v/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 s="11">
        <f>COUNTIF(raw_data!D:D,"Medium")</f>
        <v/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 s="11">
        <f>COUNTIF(raw_data!D:D,"Low")</f>
        <v/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 s="11">
        <f>COUNTIF(raw_data!E:E,"P0")</f>
        <v/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 s="11">
        <f>COUNTIF(raw_data!E:E,"P1")</f>
        <v/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 s="11">
        <f>COUNTIF(raw_data!E:E,"P2")</f>
        <v/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 s="11">
        <f>CALCULATE(COUNTA(raw_data!A:A)-1, 'Bugs'[IsBlocking] = TRUE)</f>
        <v/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 s="11">
        <f>V12_Escaped_Bugs</f>
        <v/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 s="11">
        <f>COUNTIF(raw_data!G:G,"Security")</f>
        <v/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 s="11">
        <f>COUNTIF(raw_data!G:G,"Performance")</f>
        <v/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 s="11">
        <f>COUNTIF(raw_data!G:G,"UI")</f>
        <v/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 s="11">
        <f>CALCULATE(COUNTA(raw_data!A:A)-1, 'Bugs'[Category] = "Functional")</f>
        <v/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 s="11">
        <f>CALCULATE(COUNTA(raw_data!A:A)-1, 'Bugs'[Category] = "Data")</f>
        <v/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 s="11">
        <f>COUNTA(raw_data!A:A)-1</f>
        <v/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 s="11">
        <f>COUNTA(raw_data!A:A)-1</f>
        <v/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 s="11">
        <f>COUNTA(raw_data!A:A)-1</f>
        <v/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 s="11">
        <f>COUNTA(raw_data!A:A)-1</f>
        <v/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 s="11">
        <f>COUNTA(raw_data!A:A)-1</f>
        <v/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 s="11">
        <f>COUNTA(raw_data!A:A)-1</f>
        <v/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 s="11">
        <f>COUNTA(raw_data!A:A)-1</f>
        <v/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 s="11">
        <f>COUNTIF(raw_data!BT:BT,TRUE)</f>
        <v/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 s="11">
        <f>COUNTIF(raw_data!BR:BR,"Won't Fix")</f>
        <v/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 s="11">
        <f>COUNTIF(raw_data!BR:BR,"Cannot Reproduce")</f>
        <v/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 s="11">
        <f>COUNTIF(raw_data!BQ:BQ,"Fixed")</f>
        <v/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 s="11">
        <f>CALCULATE(COUNTA(raw_data!A:A)-1, 'Bugs'[Tags] CONTAINS "Production")</f>
        <v/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 s="11">
        <f>CALCULATE(COUNTA(raw_data!A:A)-1, 'Bugs'[Tags] CONTAINS "QA")</f>
        <v/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 s="11">
        <f>CALCULATE(COUNTA(raw_data!A:A)-1, raw_data!F:F = "Open")</f>
        <v/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 s="11">
        <f>[V41_Backlog_Bugs]</f>
        <v/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 s="11">
        <f>COUNTIF(raw_data!BR:BR,"Invalid")</f>
        <v/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 s="11">
        <f>COUNTIF(raw_data!BR:BR,"Obsolete")</f>
        <v/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 s="11">
        <f>COUNTIF(raw_data!BR:BR,"Completed")</f>
        <v/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101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BugID</t>
        </is>
      </c>
      <c r="B1" s="12" t="inlineStr">
        <is>
          <t>Title</t>
        </is>
      </c>
      <c r="C1" s="12" t="inlineStr">
        <is>
          <t>Description</t>
        </is>
      </c>
      <c r="D1" s="12" t="inlineStr">
        <is>
          <t>Severity</t>
        </is>
      </c>
      <c r="E1" s="12" t="inlineStr">
        <is>
          <t>Priority</t>
        </is>
      </c>
      <c r="F1" s="12" t="inlineStr">
        <is>
          <t>State</t>
        </is>
      </c>
      <c r="G1" s="12" t="inlineStr">
        <is>
          <t>Category</t>
        </is>
      </c>
      <c r="H1" s="12" t="inlineStr">
        <is>
          <t>IsRegression</t>
        </is>
      </c>
      <c r="I1" s="12" t="inlineStr">
        <is>
          <t>is_escaped</t>
        </is>
      </c>
      <c r="J1" s="12" t="inlineStr">
        <is>
          <t>ProjectID</t>
        </is>
      </c>
      <c r="K1" s="12" t="inlineStr">
        <is>
          <t>ProjectName</t>
        </is>
      </c>
      <c r="L1" s="12" t="inlineStr">
        <is>
          <t>TeamName</t>
        </is>
      </c>
      <c r="M1" s="12" t="inlineStr">
        <is>
          <t>TeamID</t>
        </is>
      </c>
      <c r="N1" s="12" t="inlineStr">
        <is>
          <t>ModuleID</t>
        </is>
      </c>
      <c r="O1" s="12" t="inlineStr">
        <is>
          <t>ModuleName</t>
        </is>
      </c>
      <c r="P1" s="12" t="inlineStr">
        <is>
          <t>SprintName</t>
        </is>
      </c>
      <c r="Q1" s="12" t="inlineStr">
        <is>
          <t>SprintID</t>
        </is>
      </c>
      <c r="R1" s="12" t="inlineStr">
        <is>
          <t>Tags</t>
        </is>
      </c>
      <c r="S1" s="12" t="inlineStr">
        <is>
          <t>ExternalTicketID</t>
        </is>
      </c>
      <c r="T1" s="12" t="inlineStr">
        <is>
          <t>Comments</t>
        </is>
      </c>
      <c r="U1" s="12" t="inlineStr">
        <is>
          <t>ReporterName</t>
        </is>
      </c>
      <c r="V1" s="12" t="inlineStr">
        <is>
          <t>ReporterID</t>
        </is>
      </c>
      <c r="W1" s="12" t="inlineStr">
        <is>
          <t>AssigneeName</t>
        </is>
      </c>
      <c r="X1" s="12" t="inlineStr">
        <is>
          <t>AssigneeID</t>
        </is>
      </c>
      <c r="Y1" s="12" t="inlineStr">
        <is>
          <t>VerifierName</t>
        </is>
      </c>
      <c r="Z1" s="12" t="inlineStr">
        <is>
          <t>VerifierID</t>
        </is>
      </c>
      <c r="AA1" s="12" t="inlineStr">
        <is>
          <t>ResolverName</t>
        </is>
      </c>
      <c r="AB1" s="12" t="inlineStr">
        <is>
          <t>ResolverID</t>
        </is>
      </c>
      <c r="AC1" s="12" t="inlineStr">
        <is>
          <t>CreatedDate</t>
        </is>
      </c>
      <c r="AD1" s="12" t="inlineStr">
        <is>
          <t>TriageDate</t>
        </is>
      </c>
      <c r="AE1" s="12" t="inlineStr">
        <is>
          <t>AssignedDate</t>
        </is>
      </c>
      <c r="AF1" s="12" t="inlineStr">
        <is>
          <t>StartedDate</t>
        </is>
      </c>
      <c r="AG1" s="12" t="inlineStr">
        <is>
          <t>InProgressDate</t>
        </is>
      </c>
      <c r="AH1" s="12" t="inlineStr">
        <is>
          <t>ReadyForRetestDate</t>
        </is>
      </c>
      <c r="AI1" s="12" t="inlineStr">
        <is>
          <t>ResolvedDate</t>
        </is>
      </c>
      <c r="AJ1" s="12" t="inlineStr">
        <is>
          <t>VerifiedDate</t>
        </is>
      </c>
      <c r="AK1" s="12" t="inlineStr">
        <is>
          <t>DoneDate</t>
        </is>
      </c>
      <c r="AL1" s="12" t="inlineStr">
        <is>
          <t>ClosedDate</t>
        </is>
      </c>
      <c r="AM1" s="12" t="inlineStr">
        <is>
          <t>LastModifiedDate</t>
        </is>
      </c>
      <c r="AN1" s="12" t="inlineStr">
        <is>
          <t>DueDate</t>
        </is>
      </c>
      <c r="AO1" s="12" t="inlineStr">
        <is>
          <t>ReopenCount</t>
        </is>
      </c>
      <c r="AP1" s="12" t="inlineStr">
        <is>
          <t>FirstReopenDate</t>
        </is>
      </c>
      <c r="AQ1" s="12" t="inlineStr">
        <is>
          <t>LastReopenDate</t>
        </is>
      </c>
      <c r="AR1" s="12" t="inlineStr">
        <is>
          <t>PreviousState</t>
        </is>
      </c>
      <c r="AS1" s="12" t="inlineStr">
        <is>
          <t>StateTransitionCount</t>
        </is>
      </c>
      <c r="AT1" s="12" t="inlineStr">
        <is>
          <t>TriageDurationHrs</t>
        </is>
      </c>
      <c r="AU1" s="12" t="inlineStr">
        <is>
          <t>ActiveDurationHrs</t>
        </is>
      </c>
      <c r="AV1" s="12" t="inlineStr">
        <is>
          <t>InProgressDurationHrs</t>
        </is>
      </c>
      <c r="AW1" s="12" t="inlineStr">
        <is>
          <t>ReadyForRetestDurationHrs</t>
        </is>
      </c>
      <c r="AX1" s="12" t="inlineStr">
        <is>
          <t>StateHistory</t>
        </is>
      </c>
      <c r="AY1" s="12" t="inlineStr">
        <is>
          <t>AssigneeChangeCount</t>
        </is>
      </c>
      <c r="AZ1" s="12" t="inlineStr">
        <is>
          <t>StateChangeCount</t>
        </is>
      </c>
      <c r="BA1" s="12" t="inlineStr">
        <is>
          <t>FixAttempts</t>
        </is>
      </c>
      <c r="BB1" s="12" t="inlineStr">
        <is>
          <t>AnalysisEffortHrs</t>
        </is>
      </c>
      <c r="BC1" s="12" t="inlineStr">
        <is>
          <t>DevEffortHrs</t>
        </is>
      </c>
      <c r="BD1" s="12" t="inlineStr">
        <is>
          <t>FixEffortHrs</t>
        </is>
      </c>
      <c r="BE1" s="12" t="inlineStr">
        <is>
          <t>TestEffortHrs</t>
        </is>
      </c>
      <c r="BF1" s="12" t="inlineStr">
        <is>
          <t>ReopenEffortHrs</t>
        </is>
      </c>
      <c r="BG1" s="12" t="inlineStr">
        <is>
          <t>TotalEffortHrs</t>
        </is>
      </c>
      <c r="BH1" s="12" t="inlineStr">
        <is>
          <t>EstimatedEffortHrs</t>
        </is>
      </c>
      <c r="BI1" s="12" t="inlineStr">
        <is>
          <t>LeadTimeHrs</t>
        </is>
      </c>
      <c r="BJ1" s="12" t="inlineStr">
        <is>
          <t>CycleTimeHrs</t>
        </is>
      </c>
      <c r="BK1" s="12" t="inlineStr">
        <is>
          <t>ResponseTimeHrs</t>
        </is>
      </c>
      <c r="BL1" s="12" t="inlineStr">
        <is>
          <t>WaitTimeHrs</t>
        </is>
      </c>
      <c r="BM1" s="12" t="inlineStr">
        <is>
          <t>ActiveWorkTimeHrs</t>
        </is>
      </c>
      <c r="BN1" s="12" t="inlineStr">
        <is>
          <t>AgeDays</t>
        </is>
      </c>
      <c r="BO1" s="12" t="inlineStr">
        <is>
          <t>RootCause</t>
        </is>
      </c>
      <c r="BP1" s="12" t="inlineStr">
        <is>
          <t>Resolution</t>
        </is>
      </c>
      <c r="BQ1" s="12" t="inlineStr">
        <is>
          <t>CloseReason</t>
        </is>
      </c>
      <c r="BR1" s="12" t="inlineStr">
        <is>
          <t>TestCaseID</t>
        </is>
      </c>
      <c r="BS1" s="12" t="inlineStr">
        <is>
          <t>IsDuplicate</t>
        </is>
      </c>
      <c r="BT1" s="12" t="inlineStr">
        <is>
          <t>DuplicateOfBugID</t>
        </is>
      </c>
      <c r="BU1" s="12" t="inlineStr">
        <is>
          <t>RetestPassCount</t>
        </is>
      </c>
      <c r="BV1" s="12" t="inlineStr">
        <is>
          <t>RetestFailCount</t>
        </is>
      </c>
    </row>
    <row r="2">
      <c r="A2" t="n">
        <v>194977</v>
      </c>
      <c r="B2" t="inlineStr">
        <is>
          <t>چک شوددر کجا nameAndnationalcode در جدول entitytableکجا ست میشود؟</t>
        </is>
      </c>
      <c r="C2" t="inlineStr">
        <is>
          <t>تکمیل توضیحات: چک شوددر کجا nameAndnationalcode در جدول entitytab...</t>
        </is>
      </c>
      <c r="D2" t="inlineStr">
        <is>
          <t>Medium</t>
        </is>
      </c>
      <c r="E2" t="inlineStr">
        <is>
          <t>P0</t>
        </is>
      </c>
      <c r="F2" t="inlineStr">
        <is>
          <t>Done</t>
        </is>
      </c>
      <c r="G2" t="inlineStr">
        <is>
          <t>Data</t>
        </is>
      </c>
      <c r="H2" t="b">
        <v>0</v>
      </c>
      <c r="I2" t="b">
        <v>0</v>
      </c>
      <c r="J2" t="inlineStr">
        <is>
          <t>PRJ-001</t>
        </is>
      </c>
      <c r="K2" t="inlineStr">
        <is>
          <t>Dem System</t>
        </is>
      </c>
      <c r="L2" t="inlineStr">
        <is>
          <t>Team Gamma</t>
        </is>
      </c>
      <c r="M2" t="inlineStr">
        <is>
          <t>T03</t>
        </is>
      </c>
      <c r="N2" t="inlineStr">
        <is>
          <t>M09</t>
        </is>
      </c>
      <c r="O2" t="inlineStr">
        <is>
          <t>Dem\DemBiz\SP_88</t>
        </is>
      </c>
      <c r="P2" t="inlineStr">
        <is>
          <t>Sprint 23</t>
        </is>
      </c>
      <c r="Q2" t="inlineStr">
        <is>
          <t>S23</t>
        </is>
      </c>
      <c r="R2" t="inlineStr">
        <is>
          <t>Data;Medium</t>
        </is>
      </c>
      <c r="S2" t="n">
        <v/>
      </c>
      <c r="T2" t="inlineStr">
        <is>
          <t>کامنت 0 مورد</t>
        </is>
      </c>
      <c r="U2" t="inlineStr">
        <is>
          <t>Mohammad Safari</t>
        </is>
      </c>
      <c r="V2" t="inlineStr">
        <is>
          <t>U093</t>
        </is>
      </c>
      <c r="W2" t="inlineStr">
        <is>
          <t>Fateme Akbari</t>
        </is>
      </c>
      <c r="X2" t="inlineStr">
        <is>
          <t>U511</t>
        </is>
      </c>
      <c r="Y2" t="inlineStr">
        <is>
          <t>Zahra Ebrahimi</t>
        </is>
      </c>
      <c r="Z2" t="inlineStr">
        <is>
          <t>U002</t>
        </is>
      </c>
      <c r="AA2" t="inlineStr">
        <is>
          <t>Mohammad Safari</t>
        </is>
      </c>
      <c r="AB2" t="inlineStr">
        <is>
          <t>U093</t>
        </is>
      </c>
      <c r="AC2" t="inlineStr">
        <is>
          <t>2024-06-12</t>
        </is>
      </c>
      <c r="AD2" t="inlineStr">
        <is>
          <t>2024-06-12 08:00:00</t>
        </is>
      </c>
      <c r="AE2" t="inlineStr">
        <is>
          <t>2024-06-12 09:00:00</t>
        </is>
      </c>
      <c r="AF2" t="inlineStr">
        <is>
          <t>2024-06-13 22:00:00</t>
        </is>
      </c>
      <c r="AG2" t="inlineStr">
        <is>
          <t>2024-06-13 22:00:00</t>
        </is>
      </c>
      <c r="AH2" t="inlineStr">
        <is>
          <t>2024-06-15 13:00:00</t>
        </is>
      </c>
      <c r="AI2" t="inlineStr">
        <is>
          <t>2024-06-16 07:00:00</t>
        </is>
      </c>
      <c r="AJ2" t="inlineStr">
        <is>
          <t>2024-06-16 13:00:00</t>
        </is>
      </c>
      <c r="AK2" t="inlineStr">
        <is>
          <t>2024-06-16 13:00:00</t>
        </is>
      </c>
      <c r="AL2" t="n">
        <v/>
      </c>
      <c r="AM2" t="inlineStr">
        <is>
          <t>2024-06-16 13:00:00</t>
        </is>
      </c>
      <c r="AN2" t="inlineStr">
        <is>
          <t>2024-08-05</t>
        </is>
      </c>
      <c r="AO2" t="n">
        <v>0</v>
      </c>
      <c r="AP2" t="n">
        <v/>
      </c>
      <c r="AQ2" t="n">
        <v/>
      </c>
      <c r="AR2" t="inlineStr">
        <is>
          <t>Resolved</t>
        </is>
      </c>
      <c r="AS2" t="n">
        <v>8</v>
      </c>
      <c r="AT2" t="n">
        <v>1</v>
      </c>
      <c r="AU2" t="n">
        <v>37</v>
      </c>
      <c r="AV2" t="n">
        <v>39</v>
      </c>
      <c r="AW2" t="n">
        <v>18</v>
      </c>
      <c r="AX2" t="inlineStr">
        <is>
          <t>[{"state": "Open", "timestamp": "2024-06-12T00:00:00"}, {"state": "Triage", "timestamp": "2024-06-12T08:00:00"}]</t>
        </is>
      </c>
      <c r="AY2" t="n">
        <v>3</v>
      </c>
      <c r="AZ2" t="n">
        <v>10</v>
      </c>
      <c r="BA2" t="n">
        <v>1</v>
      </c>
      <c r="BB2" t="n">
        <v>5.071732504849226</v>
      </c>
      <c r="BC2" t="n">
        <v>17.69918178437526</v>
      </c>
      <c r="BD2" t="n">
        <v>12.88432619191906</v>
      </c>
      <c r="BE2" t="n">
        <v>15.79001595734306</v>
      </c>
      <c r="BF2" t="n">
        <v>0</v>
      </c>
      <c r="BG2" t="n">
        <v>51.4452564384866</v>
      </c>
      <c r="BH2" t="n">
        <v>54.33418910276371</v>
      </c>
      <c r="BI2" t="n">
        <v/>
      </c>
      <c r="BJ2" t="n">
        <v/>
      </c>
      <c r="BK2" t="n">
        <v>9</v>
      </c>
      <c r="BL2" t="n">
        <v>56</v>
      </c>
      <c r="BM2" t="n">
        <v>39</v>
      </c>
      <c r="BN2" t="n">
        <v>561.7707912659606</v>
      </c>
      <c r="BO2" t="inlineStr">
        <is>
          <t>Coding</t>
        </is>
      </c>
      <c r="BP2" t="inlineStr">
        <is>
          <t>Fixed</t>
        </is>
      </c>
      <c r="BQ2" t="n">
        <v/>
      </c>
      <c r="BR2" t="n">
        <v/>
      </c>
      <c r="BS2" t="b">
        <v>0</v>
      </c>
      <c r="BT2" t="n">
        <v/>
      </c>
      <c r="BU2" t="n">
        <v>3</v>
      </c>
      <c r="BV2" t="n">
        <v>2</v>
      </c>
    </row>
    <row r="3">
      <c r="A3" t="n">
        <v>183712</v>
      </c>
      <c r="B3" t="inlineStr">
        <is>
          <t>گزارش کارتابل یوزر ها در 1382</t>
        </is>
      </c>
      <c r="C3" t="inlineStr">
        <is>
          <t>تکمیل توضیحات: گزارش کارتابل یوزر ها در 1382...</t>
        </is>
      </c>
      <c r="D3" t="inlineStr">
        <is>
          <t>Low</t>
        </is>
      </c>
      <c r="E3" t="inlineStr">
        <is>
          <t>P2</t>
        </is>
      </c>
      <c r="F3" t="inlineStr">
        <is>
          <t>Triage</t>
        </is>
      </c>
      <c r="G3" t="inlineStr">
        <is>
          <t>Security</t>
        </is>
      </c>
      <c r="H3" t="b">
        <v>1</v>
      </c>
      <c r="I3" t="b">
        <v>0</v>
      </c>
      <c r="J3" t="inlineStr">
        <is>
          <t>PRJ-001</t>
        </is>
      </c>
      <c r="K3" t="inlineStr">
        <is>
          <t>Dem System</t>
        </is>
      </c>
      <c r="L3" t="inlineStr">
        <is>
          <t>Team Beta</t>
        </is>
      </c>
      <c r="M3" t="inlineStr">
        <is>
          <t>T02</t>
        </is>
      </c>
      <c r="N3" t="inlineStr">
        <is>
          <t>M09</t>
        </is>
      </c>
      <c r="O3" t="inlineStr">
        <is>
          <t>Dem\DemBiz\SP_88</t>
        </is>
      </c>
      <c r="P3" t="inlineStr">
        <is>
          <t>Sprint 23</t>
        </is>
      </c>
      <c r="Q3" t="inlineStr">
        <is>
          <t>S23</t>
        </is>
      </c>
      <c r="R3" t="inlineStr">
        <is>
          <t>Security;Low</t>
        </is>
      </c>
      <c r="S3" t="inlineStr">
        <is>
          <t>EXT-183712</t>
        </is>
      </c>
      <c r="T3" t="inlineStr">
        <is>
          <t>کامنت 5 مورد</t>
        </is>
      </c>
      <c r="U3" t="inlineStr">
        <is>
          <t>Sara Ahmadi</t>
        </is>
      </c>
      <c r="V3" t="inlineStr">
        <is>
          <t>U091</t>
        </is>
      </c>
      <c r="W3" t="inlineStr">
        <is>
          <t>Mina Hosseini</t>
        </is>
      </c>
      <c r="X3" t="inlineStr">
        <is>
          <t>U860</t>
        </is>
      </c>
      <c r="Y3" t="n">
        <v/>
      </c>
      <c r="Z3" t="n">
        <v/>
      </c>
      <c r="AA3" t="n">
        <v/>
      </c>
      <c r="AB3" t="n">
        <v/>
      </c>
      <c r="AC3" t="inlineStr">
        <is>
          <t>2024-01-27</t>
        </is>
      </c>
      <c r="AD3" t="inlineStr">
        <is>
          <t>2024-01-28 20:00:00</t>
        </is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inlineStr">
        <is>
          <t>2024-01-28 20:00:00</t>
        </is>
      </c>
      <c r="AN3" t="inlineStr">
        <is>
          <t>2024-03-21</t>
        </is>
      </c>
      <c r="AO3" t="n">
        <v>0</v>
      </c>
      <c r="AP3" t="n">
        <v/>
      </c>
      <c r="AQ3" t="n">
        <v/>
      </c>
      <c r="AR3" t="inlineStr">
        <is>
          <t>Open</t>
        </is>
      </c>
      <c r="AS3" t="n">
        <v>4</v>
      </c>
      <c r="AT3" t="n">
        <v/>
      </c>
      <c r="AU3" t="n">
        <v/>
      </c>
      <c r="AV3" t="n">
        <v/>
      </c>
      <c r="AW3" t="n">
        <v/>
      </c>
      <c r="AX3" t="inlineStr">
        <is>
          <t>[{"state": "Open", "timestamp": "2024-01-27T00:00:00"}, {"state": "Triage", "timestamp": "2024-01-28T20:00:00"}]</t>
        </is>
      </c>
      <c r="AY3" t="n">
        <v>4</v>
      </c>
      <c r="AZ3" t="n">
        <v>4</v>
      </c>
      <c r="BA3" t="n">
        <v>1</v>
      </c>
      <c r="BB3" t="n">
        <v>4.270092674216461</v>
      </c>
      <c r="BC3" t="n">
        <v>38.69953794270311</v>
      </c>
      <c r="BD3" t="n">
        <v>1.383428190554868</v>
      </c>
      <c r="BE3" t="n">
        <v>12.30067277888412</v>
      </c>
      <c r="BF3" t="n">
        <v>0</v>
      </c>
      <c r="BG3" t="n">
        <v>56.65373158635856</v>
      </c>
      <c r="BH3" t="n">
        <v>62.74182041554231</v>
      </c>
      <c r="BI3" t="n">
        <v/>
      </c>
      <c r="BJ3" t="n">
        <v/>
      </c>
      <c r="BK3" t="n">
        <v/>
      </c>
      <c r="BL3" t="n">
        <v>0</v>
      </c>
      <c r="BM3" t="n">
        <v>0</v>
      </c>
      <c r="BN3" t="n">
        <v>698.7707912664237</v>
      </c>
      <c r="BO3" t="n">
        <v/>
      </c>
      <c r="BP3" t="n">
        <v/>
      </c>
      <c r="BQ3" t="n">
        <v/>
      </c>
      <c r="BR3" t="inlineStr">
        <is>
          <t>TC-5506</t>
        </is>
      </c>
      <c r="BS3" t="b">
        <v>0</v>
      </c>
      <c r="BT3" t="n">
        <v/>
      </c>
      <c r="BU3" t="n">
        <v>0</v>
      </c>
      <c r="BV3" t="n">
        <v>0</v>
      </c>
    </row>
    <row r="4">
      <c r="A4" t="n">
        <v>186097</v>
      </c>
      <c r="B4" t="inlineStr">
        <is>
          <t>گزارش های کارتابل رییس واحد باگ دارد</t>
        </is>
      </c>
      <c r="C4" t="inlineStr">
        <is>
          <t>تکمیل توضیحات: گزارش های کارتابل رییس واحد باگ دارد...</t>
        </is>
      </c>
      <c r="D4" t="inlineStr">
        <is>
          <t>Medium</t>
        </is>
      </c>
      <c r="E4" t="inlineStr">
        <is>
          <t>P2</t>
        </is>
      </c>
      <c r="F4" t="inlineStr">
        <is>
          <t>Active</t>
        </is>
      </c>
      <c r="G4" t="inlineStr">
        <is>
          <t>Integration</t>
        </is>
      </c>
      <c r="H4" t="b">
        <v>1</v>
      </c>
      <c r="I4" t="b">
        <v>1</v>
      </c>
      <c r="J4" t="inlineStr">
        <is>
          <t>PRJ-001</t>
        </is>
      </c>
      <c r="K4" t="inlineStr">
        <is>
          <t>Dem System</t>
        </is>
      </c>
      <c r="L4" t="inlineStr">
        <is>
          <t>Team Delta</t>
        </is>
      </c>
      <c r="M4" t="inlineStr">
        <is>
          <t>T04</t>
        </is>
      </c>
      <c r="N4" t="inlineStr">
        <is>
          <t>M09</t>
        </is>
      </c>
      <c r="O4" t="inlineStr">
        <is>
          <t>Dem\DemBiz\SP_88</t>
        </is>
      </c>
      <c r="P4" t="inlineStr">
        <is>
          <t>Sprint 25</t>
        </is>
      </c>
      <c r="Q4" t="inlineStr">
        <is>
          <t>S25</t>
        </is>
      </c>
      <c r="R4" t="inlineStr">
        <is>
          <t>Integration;Medium</t>
        </is>
      </c>
      <c r="S4" t="inlineStr">
        <is>
          <t>EXT-186097</t>
        </is>
      </c>
      <c r="T4" t="inlineStr">
        <is>
          <t>کامنت 5 مورد</t>
        </is>
      </c>
      <c r="U4" t="inlineStr">
        <is>
          <t>Mina Hosseini</t>
        </is>
      </c>
      <c r="V4" t="inlineStr">
        <is>
          <t>U860</t>
        </is>
      </c>
      <c r="W4" t="inlineStr">
        <is>
          <t>Mohammad Safari</t>
        </is>
      </c>
      <c r="X4" t="inlineStr">
        <is>
          <t>U093</t>
        </is>
      </c>
      <c r="Y4" t="n">
        <v/>
      </c>
      <c r="Z4" t="n">
        <v/>
      </c>
      <c r="AA4" t="n">
        <v/>
      </c>
      <c r="AB4" t="n">
        <v/>
      </c>
      <c r="AC4" t="inlineStr">
        <is>
          <t>2024-05-19</t>
        </is>
      </c>
      <c r="AD4" t="inlineStr">
        <is>
          <t>2024-05-19 06:00:00</t>
        </is>
      </c>
      <c r="AE4" t="inlineStr">
        <is>
          <t>2024-05-20 01:00:00</t>
        </is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inlineStr">
        <is>
          <t>2024-05-20 01:00:00</t>
        </is>
      </c>
      <c r="AN4" t="inlineStr">
        <is>
          <t>2024-06-22</t>
        </is>
      </c>
      <c r="AO4" t="n">
        <v>0</v>
      </c>
      <c r="AP4" t="n">
        <v/>
      </c>
      <c r="AQ4" t="n">
        <v/>
      </c>
      <c r="AR4" t="inlineStr">
        <is>
          <t>Triage</t>
        </is>
      </c>
      <c r="AS4" t="n">
        <v>2</v>
      </c>
      <c r="AT4" t="n">
        <v>19</v>
      </c>
      <c r="AU4" t="n">
        <v/>
      </c>
      <c r="AV4" t="n">
        <v/>
      </c>
      <c r="AW4" t="n">
        <v/>
      </c>
      <c r="AX4" t="inlineStr">
        <is>
          <t>[{"state": "Open", "timestamp": "2024-05-19T00:00:00"}, {"state": "Triage", "timestamp": "2024-05-19T06:00:00"}]</t>
        </is>
      </c>
      <c r="AY4" t="n">
        <v>2</v>
      </c>
      <c r="AZ4" t="n">
        <v>3</v>
      </c>
      <c r="BA4" t="n">
        <v>1</v>
      </c>
      <c r="BB4" t="n">
        <v>0.8860906343749202</v>
      </c>
      <c r="BC4" t="n">
        <v>38.58117910648086</v>
      </c>
      <c r="BD4" t="n">
        <v>7.804945985216189</v>
      </c>
      <c r="BE4" t="n">
        <v>6.643893782963737</v>
      </c>
      <c r="BF4" t="n">
        <v>0</v>
      </c>
      <c r="BG4" t="n">
        <v>53.91610950903571</v>
      </c>
      <c r="BH4" t="n">
        <v>63.27070240960576</v>
      </c>
      <c r="BI4" t="n">
        <v/>
      </c>
      <c r="BJ4" t="n">
        <v/>
      </c>
      <c r="BK4" t="n">
        <v>25</v>
      </c>
      <c r="BL4" t="n">
        <v>19</v>
      </c>
      <c r="BM4" t="n">
        <v>0</v>
      </c>
      <c r="BN4" t="n">
        <v>585.7707912665973</v>
      </c>
      <c r="BO4" t="n">
        <v/>
      </c>
      <c r="BP4" t="n">
        <v/>
      </c>
      <c r="BQ4" t="n">
        <v/>
      </c>
      <c r="BR4" t="inlineStr">
        <is>
          <t>TC-3286</t>
        </is>
      </c>
      <c r="BS4" t="b">
        <v>0</v>
      </c>
      <c r="BT4" t="n">
        <v/>
      </c>
      <c r="BU4" t="n">
        <v>0</v>
      </c>
      <c r="BV4" t="n">
        <v>0</v>
      </c>
    </row>
    <row r="5">
      <c r="A5" t="n">
        <v>186218</v>
      </c>
      <c r="B5" t="inlineStr">
        <is>
          <t>گزارش کارتابل یوزر های اداره کل وصول مطالبات باگ دارد</t>
        </is>
      </c>
      <c r="C5" t="inlineStr">
        <is>
          <t>تکمیل توضیحات: گزارش کارتابل یوزر های اداره کل وصول مطالبات باگ د...</t>
        </is>
      </c>
      <c r="D5" t="inlineStr">
        <is>
          <t>Medium</t>
        </is>
      </c>
      <c r="E5" t="inlineStr">
        <is>
          <t>P2</t>
        </is>
      </c>
      <c r="F5" t="inlineStr">
        <is>
          <t>Closed</t>
        </is>
      </c>
      <c r="G5" t="inlineStr">
        <is>
          <t>Performance</t>
        </is>
      </c>
      <c r="H5" t="b">
        <v>1</v>
      </c>
      <c r="I5" t="b">
        <v>0</v>
      </c>
      <c r="J5" t="inlineStr">
        <is>
          <t>PRJ-001</t>
        </is>
      </c>
      <c r="K5" t="inlineStr">
        <is>
          <t>Dem System</t>
        </is>
      </c>
      <c r="L5" t="inlineStr">
        <is>
          <t>Team Alpha</t>
        </is>
      </c>
      <c r="M5" t="inlineStr">
        <is>
          <t>T01</t>
        </is>
      </c>
      <c r="N5" t="inlineStr">
        <is>
          <t>M09</t>
        </is>
      </c>
      <c r="O5" t="inlineStr">
        <is>
          <t>Dem\DemBiz\SP_88</t>
        </is>
      </c>
      <c r="P5" t="inlineStr">
        <is>
          <t>Sprint 27</t>
        </is>
      </c>
      <c r="Q5" t="inlineStr">
        <is>
          <t>S27</t>
        </is>
      </c>
      <c r="R5" t="inlineStr">
        <is>
          <t>Performance;Medium</t>
        </is>
      </c>
      <c r="S5" t="inlineStr">
        <is>
          <t>EXT-186218</t>
        </is>
      </c>
      <c r="T5" t="inlineStr">
        <is>
          <t>کامنت 0 مورد</t>
        </is>
      </c>
      <c r="U5" t="inlineStr">
        <is>
          <t>Sara Ahmadi</t>
        </is>
      </c>
      <c r="V5" t="inlineStr">
        <is>
          <t>U091</t>
        </is>
      </c>
      <c r="W5" t="inlineStr">
        <is>
          <t>Mohammad Safari</t>
        </is>
      </c>
      <c r="X5" t="inlineStr">
        <is>
          <t>U093</t>
        </is>
      </c>
      <c r="Y5" t="inlineStr">
        <is>
          <t>Reza Mohammadi</t>
        </is>
      </c>
      <c r="Z5" t="inlineStr">
        <is>
          <t>U493</t>
        </is>
      </c>
      <c r="AA5" t="inlineStr">
        <is>
          <t>Mina Hosseini</t>
        </is>
      </c>
      <c r="AB5" t="inlineStr">
        <is>
          <t>U860</t>
        </is>
      </c>
      <c r="AC5" t="inlineStr">
        <is>
          <t>2024-01-09</t>
        </is>
      </c>
      <c r="AD5" t="inlineStr">
        <is>
          <t>2024-01-09 02:00:00</t>
        </is>
      </c>
      <c r="AE5" t="inlineStr">
        <is>
          <t>2024-01-09 05:00:00</t>
        </is>
      </c>
      <c r="AF5" t="inlineStr">
        <is>
          <t>2024-01-10 10:00:00</t>
        </is>
      </c>
      <c r="AG5" t="inlineStr">
        <is>
          <t>2024-01-10 10:00:00</t>
        </is>
      </c>
      <c r="AH5" t="inlineStr">
        <is>
          <t>2024-01-11 23:00:00</t>
        </is>
      </c>
      <c r="AI5" t="inlineStr">
        <is>
          <t>2024-01-13 11:00:00</t>
        </is>
      </c>
      <c r="AJ5" t="inlineStr">
        <is>
          <t>2024-01-14 08:00:00</t>
        </is>
      </c>
      <c r="AK5" t="inlineStr">
        <is>
          <t>2024-01-14 09:00:00</t>
        </is>
      </c>
      <c r="AL5" t="inlineStr">
        <is>
          <t>2024-01-15 21:00:00</t>
        </is>
      </c>
      <c r="AM5" t="inlineStr">
        <is>
          <t>2024-01-15 21:00:00</t>
        </is>
      </c>
      <c r="AN5" t="inlineStr">
        <is>
          <t>2024-01-28</t>
        </is>
      </c>
      <c r="AO5" t="n">
        <v>3</v>
      </c>
      <c r="AP5" t="inlineStr">
        <is>
          <t>2024-01-19 21:00:00</t>
        </is>
      </c>
      <c r="AQ5" t="inlineStr">
        <is>
          <t>2024-01-22 21:00:00</t>
        </is>
      </c>
      <c r="AR5" t="inlineStr">
        <is>
          <t>Done</t>
        </is>
      </c>
      <c r="AS5" t="n">
        <v>9</v>
      </c>
      <c r="AT5" t="n">
        <v>3</v>
      </c>
      <c r="AU5" t="n">
        <v>29</v>
      </c>
      <c r="AV5" t="n">
        <v>37</v>
      </c>
      <c r="AW5" t="n">
        <v>36</v>
      </c>
      <c r="AX5" t="inlineStr">
        <is>
          <t>[{"state": "Open", "timestamp": "2024-01-09T00:00:00"}, {"state": "Triage", "timestamp": "2024-01-09T02:00:00"}]</t>
        </is>
      </c>
      <c r="AY5" t="n">
        <v>4</v>
      </c>
      <c r="AZ5" t="n">
        <v>9</v>
      </c>
      <c r="BA5" t="n">
        <v>4</v>
      </c>
      <c r="BB5" t="n">
        <v>2.589848481774586</v>
      </c>
      <c r="BC5" t="n">
        <v>34.26736876322704</v>
      </c>
      <c r="BD5" t="n">
        <v>12.70426835642761</v>
      </c>
      <c r="BE5" t="n">
        <v>2.252510750480031</v>
      </c>
      <c r="BF5" t="n">
        <v>23.16955175206918</v>
      </c>
      <c r="BG5" t="n">
        <v>74.98354810397845</v>
      </c>
      <c r="BH5" t="n">
        <v>74.91346243305478</v>
      </c>
      <c r="BI5" t="n">
        <v>165</v>
      </c>
      <c r="BJ5" t="n">
        <v>131</v>
      </c>
      <c r="BK5" t="n">
        <v>5</v>
      </c>
      <c r="BL5" t="n">
        <v>68</v>
      </c>
      <c r="BM5" t="n">
        <v>37</v>
      </c>
      <c r="BN5" t="n">
        <v>716.7707912667362</v>
      </c>
      <c r="BO5" t="inlineStr">
        <is>
          <t>Integration</t>
        </is>
      </c>
      <c r="BP5" t="inlineStr">
        <is>
          <t>Fixed</t>
        </is>
      </c>
      <c r="BQ5" t="inlineStr">
        <is>
          <t>Duplicate</t>
        </is>
      </c>
      <c r="BR5" t="n">
        <v/>
      </c>
      <c r="BS5" t="b">
        <v>1</v>
      </c>
      <c r="BT5" t="n">
        <v>191994</v>
      </c>
      <c r="BU5" t="n">
        <v>2</v>
      </c>
      <c r="BV5" t="n">
        <v>0</v>
      </c>
    </row>
    <row r="6">
      <c r="A6" t="n">
        <v>187649</v>
      </c>
      <c r="B6" t="inlineStr">
        <is>
          <t>تعداد سند های ، کارتابل یوزر جوان خیلی زیاد است</t>
        </is>
      </c>
      <c r="C6" t="inlineStr">
        <is>
          <t>تکمیل توضیحات: تعداد سند های ، کارتابل یوزر جوان خیلی زیاد است...</t>
        </is>
      </c>
      <c r="D6" t="inlineStr">
        <is>
          <t>High</t>
        </is>
      </c>
      <c r="E6" t="inlineStr">
        <is>
          <t>P3</t>
        </is>
      </c>
      <c r="F6" t="inlineStr">
        <is>
          <t>Done</t>
        </is>
      </c>
      <c r="G6" t="inlineStr">
        <is>
          <t>Security</t>
        </is>
      </c>
      <c r="H6" t="b">
        <v>1</v>
      </c>
      <c r="I6" t="b">
        <v>1</v>
      </c>
      <c r="J6" t="inlineStr">
        <is>
          <t>PRJ-001</t>
        </is>
      </c>
      <c r="K6" t="inlineStr">
        <is>
          <t>Dem System</t>
        </is>
      </c>
      <c r="L6" t="inlineStr">
        <is>
          <t>Team Beta</t>
        </is>
      </c>
      <c r="M6" t="inlineStr">
        <is>
          <t>T02</t>
        </is>
      </c>
      <c r="N6" t="inlineStr">
        <is>
          <t>M09</t>
        </is>
      </c>
      <c r="O6" t="inlineStr">
        <is>
          <t>Dem\DemBiz\SP_88</t>
        </is>
      </c>
      <c r="P6" t="inlineStr">
        <is>
          <t>Sprint 26</t>
        </is>
      </c>
      <c r="Q6" t="inlineStr">
        <is>
          <t>S26</t>
        </is>
      </c>
      <c r="R6" t="inlineStr">
        <is>
          <t>Security;High</t>
        </is>
      </c>
      <c r="S6" t="n">
        <v/>
      </c>
      <c r="T6" t="inlineStr">
        <is>
          <t>کامنت 5 مورد</t>
        </is>
      </c>
      <c r="U6" t="inlineStr">
        <is>
          <t>Hassan Karimi</t>
        </is>
      </c>
      <c r="V6" t="inlineStr">
        <is>
          <t>U829</t>
        </is>
      </c>
      <c r="W6" t="inlineStr">
        <is>
          <t>Hassan Karimi</t>
        </is>
      </c>
      <c r="X6" t="inlineStr">
        <is>
          <t>U829</t>
        </is>
      </c>
      <c r="Y6" t="inlineStr">
        <is>
          <t>Hassan Karimi</t>
        </is>
      </c>
      <c r="Z6" t="inlineStr">
        <is>
          <t>U829</t>
        </is>
      </c>
      <c r="AA6" t="inlineStr">
        <is>
          <t>Zahra Ebrahimi</t>
        </is>
      </c>
      <c r="AB6" t="inlineStr">
        <is>
          <t>U002</t>
        </is>
      </c>
      <c r="AC6" t="inlineStr">
        <is>
          <t>2024-05-30</t>
        </is>
      </c>
      <c r="AD6" t="inlineStr">
        <is>
          <t>2024-05-30 18:00:00</t>
        </is>
      </c>
      <c r="AE6" t="inlineStr">
        <is>
          <t>2024-05-30 19:00:00</t>
        </is>
      </c>
      <c r="AF6" t="inlineStr">
        <is>
          <t>2024-05-31 17:00:00</t>
        </is>
      </c>
      <c r="AG6" t="inlineStr">
        <is>
          <t>2024-05-31 17:00:00</t>
        </is>
      </c>
      <c r="AH6" t="inlineStr">
        <is>
          <t>2024-06-04 18:00:00</t>
        </is>
      </c>
      <c r="AI6" t="inlineStr">
        <is>
          <t>2024-06-06 01:00:00</t>
        </is>
      </c>
      <c r="AJ6" t="inlineStr">
        <is>
          <t>2024-06-06 13:00:00</t>
        </is>
      </c>
      <c r="AK6" t="inlineStr">
        <is>
          <t>2024-06-06 13:00:00</t>
        </is>
      </c>
      <c r="AL6" t="n">
        <v/>
      </c>
      <c r="AM6" t="inlineStr">
        <is>
          <t>2024-06-06 13:00:00</t>
        </is>
      </c>
      <c r="AN6" t="inlineStr">
        <is>
          <t>2024-06-23</t>
        </is>
      </c>
      <c r="AO6" t="n">
        <v>0</v>
      </c>
      <c r="AP6" t="n">
        <v/>
      </c>
      <c r="AQ6" t="n">
        <v/>
      </c>
      <c r="AR6" t="inlineStr">
        <is>
          <t>Resolved</t>
        </is>
      </c>
      <c r="AS6" t="n">
        <v>8</v>
      </c>
      <c r="AT6" t="n">
        <v>1</v>
      </c>
      <c r="AU6" t="n">
        <v>22</v>
      </c>
      <c r="AV6" t="n">
        <v>97</v>
      </c>
      <c r="AW6" t="n">
        <v>31</v>
      </c>
      <c r="AX6" t="inlineStr">
        <is>
          <t>[{"state": "Open", "timestamp": "2024-05-30T00:00:00"}, {"state": "Triage", "timestamp": "2024-05-30T18:00:00"}]</t>
        </is>
      </c>
      <c r="AY6" t="n">
        <v>4</v>
      </c>
      <c r="AZ6" t="n">
        <v>10</v>
      </c>
      <c r="BA6" t="n">
        <v>1</v>
      </c>
      <c r="BB6" t="n">
        <v>7.311994144749903</v>
      </c>
      <c r="BC6" t="n">
        <v>12.48350679071384</v>
      </c>
      <c r="BD6" t="n">
        <v>10.31115704231171</v>
      </c>
      <c r="BE6" t="n">
        <v>12.65720373891155</v>
      </c>
      <c r="BF6" t="n">
        <v>0</v>
      </c>
      <c r="BG6" t="n">
        <v>42.763861716687</v>
      </c>
      <c r="BH6" t="n">
        <v>32.16493150976801</v>
      </c>
      <c r="BI6" t="n">
        <v/>
      </c>
      <c r="BJ6" t="n">
        <v/>
      </c>
      <c r="BK6" t="n">
        <v>19</v>
      </c>
      <c r="BL6" t="n">
        <v>54</v>
      </c>
      <c r="BM6" t="n">
        <v>97</v>
      </c>
      <c r="BN6" t="n">
        <v>574.7707912668634</v>
      </c>
      <c r="BO6" t="inlineStr">
        <is>
          <t>Testing</t>
        </is>
      </c>
      <c r="BP6" t="inlineStr">
        <is>
          <t>Fixed</t>
        </is>
      </c>
      <c r="BQ6" t="n">
        <v/>
      </c>
      <c r="BR6" t="n">
        <v/>
      </c>
      <c r="BS6" t="b">
        <v>0</v>
      </c>
      <c r="BT6" t="n">
        <v/>
      </c>
      <c r="BU6" t="n">
        <v>1</v>
      </c>
      <c r="BV6" t="n">
        <v>0</v>
      </c>
    </row>
    <row r="7">
      <c r="A7" t="n">
        <v>188959</v>
      </c>
      <c r="B7" t="inlineStr">
        <is>
          <t>کمبو محل مصرف ،در فرم ثبت درخواست ، ایران وسط شهر ها هست</t>
        </is>
      </c>
      <c r="C7" t="inlineStr">
        <is>
          <t>تکمیل توضیحات: کمبو محل مصرف ،در فرم ثبت درخواست ، ایران وسط شهر ...</t>
        </is>
      </c>
      <c r="D7" t="inlineStr">
        <is>
          <t>High</t>
        </is>
      </c>
      <c r="E7" t="inlineStr">
        <is>
          <t>P1</t>
        </is>
      </c>
      <c r="F7" t="inlineStr">
        <is>
          <t>Open</t>
        </is>
      </c>
      <c r="G7" t="inlineStr">
        <is>
          <t>Data</t>
        </is>
      </c>
      <c r="H7" t="b">
        <v>0</v>
      </c>
      <c r="I7" t="b">
        <v>0</v>
      </c>
      <c r="J7" t="inlineStr">
        <is>
          <t>PRJ-001</t>
        </is>
      </c>
      <c r="K7" t="inlineStr">
        <is>
          <t>Dem System</t>
        </is>
      </c>
      <c r="L7" t="inlineStr">
        <is>
          <t>Team Alpha</t>
        </is>
      </c>
      <c r="M7" t="inlineStr">
        <is>
          <t>T01</t>
        </is>
      </c>
      <c r="N7" t="inlineStr">
        <is>
          <t>M09</t>
        </is>
      </c>
      <c r="O7" t="inlineStr">
        <is>
          <t>Dem\DemBiz\SP_88</t>
        </is>
      </c>
      <c r="P7" t="inlineStr">
        <is>
          <t>Sprint 24</t>
        </is>
      </c>
      <c r="Q7" t="inlineStr">
        <is>
          <t>S24</t>
        </is>
      </c>
      <c r="R7" t="inlineStr">
        <is>
          <t>Data;High</t>
        </is>
      </c>
      <c r="S7" t="n">
        <v/>
      </c>
      <c r="T7" t="inlineStr">
        <is>
          <t>کامنت 4 مورد</t>
        </is>
      </c>
      <c r="U7" t="inlineStr">
        <is>
          <t>Fateme Akbari</t>
        </is>
      </c>
      <c r="V7" t="inlineStr">
        <is>
          <t>U511</t>
        </is>
      </c>
      <c r="W7" t="inlineStr">
        <is>
          <t>Ali Rezaei</t>
        </is>
      </c>
      <c r="X7" t="inlineStr">
        <is>
          <t>U374</t>
        </is>
      </c>
      <c r="Y7" t="n">
        <v/>
      </c>
      <c r="Z7" t="n">
        <v/>
      </c>
      <c r="AA7" t="n">
        <v/>
      </c>
      <c r="AB7" t="n">
        <v/>
      </c>
      <c r="AC7" t="inlineStr">
        <is>
          <t>2024-02-09</t>
        </is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inlineStr">
        <is>
          <t>2024-02-09 00:00:00</t>
        </is>
      </c>
      <c r="AN7" t="inlineStr">
        <is>
          <t>2024-02-29</t>
        </is>
      </c>
      <c r="AO7" t="n">
        <v>0</v>
      </c>
      <c r="AP7" t="n">
        <v/>
      </c>
      <c r="AQ7" t="n">
        <v/>
      </c>
      <c r="AR7" t="n">
        <v/>
      </c>
      <c r="AS7" t="n">
        <v>3</v>
      </c>
      <c r="AT7" t="n">
        <v/>
      </c>
      <c r="AU7" t="n">
        <v/>
      </c>
      <c r="AV7" t="n">
        <v/>
      </c>
      <c r="AW7" t="n">
        <v/>
      </c>
      <c r="AX7" t="inlineStr">
        <is>
          <t>[{"state": "Open", "timestamp": "2024-02-09T00:00:00"}, {"state": "Triage", "timestamp": ""}]</t>
        </is>
      </c>
      <c r="AY7" t="n">
        <v>1</v>
      </c>
      <c r="AZ7" t="n">
        <v>5</v>
      </c>
      <c r="BA7" t="n">
        <v>1</v>
      </c>
      <c r="BB7" t="n">
        <v>2.296714180002293</v>
      </c>
      <c r="BC7" t="n">
        <v>16.01881141547508</v>
      </c>
      <c r="BD7" t="n">
        <v>17.20155190317228</v>
      </c>
      <c r="BE7" t="n">
        <v>9.376063746037076</v>
      </c>
      <c r="BF7" t="n">
        <v>0</v>
      </c>
      <c r="BG7" t="n">
        <v>44.89314124468674</v>
      </c>
      <c r="BH7" t="n">
        <v>45.89263877846391</v>
      </c>
      <c r="BI7" t="n">
        <v/>
      </c>
      <c r="BJ7" t="n">
        <v/>
      </c>
      <c r="BK7" t="n">
        <v/>
      </c>
      <c r="BL7" t="n">
        <v>0</v>
      </c>
      <c r="BM7" t="n">
        <v>0</v>
      </c>
      <c r="BN7" t="n">
        <v>685.7707912669907</v>
      </c>
      <c r="BO7" t="n">
        <v/>
      </c>
      <c r="BP7" t="n">
        <v/>
      </c>
      <c r="BQ7" t="n">
        <v/>
      </c>
      <c r="BR7" t="n">
        <v/>
      </c>
      <c r="BS7" t="b">
        <v>0</v>
      </c>
      <c r="BT7" t="n">
        <v/>
      </c>
      <c r="BU7" t="n">
        <v>0</v>
      </c>
      <c r="BV7" t="n">
        <v>0</v>
      </c>
    </row>
    <row r="8">
      <c r="A8" t="n">
        <v>189035</v>
      </c>
      <c r="B8" t="inlineStr">
        <is>
          <t>دکمه ذخیره ویرایش عقد</t>
        </is>
      </c>
      <c r="C8" t="inlineStr">
        <is>
          <t>تکمیل توضیحات: دکمه ذخیره ویرایش عقد...</t>
        </is>
      </c>
      <c r="D8" t="inlineStr">
        <is>
          <t>Critical</t>
        </is>
      </c>
      <c r="E8" t="inlineStr">
        <is>
          <t>P2</t>
        </is>
      </c>
      <c r="F8" t="inlineStr">
        <is>
          <t>Triage</t>
        </is>
      </c>
      <c r="G8" t="inlineStr">
        <is>
          <t>Backend</t>
        </is>
      </c>
      <c r="H8" t="b">
        <v>1</v>
      </c>
      <c r="I8" t="b">
        <v>0</v>
      </c>
      <c r="J8" t="inlineStr">
        <is>
          <t>PRJ-001</t>
        </is>
      </c>
      <c r="K8" t="inlineStr">
        <is>
          <t>Dem System</t>
        </is>
      </c>
      <c r="L8" t="inlineStr">
        <is>
          <t>Team Delta</t>
        </is>
      </c>
      <c r="M8" t="inlineStr">
        <is>
          <t>T04</t>
        </is>
      </c>
      <c r="N8" t="inlineStr">
        <is>
          <t>M09</t>
        </is>
      </c>
      <c r="O8" t="inlineStr">
        <is>
          <t>Dem\DemBiz\SP_88</t>
        </is>
      </c>
      <c r="P8" t="inlineStr">
        <is>
          <t>Sprint 26</t>
        </is>
      </c>
      <c r="Q8" t="inlineStr">
        <is>
          <t>S26</t>
        </is>
      </c>
      <c r="R8" t="inlineStr">
        <is>
          <t>Backend;Critical</t>
        </is>
      </c>
      <c r="S8" t="n">
        <v/>
      </c>
      <c r="T8" t="inlineStr">
        <is>
          <t>کامنت 2 مورد</t>
        </is>
      </c>
      <c r="U8" t="inlineStr">
        <is>
          <t>Sara Ahmadi</t>
        </is>
      </c>
      <c r="V8" t="inlineStr">
        <is>
          <t>U091</t>
        </is>
      </c>
      <c r="W8" t="inlineStr">
        <is>
          <t>Mina Hosseini</t>
        </is>
      </c>
      <c r="X8" t="inlineStr">
        <is>
          <t>U860</t>
        </is>
      </c>
      <c r="Y8" t="n">
        <v/>
      </c>
      <c r="Z8" t="n">
        <v/>
      </c>
      <c r="AA8" t="n">
        <v/>
      </c>
      <c r="AB8" t="n">
        <v/>
      </c>
      <c r="AC8" t="inlineStr">
        <is>
          <t>2024-03-27</t>
        </is>
      </c>
      <c r="AD8" t="inlineStr">
        <is>
          <t>2024-03-27 07:00:00</t>
        </is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inlineStr">
        <is>
          <t>2024-03-27 07:00:00</t>
        </is>
      </c>
      <c r="AN8" t="inlineStr">
        <is>
          <t>2024-04-08</t>
        </is>
      </c>
      <c r="AO8" t="n">
        <v>0</v>
      </c>
      <c r="AP8" t="n">
        <v/>
      </c>
      <c r="AQ8" t="n">
        <v/>
      </c>
      <c r="AR8" t="inlineStr">
        <is>
          <t>Open</t>
        </is>
      </c>
      <c r="AS8" t="n">
        <v>1</v>
      </c>
      <c r="AT8" t="n">
        <v/>
      </c>
      <c r="AU8" t="n">
        <v/>
      </c>
      <c r="AV8" t="n">
        <v/>
      </c>
      <c r="AW8" t="n">
        <v/>
      </c>
      <c r="AX8" t="inlineStr">
        <is>
          <t>[{"state": "Open", "timestamp": "2024-03-27T00:00:00"}, {"state": "Triage", "timestamp": "2024-03-27T07:00:00"}]</t>
        </is>
      </c>
      <c r="AY8" t="n">
        <v>2</v>
      </c>
      <c r="AZ8" t="n">
        <v>2</v>
      </c>
      <c r="BA8" t="n">
        <v>1</v>
      </c>
      <c r="BB8" t="n">
        <v>1.586711540684173</v>
      </c>
      <c r="BC8" t="n">
        <v>34.19433018915742</v>
      </c>
      <c r="BD8" t="n">
        <v>13.34452581656943</v>
      </c>
      <c r="BE8" t="n">
        <v>7.363330138704645</v>
      </c>
      <c r="BF8" t="n">
        <v>0</v>
      </c>
      <c r="BG8" t="n">
        <v>56.48889768511567</v>
      </c>
      <c r="BH8" t="n">
        <v>59.43223310356116</v>
      </c>
      <c r="BI8" t="n">
        <v/>
      </c>
      <c r="BJ8" t="n">
        <v/>
      </c>
      <c r="BK8" t="n">
        <v/>
      </c>
      <c r="BL8" t="n">
        <v>0</v>
      </c>
      <c r="BM8" t="n">
        <v>0</v>
      </c>
      <c r="BN8" t="n">
        <v>638.7707912671181</v>
      </c>
      <c r="BO8" t="n">
        <v/>
      </c>
      <c r="BP8" t="n">
        <v/>
      </c>
      <c r="BQ8" t="n">
        <v/>
      </c>
      <c r="BR8" t="inlineStr">
        <is>
          <t>TC-7912</t>
        </is>
      </c>
      <c r="BS8" t="b">
        <v>0</v>
      </c>
      <c r="BT8" t="n">
        <v/>
      </c>
      <c r="BU8" t="n">
        <v>0</v>
      </c>
      <c r="BV8" t="n">
        <v>0</v>
      </c>
    </row>
    <row r="9">
      <c r="A9" t="n">
        <v>189703</v>
      </c>
      <c r="B9" t="inlineStr">
        <is>
          <t>باگ کاربرگ بررسی</t>
        </is>
      </c>
      <c r="C9" t="inlineStr">
        <is>
          <t>تکمیل توضیحات: باگ کاربرگ بررسی...</t>
        </is>
      </c>
      <c r="D9" t="inlineStr">
        <is>
          <t>Low</t>
        </is>
      </c>
      <c r="E9" t="inlineStr">
        <is>
          <t>P3</t>
        </is>
      </c>
      <c r="F9" t="inlineStr">
        <is>
          <t>Done</t>
        </is>
      </c>
      <c r="G9" t="inlineStr">
        <is>
          <t>Security</t>
        </is>
      </c>
      <c r="H9" t="b">
        <v>0</v>
      </c>
      <c r="I9" t="b">
        <v>0</v>
      </c>
      <c r="J9" t="inlineStr">
        <is>
          <t>PRJ-001</t>
        </is>
      </c>
      <c r="K9" t="inlineStr">
        <is>
          <t>Dem System</t>
        </is>
      </c>
      <c r="L9" t="inlineStr">
        <is>
          <t>Team Gamma</t>
        </is>
      </c>
      <c r="M9" t="inlineStr">
        <is>
          <t>T03</t>
        </is>
      </c>
      <c r="N9" t="inlineStr">
        <is>
          <t>M09</t>
        </is>
      </c>
      <c r="O9" t="inlineStr">
        <is>
          <t>Dem\DemBiz\SP_88</t>
        </is>
      </c>
      <c r="P9" t="inlineStr">
        <is>
          <t>Sprint 24</t>
        </is>
      </c>
      <c r="Q9" t="inlineStr">
        <is>
          <t>S24</t>
        </is>
      </c>
      <c r="R9" t="inlineStr">
        <is>
          <t>Security;Low</t>
        </is>
      </c>
      <c r="S9" t="inlineStr">
        <is>
          <t>EXT-189703</t>
        </is>
      </c>
      <c r="T9" t="inlineStr">
        <is>
          <t>کامنت 5 مورد</t>
        </is>
      </c>
      <c r="U9" t="inlineStr">
        <is>
          <t>Mina Hosseini</t>
        </is>
      </c>
      <c r="V9" t="inlineStr">
        <is>
          <t>U860</t>
        </is>
      </c>
      <c r="W9" t="inlineStr">
        <is>
          <t>Zahra Ebrahimi</t>
        </is>
      </c>
      <c r="X9" t="inlineStr">
        <is>
          <t>U002</t>
        </is>
      </c>
      <c r="Y9" t="inlineStr">
        <is>
          <t>Zahra Ebrahimi</t>
        </is>
      </c>
      <c r="Z9" t="inlineStr">
        <is>
          <t>U002</t>
        </is>
      </c>
      <c r="AA9" t="inlineStr">
        <is>
          <t>Hassan Karimi</t>
        </is>
      </c>
      <c r="AB9" t="inlineStr">
        <is>
          <t>U829</t>
        </is>
      </c>
      <c r="AC9" t="inlineStr">
        <is>
          <t>2024-04-07</t>
        </is>
      </c>
      <c r="AD9" t="inlineStr">
        <is>
          <t>2024-04-07 07:00:00</t>
        </is>
      </c>
      <c r="AE9" t="inlineStr">
        <is>
          <t>2024-04-07 19:00:00</t>
        </is>
      </c>
      <c r="AF9" t="inlineStr">
        <is>
          <t>2024-04-09 17:00:00</t>
        </is>
      </c>
      <c r="AG9" t="inlineStr">
        <is>
          <t>2024-04-09 17:00:00</t>
        </is>
      </c>
      <c r="AH9" t="inlineStr">
        <is>
          <t>2024-04-13 06:00:00</t>
        </is>
      </c>
      <c r="AI9" t="inlineStr">
        <is>
          <t>2024-04-14 02:00:00</t>
        </is>
      </c>
      <c r="AJ9" t="inlineStr">
        <is>
          <t>2024-04-14 05:00:00</t>
        </is>
      </c>
      <c r="AK9" t="inlineStr">
        <is>
          <t>2024-04-14 05:00:00</t>
        </is>
      </c>
      <c r="AL9" t="n">
        <v/>
      </c>
      <c r="AM9" t="inlineStr">
        <is>
          <t>2024-04-14 05:00:00</t>
        </is>
      </c>
      <c r="AN9" t="inlineStr">
        <is>
          <t>2024-05-30</t>
        </is>
      </c>
      <c r="AO9" t="n">
        <v>0</v>
      </c>
      <c r="AP9" t="n">
        <v/>
      </c>
      <c r="AQ9" t="n">
        <v/>
      </c>
      <c r="AR9" t="inlineStr">
        <is>
          <t>Resolved</t>
        </is>
      </c>
      <c r="AS9" t="n">
        <v>6</v>
      </c>
      <c r="AT9" t="n">
        <v>12</v>
      </c>
      <c r="AU9" t="n">
        <v>46</v>
      </c>
      <c r="AV9" t="n">
        <v>85</v>
      </c>
      <c r="AW9" t="n">
        <v>20</v>
      </c>
      <c r="AX9" t="inlineStr">
        <is>
          <t>[{"state": "Open", "timestamp": "2024-04-07T00:00:00"}, {"state": "Triage", "timestamp": "2024-04-07T07:00:00"}]</t>
        </is>
      </c>
      <c r="AY9" t="n">
        <v>2</v>
      </c>
      <c r="AZ9" t="n">
        <v>6</v>
      </c>
      <c r="BA9" t="n">
        <v>1</v>
      </c>
      <c r="BB9" t="n">
        <v>4.170895702081722</v>
      </c>
      <c r="BC9" t="n">
        <v>13.35995820109483</v>
      </c>
      <c r="BD9" t="n">
        <v>3.677221328087879</v>
      </c>
      <c r="BE9" t="n">
        <v>14.59531577642104</v>
      </c>
      <c r="BF9" t="n">
        <v>0</v>
      </c>
      <c r="BG9" t="n">
        <v>35.80339100768546</v>
      </c>
      <c r="BH9" t="n">
        <v>41.07593028545084</v>
      </c>
      <c r="BI9" t="n">
        <v/>
      </c>
      <c r="BJ9" t="n">
        <v/>
      </c>
      <c r="BK9" t="n">
        <v>19</v>
      </c>
      <c r="BL9" t="n">
        <v>78</v>
      </c>
      <c r="BM9" t="n">
        <v>85</v>
      </c>
      <c r="BN9" t="n">
        <v>627.770791267257</v>
      </c>
      <c r="BO9" t="inlineStr">
        <is>
          <t>Config</t>
        </is>
      </c>
      <c r="BP9" t="inlineStr">
        <is>
          <t>Fixed</t>
        </is>
      </c>
      <c r="BQ9" t="n">
        <v/>
      </c>
      <c r="BR9" t="inlineStr">
        <is>
          <t>TC-2535</t>
        </is>
      </c>
      <c r="BS9" t="b">
        <v>0</v>
      </c>
      <c r="BT9" t="n">
        <v/>
      </c>
      <c r="BU9" t="n">
        <v>1</v>
      </c>
      <c r="BV9" t="n">
        <v>1</v>
      </c>
    </row>
    <row r="10">
      <c r="A10" t="n">
        <v>189796</v>
      </c>
      <c r="B10" t="inlineStr">
        <is>
          <t>کمبو نام مشتری در گزارش نسبت های مالی ، رکورد نال نمایش می هد/گزارش</t>
        </is>
      </c>
      <c r="C10" t="inlineStr">
        <is>
          <t>تکمیل توضیحات: کمبو نام مشتری در گزارش نسبت های مالی ، رکورد نال ...</t>
        </is>
      </c>
      <c r="D10" t="inlineStr">
        <is>
          <t>Medium</t>
        </is>
      </c>
      <c r="E10" t="inlineStr">
        <is>
          <t>P1</t>
        </is>
      </c>
      <c r="F10" t="inlineStr">
        <is>
          <t>Open</t>
        </is>
      </c>
      <c r="G10" t="inlineStr">
        <is>
          <t>Backend</t>
        </is>
      </c>
      <c r="H10" t="b">
        <v>0</v>
      </c>
      <c r="I10" t="b">
        <v>1</v>
      </c>
      <c r="J10" t="inlineStr">
        <is>
          <t>PRJ-001</t>
        </is>
      </c>
      <c r="K10" t="inlineStr">
        <is>
          <t>Dem System</t>
        </is>
      </c>
      <c r="L10" t="inlineStr">
        <is>
          <t>Team Delta</t>
        </is>
      </c>
      <c r="M10" t="inlineStr">
        <is>
          <t>T04</t>
        </is>
      </c>
      <c r="N10" t="inlineStr">
        <is>
          <t>M09</t>
        </is>
      </c>
      <c r="O10" t="inlineStr">
        <is>
          <t>Dem\DemBiz\SP_88</t>
        </is>
      </c>
      <c r="P10" t="inlineStr">
        <is>
          <t>Sprint 27</t>
        </is>
      </c>
      <c r="Q10" t="inlineStr">
        <is>
          <t>S27</t>
        </is>
      </c>
      <c r="R10" t="inlineStr">
        <is>
          <t>Backend;Medium</t>
        </is>
      </c>
      <c r="S10" t="n">
        <v/>
      </c>
      <c r="T10" t="inlineStr">
        <is>
          <t>کامنت 2 مورد</t>
        </is>
      </c>
      <c r="U10" t="inlineStr">
        <is>
          <t>Ali Rezaei</t>
        </is>
      </c>
      <c r="V10" t="inlineStr">
        <is>
          <t>U374</t>
        </is>
      </c>
      <c r="W10" t="inlineStr">
        <is>
          <t>Mohammad Safari</t>
        </is>
      </c>
      <c r="X10" t="inlineStr">
        <is>
          <t>U093</t>
        </is>
      </c>
      <c r="Y10" t="n">
        <v/>
      </c>
      <c r="Z10" t="n">
        <v/>
      </c>
      <c r="AA10" t="n">
        <v/>
      </c>
      <c r="AB10" t="n">
        <v/>
      </c>
      <c r="AC10" t="inlineStr">
        <is>
          <t>2024-04-27</t>
        </is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inlineStr">
        <is>
          <t>2024-04-27 00:00:00</t>
        </is>
      </c>
      <c r="AN10" t="inlineStr">
        <is>
          <t>2024-06-07</t>
        </is>
      </c>
      <c r="AO10" t="n">
        <v>0</v>
      </c>
      <c r="AP10" t="n">
        <v/>
      </c>
      <c r="AQ10" t="n">
        <v/>
      </c>
      <c r="AR10" t="n">
        <v/>
      </c>
      <c r="AS10" t="n">
        <v>2</v>
      </c>
      <c r="AT10" t="n">
        <v/>
      </c>
      <c r="AU10" t="n">
        <v/>
      </c>
      <c r="AV10" t="n">
        <v/>
      </c>
      <c r="AW10" t="n">
        <v/>
      </c>
      <c r="AX10" t="inlineStr">
        <is>
          <t>[{"state": "Open", "timestamp": "2024-04-27T00:00:00"}, {"state": "Triage", "timestamp": ""}]</t>
        </is>
      </c>
      <c r="AY10" t="n">
        <v>2</v>
      </c>
      <c r="AZ10" t="n">
        <v>4</v>
      </c>
      <c r="BA10" t="n">
        <v>1</v>
      </c>
      <c r="BB10" t="n">
        <v>7.892378405829505</v>
      </c>
      <c r="BC10" t="n">
        <v>7.610217120757607</v>
      </c>
      <c r="BD10" t="n">
        <v>1.876090574308382</v>
      </c>
      <c r="BE10" t="n">
        <v>2.66796223459227</v>
      </c>
      <c r="BF10" t="n">
        <v>0</v>
      </c>
      <c r="BG10" t="n">
        <v>20.04664833548776</v>
      </c>
      <c r="BH10" t="n">
        <v>19.224650109195</v>
      </c>
      <c r="BI10" t="n">
        <v/>
      </c>
      <c r="BJ10" t="n">
        <v/>
      </c>
      <c r="BK10" t="n">
        <v/>
      </c>
      <c r="BL10" t="n">
        <v>0</v>
      </c>
      <c r="BM10" t="n">
        <v>0</v>
      </c>
      <c r="BN10" t="n">
        <v>607.7707912673958</v>
      </c>
      <c r="BO10" t="n">
        <v/>
      </c>
      <c r="BP10" t="n">
        <v/>
      </c>
      <c r="BQ10" t="n">
        <v/>
      </c>
      <c r="BR10" t="inlineStr">
        <is>
          <t>TC-9279</t>
        </is>
      </c>
      <c r="BS10" t="b">
        <v>0</v>
      </c>
      <c r="BT10" t="n">
        <v/>
      </c>
      <c r="BU10" t="n">
        <v>0</v>
      </c>
      <c r="BV10" t="n">
        <v>0</v>
      </c>
    </row>
    <row r="11">
      <c r="A11" t="n">
        <v>189801</v>
      </c>
      <c r="B11" t="inlineStr">
        <is>
          <t>کمبو نام شخص در گزارش مدیران و سهامداران/شرکا، کورد نال نمایش می دهد/ گزارش</t>
        </is>
      </c>
      <c r="C11" t="inlineStr">
        <is>
          <t>تکمیل توضیحات: کمبو نام شخص در گزارش مدیران و سهامداران/شرکا، کور...</t>
        </is>
      </c>
      <c r="D11" t="inlineStr">
        <is>
          <t>Medium</t>
        </is>
      </c>
      <c r="E11" t="inlineStr">
        <is>
          <t>P1</t>
        </is>
      </c>
      <c r="F11" t="inlineStr">
        <is>
          <t>Active</t>
        </is>
      </c>
      <c r="G11" t="inlineStr">
        <is>
          <t>Integration</t>
        </is>
      </c>
      <c r="H11" t="b">
        <v>1</v>
      </c>
      <c r="I11" t="b">
        <v>0</v>
      </c>
      <c r="J11" t="inlineStr">
        <is>
          <t>PRJ-001</t>
        </is>
      </c>
      <c r="K11" t="inlineStr">
        <is>
          <t>Dem System</t>
        </is>
      </c>
      <c r="L11" t="inlineStr">
        <is>
          <t>Team Beta</t>
        </is>
      </c>
      <c r="M11" t="inlineStr">
        <is>
          <t>T02</t>
        </is>
      </c>
      <c r="N11" t="inlineStr">
        <is>
          <t>M09</t>
        </is>
      </c>
      <c r="O11" t="inlineStr">
        <is>
          <t>Dem\DemBiz\SP_88</t>
        </is>
      </c>
      <c r="P11" t="inlineStr">
        <is>
          <t>Sprint 24</t>
        </is>
      </c>
      <c r="Q11" t="inlineStr">
        <is>
          <t>S24</t>
        </is>
      </c>
      <c r="R11" t="inlineStr">
        <is>
          <t>Integration;Medium</t>
        </is>
      </c>
      <c r="S11" t="inlineStr">
        <is>
          <t>EXT-189801</t>
        </is>
      </c>
      <c r="T11" t="inlineStr">
        <is>
          <t>کامنت 0 مورد</t>
        </is>
      </c>
      <c r="U11" t="inlineStr">
        <is>
          <t>Mohammad Safari</t>
        </is>
      </c>
      <c r="V11" t="inlineStr">
        <is>
          <t>U093</t>
        </is>
      </c>
      <c r="W11" t="inlineStr">
        <is>
          <t>Reza Mohammadi</t>
        </is>
      </c>
      <c r="X11" t="inlineStr">
        <is>
          <t>U493</t>
        </is>
      </c>
      <c r="Y11" t="n">
        <v/>
      </c>
      <c r="Z11" t="n">
        <v/>
      </c>
      <c r="AA11" t="n">
        <v/>
      </c>
      <c r="AB11" t="n">
        <v/>
      </c>
      <c r="AC11" t="inlineStr">
        <is>
          <t>2024-02-01</t>
        </is>
      </c>
      <c r="AD11" t="inlineStr">
        <is>
          <t>2024-02-02 01:00:00</t>
        </is>
      </c>
      <c r="AE11" t="inlineStr">
        <is>
          <t>2024-02-02 04:00:00</t>
        </is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inlineStr">
        <is>
          <t>2024-02-02 04:00:00</t>
        </is>
      </c>
      <c r="AN11" t="inlineStr">
        <is>
          <t>2024-03-14</t>
        </is>
      </c>
      <c r="AO11" t="n">
        <v>0</v>
      </c>
      <c r="AP11" t="n">
        <v/>
      </c>
      <c r="AQ11" t="n">
        <v/>
      </c>
      <c r="AR11" t="inlineStr">
        <is>
          <t>Triage</t>
        </is>
      </c>
      <c r="AS11" t="n">
        <v>3</v>
      </c>
      <c r="AT11" t="n">
        <v>3</v>
      </c>
      <c r="AU11" t="n">
        <v/>
      </c>
      <c r="AV11" t="n">
        <v/>
      </c>
      <c r="AW11" t="n">
        <v/>
      </c>
      <c r="AX11" t="inlineStr">
        <is>
          <t>[{"state": "Open", "timestamp": "2024-02-01T00:00:00"}, {"state": "Triage", "timestamp": "2024-02-02T01:00:00"}]</t>
        </is>
      </c>
      <c r="AY11" t="n">
        <v>4</v>
      </c>
      <c r="AZ11" t="n">
        <v>4</v>
      </c>
      <c r="BA11" t="n">
        <v>1</v>
      </c>
      <c r="BB11" t="n">
        <v>2.315414536336253</v>
      </c>
      <c r="BC11" t="n">
        <v>22.71524923587566</v>
      </c>
      <c r="BD11" t="n">
        <v>13.02717592502316</v>
      </c>
      <c r="BE11" t="n">
        <v>8.389376564362887</v>
      </c>
      <c r="BF11" t="n">
        <v>0</v>
      </c>
      <c r="BG11" t="n">
        <v>46.44721626159796</v>
      </c>
      <c r="BH11" t="n">
        <v>36.06850133191799</v>
      </c>
      <c r="BI11" t="n">
        <v/>
      </c>
      <c r="BJ11" t="n">
        <v/>
      </c>
      <c r="BK11" t="n">
        <v>28</v>
      </c>
      <c r="BL11" t="n">
        <v>3</v>
      </c>
      <c r="BM11" t="n">
        <v>0</v>
      </c>
      <c r="BN11" t="n">
        <v>693.7707912675347</v>
      </c>
      <c r="BO11" t="n">
        <v/>
      </c>
      <c r="BP11" t="n">
        <v/>
      </c>
      <c r="BQ11" t="n">
        <v/>
      </c>
      <c r="BR11" t="n">
        <v/>
      </c>
      <c r="BS11" t="b">
        <v>0</v>
      </c>
      <c r="BT11" t="n">
        <v/>
      </c>
      <c r="BU11" t="n">
        <v>0</v>
      </c>
      <c r="BV11" t="n">
        <v>0</v>
      </c>
    </row>
    <row r="12">
      <c r="A12" t="n">
        <v>189803</v>
      </c>
      <c r="B12" t="inlineStr">
        <is>
          <t>نامرتب بودن ، کمبو واحد کارشناسی / گزارش</t>
        </is>
      </c>
      <c r="C12" t="inlineStr">
        <is>
          <t>تکمیل توضیحات: نامرتب بودن ، کمبو واحد کارشناسی / گزارش...</t>
        </is>
      </c>
      <c r="D12" t="inlineStr">
        <is>
          <t>Critical</t>
        </is>
      </c>
      <c r="E12" t="inlineStr">
        <is>
          <t>P2</t>
        </is>
      </c>
      <c r="F12" t="inlineStr">
        <is>
          <t>Resolved</t>
        </is>
      </c>
      <c r="G12" t="inlineStr">
        <is>
          <t>Performance</t>
        </is>
      </c>
      <c r="H12" t="b">
        <v>0</v>
      </c>
      <c r="I12" t="b">
        <v>0</v>
      </c>
      <c r="J12" t="inlineStr">
        <is>
          <t>PRJ-001</t>
        </is>
      </c>
      <c r="K12" t="inlineStr">
        <is>
          <t>Dem System</t>
        </is>
      </c>
      <c r="L12" t="inlineStr">
        <is>
          <t>Team Gamma</t>
        </is>
      </c>
      <c r="M12" t="inlineStr">
        <is>
          <t>T03</t>
        </is>
      </c>
      <c r="N12" t="inlineStr">
        <is>
          <t>M09</t>
        </is>
      </c>
      <c r="O12" t="inlineStr">
        <is>
          <t>Dem\DemBiz\SP_88</t>
        </is>
      </c>
      <c r="P12" t="inlineStr">
        <is>
          <t>Sprint 25</t>
        </is>
      </c>
      <c r="Q12" t="inlineStr">
        <is>
          <t>S25</t>
        </is>
      </c>
      <c r="R12" t="inlineStr">
        <is>
          <t>Performance;Critical</t>
        </is>
      </c>
      <c r="S12" t="inlineStr">
        <is>
          <t>EXT-189803</t>
        </is>
      </c>
      <c r="T12" t="inlineStr">
        <is>
          <t>کامنت 2 مورد</t>
        </is>
      </c>
      <c r="U12" t="inlineStr">
        <is>
          <t>Hassan Karimi</t>
        </is>
      </c>
      <c r="V12" t="inlineStr">
        <is>
          <t>U829</t>
        </is>
      </c>
      <c r="W12" t="inlineStr">
        <is>
          <t>Mina Hosseini</t>
        </is>
      </c>
      <c r="X12" t="inlineStr">
        <is>
          <t>U860</t>
        </is>
      </c>
      <c r="Y12" t="inlineStr">
        <is>
          <t>Fateme Akbari</t>
        </is>
      </c>
      <c r="Z12" t="inlineStr">
        <is>
          <t>U511</t>
        </is>
      </c>
      <c r="AA12" t="inlineStr">
        <is>
          <t>Fateme Akbari</t>
        </is>
      </c>
      <c r="AB12" t="inlineStr">
        <is>
          <t>U511</t>
        </is>
      </c>
      <c r="AC12" t="inlineStr">
        <is>
          <t>2024-03-16</t>
        </is>
      </c>
      <c r="AD12" t="inlineStr">
        <is>
          <t>2024-03-17 17:00:00</t>
        </is>
      </c>
      <c r="AE12" t="inlineStr">
        <is>
          <t>2024-03-18 13:00:00</t>
        </is>
      </c>
      <c r="AF12" t="inlineStr">
        <is>
          <t>2024-03-20 13:00:00</t>
        </is>
      </c>
      <c r="AG12" t="inlineStr">
        <is>
          <t>2024-03-20 13:00:00</t>
        </is>
      </c>
      <c r="AH12" t="inlineStr">
        <is>
          <t>2024-03-23 22:00:00</t>
        </is>
      </c>
      <c r="AI12" t="inlineStr">
        <is>
          <t>2024-03-24 14:00:00</t>
        </is>
      </c>
      <c r="AJ12" t="n">
        <v/>
      </c>
      <c r="AK12" t="n">
        <v/>
      </c>
      <c r="AL12" t="n">
        <v/>
      </c>
      <c r="AM12" t="inlineStr">
        <is>
          <t>2024-03-24 14:00:00</t>
        </is>
      </c>
      <c r="AN12" t="inlineStr">
        <is>
          <t>2024-05-07</t>
        </is>
      </c>
      <c r="AO12" t="n">
        <v>0</v>
      </c>
      <c r="AP12" t="n">
        <v/>
      </c>
      <c r="AQ12" t="n">
        <v/>
      </c>
      <c r="AR12" t="inlineStr">
        <is>
          <t>Ready for Retest</t>
        </is>
      </c>
      <c r="AS12" t="n">
        <v>7</v>
      </c>
      <c r="AT12" t="n">
        <v>20</v>
      </c>
      <c r="AU12" t="n">
        <v>48</v>
      </c>
      <c r="AV12" t="n">
        <v>81</v>
      </c>
      <c r="AW12" t="n">
        <v>16</v>
      </c>
      <c r="AX12" t="inlineStr">
        <is>
          <t>[{"state": "Open", "timestamp": "2024-03-16T00:00:00"}, {"state": "Triage", "timestamp": "2024-03-17T17:00:00"}]</t>
        </is>
      </c>
      <c r="AY12" t="n">
        <v>3</v>
      </c>
      <c r="AZ12" t="n">
        <v>9</v>
      </c>
      <c r="BA12" t="n">
        <v>1</v>
      </c>
      <c r="BB12" t="n">
        <v>5.541016605544089</v>
      </c>
      <c r="BC12" t="n">
        <v>37.51003619227046</v>
      </c>
      <c r="BD12" t="n">
        <v>1.016970555561625</v>
      </c>
      <c r="BE12" t="n">
        <v>1.170304671511286</v>
      </c>
      <c r="BF12" t="n">
        <v>0</v>
      </c>
      <c r="BG12" t="n">
        <v>45.23832802488746</v>
      </c>
      <c r="BH12" t="n">
        <v>39.36935812467058</v>
      </c>
      <c r="BI12" t="n">
        <v/>
      </c>
      <c r="BJ12" t="n">
        <v/>
      </c>
      <c r="BK12" t="n">
        <v>61</v>
      </c>
      <c r="BL12" t="n">
        <v>84</v>
      </c>
      <c r="BM12" t="n">
        <v>81</v>
      </c>
      <c r="BN12" t="n">
        <v>649.7707912676505</v>
      </c>
      <c r="BO12" t="inlineStr">
        <is>
          <t>Config</t>
        </is>
      </c>
      <c r="BP12" t="inlineStr">
        <is>
          <t>Fixed</t>
        </is>
      </c>
      <c r="BQ12" t="n">
        <v/>
      </c>
      <c r="BR12" t="inlineStr">
        <is>
          <t>TC-9928</t>
        </is>
      </c>
      <c r="BS12" t="b">
        <v>0</v>
      </c>
      <c r="BT12" t="n">
        <v/>
      </c>
      <c r="BU12" t="n">
        <v>0</v>
      </c>
      <c r="BV12" t="n">
        <v>2</v>
      </c>
    </row>
    <row r="13">
      <c r="A13" t="n">
        <v>189805</v>
      </c>
      <c r="B13" t="inlineStr">
        <is>
          <t>عدم نمایش عقد تقسیط - تقسیط ضمانت نامه ، در کمبو نوع عقود/گزارش</t>
        </is>
      </c>
      <c r="C13" t="inlineStr">
        <is>
          <t>تکمیل توضیحات: عدم نمایش عقد تقسیط - تقسیط ضمانت نامه ، در کمبو ن...</t>
        </is>
      </c>
      <c r="D13" t="inlineStr">
        <is>
          <t>Low</t>
        </is>
      </c>
      <c r="E13" t="inlineStr">
        <is>
          <t>P1</t>
        </is>
      </c>
      <c r="F13" t="inlineStr">
        <is>
          <t>Done</t>
        </is>
      </c>
      <c r="G13" t="inlineStr">
        <is>
          <t>UI</t>
        </is>
      </c>
      <c r="H13" t="b">
        <v>0</v>
      </c>
      <c r="I13" t="b">
        <v>0</v>
      </c>
      <c r="J13" t="inlineStr">
        <is>
          <t>PRJ-001</t>
        </is>
      </c>
      <c r="K13" t="inlineStr">
        <is>
          <t>Dem System</t>
        </is>
      </c>
      <c r="L13" t="inlineStr">
        <is>
          <t>Team Beta</t>
        </is>
      </c>
      <c r="M13" t="inlineStr">
        <is>
          <t>T02</t>
        </is>
      </c>
      <c r="N13" t="inlineStr">
        <is>
          <t>M09</t>
        </is>
      </c>
      <c r="O13" t="inlineStr">
        <is>
          <t>Dem\DemBiz\SP_88</t>
        </is>
      </c>
      <c r="P13" t="inlineStr">
        <is>
          <t>Sprint 25</t>
        </is>
      </c>
      <c r="Q13" t="inlineStr">
        <is>
          <t>S25</t>
        </is>
      </c>
      <c r="R13" t="inlineStr">
        <is>
          <t>UI;Low</t>
        </is>
      </c>
      <c r="S13" t="n">
        <v/>
      </c>
      <c r="T13" t="inlineStr">
        <is>
          <t>کامنت 3 مورد</t>
        </is>
      </c>
      <c r="U13" t="inlineStr">
        <is>
          <t>Ali Rezaei</t>
        </is>
      </c>
      <c r="V13" t="inlineStr">
        <is>
          <t>U374</t>
        </is>
      </c>
      <c r="W13" t="inlineStr">
        <is>
          <t>Hassan Karimi</t>
        </is>
      </c>
      <c r="X13" t="inlineStr">
        <is>
          <t>U829</t>
        </is>
      </c>
      <c r="Y13" t="inlineStr">
        <is>
          <t>Ali Rezaei</t>
        </is>
      </c>
      <c r="Z13" t="inlineStr">
        <is>
          <t>U374</t>
        </is>
      </c>
      <c r="AA13" t="inlineStr">
        <is>
          <t>Ali Rezaei</t>
        </is>
      </c>
      <c r="AB13" t="inlineStr">
        <is>
          <t>U374</t>
        </is>
      </c>
      <c r="AC13" t="inlineStr">
        <is>
          <t>2024-01-18</t>
        </is>
      </c>
      <c r="AD13" t="inlineStr">
        <is>
          <t>2024-01-18 03:00:00</t>
        </is>
      </c>
      <c r="AE13" t="inlineStr">
        <is>
          <t>2024-01-19 01:00:00</t>
        </is>
      </c>
      <c r="AF13" t="inlineStr">
        <is>
          <t>2024-01-20 08:00:00</t>
        </is>
      </c>
      <c r="AG13" t="inlineStr">
        <is>
          <t>2024-01-20 08:00:00</t>
        </is>
      </c>
      <c r="AH13" t="inlineStr">
        <is>
          <t>2024-01-24 18:00:00</t>
        </is>
      </c>
      <c r="AI13" t="inlineStr">
        <is>
          <t>2024-01-25 16:00:00</t>
        </is>
      </c>
      <c r="AJ13" t="inlineStr">
        <is>
          <t>2024-01-25 20:00:00</t>
        </is>
      </c>
      <c r="AK13" t="inlineStr">
        <is>
          <t>2024-01-25 20:00:00</t>
        </is>
      </c>
      <c r="AL13" t="n">
        <v/>
      </c>
      <c r="AM13" t="inlineStr">
        <is>
          <t>2024-01-25 20:00:00</t>
        </is>
      </c>
      <c r="AN13" t="inlineStr">
        <is>
          <t>2024-02-08</t>
        </is>
      </c>
      <c r="AO13" t="n">
        <v>0</v>
      </c>
      <c r="AP13" t="n">
        <v/>
      </c>
      <c r="AQ13" t="n">
        <v/>
      </c>
      <c r="AR13" t="inlineStr">
        <is>
          <t>Resolved</t>
        </is>
      </c>
      <c r="AS13" t="n">
        <v>8</v>
      </c>
      <c r="AT13" t="n">
        <v>22</v>
      </c>
      <c r="AU13" t="n">
        <v>31</v>
      </c>
      <c r="AV13" t="n">
        <v>106</v>
      </c>
      <c r="AW13" t="n">
        <v>22</v>
      </c>
      <c r="AX13" t="inlineStr">
        <is>
          <t>[{"state": "Open", "timestamp": "2024-01-18T00:00:00"}, {"state": "Triage", "timestamp": "2024-01-18T03:00:00"}]</t>
        </is>
      </c>
      <c r="AY13" t="n">
        <v>2</v>
      </c>
      <c r="AZ13" t="n">
        <v>10</v>
      </c>
      <c r="BA13" t="n">
        <v>1</v>
      </c>
      <c r="BB13" t="n">
        <v>6.212147114965382</v>
      </c>
      <c r="BC13" t="n">
        <v>28.14516207032395</v>
      </c>
      <c r="BD13" t="n">
        <v>11.92262383483253</v>
      </c>
      <c r="BE13" t="n">
        <v>8.029909629911895</v>
      </c>
      <c r="BF13" t="n">
        <v>0</v>
      </c>
      <c r="BG13" t="n">
        <v>54.30984265003376</v>
      </c>
      <c r="BH13" t="n">
        <v>49.8482552868773</v>
      </c>
      <c r="BI13" t="n">
        <v/>
      </c>
      <c r="BJ13" t="n">
        <v/>
      </c>
      <c r="BK13" t="n">
        <v>25</v>
      </c>
      <c r="BL13" t="n">
        <v>75</v>
      </c>
      <c r="BM13" t="n">
        <v>106</v>
      </c>
      <c r="BN13" t="n">
        <v>707.7707912677662</v>
      </c>
      <c r="BO13" t="inlineStr">
        <is>
          <t>Integration</t>
        </is>
      </c>
      <c r="BP13" t="inlineStr">
        <is>
          <t>By Design</t>
        </is>
      </c>
      <c r="BQ13" t="n">
        <v/>
      </c>
      <c r="BR13" t="inlineStr">
        <is>
          <t>TC-8359</t>
        </is>
      </c>
      <c r="BS13" t="b">
        <v>0</v>
      </c>
      <c r="BT13" t="n">
        <v/>
      </c>
      <c r="BU13" t="n">
        <v>1</v>
      </c>
      <c r="BV13" t="n">
        <v>1</v>
      </c>
    </row>
    <row r="14">
      <c r="A14" t="n">
        <v>189808</v>
      </c>
      <c r="B14" t="inlineStr">
        <is>
          <t>کمبو شماره مشتری در گزارش نظارتی ، رکورد نال نمایش می دهد/گزارش</t>
        </is>
      </c>
      <c r="C14" t="inlineStr">
        <is>
          <t>تکمیل توضیحات: کمبو شماره مشتری در گزارش نظارتی ، رکورد نال نمایش...</t>
        </is>
      </c>
      <c r="D14" t="inlineStr">
        <is>
          <t>Low</t>
        </is>
      </c>
      <c r="E14" t="inlineStr">
        <is>
          <t>P3</t>
        </is>
      </c>
      <c r="F14" t="inlineStr">
        <is>
          <t>Done</t>
        </is>
      </c>
      <c r="G14" t="inlineStr">
        <is>
          <t>Performance</t>
        </is>
      </c>
      <c r="H14" t="b">
        <v>1</v>
      </c>
      <c r="I14" t="b">
        <v>0</v>
      </c>
      <c r="J14" t="inlineStr">
        <is>
          <t>PRJ-001</t>
        </is>
      </c>
      <c r="K14" t="inlineStr">
        <is>
          <t>Dem System</t>
        </is>
      </c>
      <c r="L14" t="inlineStr">
        <is>
          <t>Team Gamma</t>
        </is>
      </c>
      <c r="M14" t="inlineStr">
        <is>
          <t>T03</t>
        </is>
      </c>
      <c r="N14" t="inlineStr">
        <is>
          <t>M09</t>
        </is>
      </c>
      <c r="O14" t="inlineStr">
        <is>
          <t>Dem\DemBiz\SP_88</t>
        </is>
      </c>
      <c r="P14" t="inlineStr">
        <is>
          <t>Sprint 25</t>
        </is>
      </c>
      <c r="Q14" t="inlineStr">
        <is>
          <t>S25</t>
        </is>
      </c>
      <c r="R14" t="inlineStr">
        <is>
          <t>Performance;Low</t>
        </is>
      </c>
      <c r="S14" t="inlineStr">
        <is>
          <t>EXT-189808</t>
        </is>
      </c>
      <c r="T14" t="inlineStr">
        <is>
          <t>کامنت 1 مورد</t>
        </is>
      </c>
      <c r="U14" t="inlineStr">
        <is>
          <t>Ali Rezaei</t>
        </is>
      </c>
      <c r="V14" t="inlineStr">
        <is>
          <t>U374</t>
        </is>
      </c>
      <c r="W14" t="inlineStr">
        <is>
          <t>Zahra Ebrahimi</t>
        </is>
      </c>
      <c r="X14" t="inlineStr">
        <is>
          <t>U002</t>
        </is>
      </c>
      <c r="Y14" t="inlineStr">
        <is>
          <t>Zahra Ebrahimi</t>
        </is>
      </c>
      <c r="Z14" t="inlineStr">
        <is>
          <t>U002</t>
        </is>
      </c>
      <c r="AA14" t="inlineStr">
        <is>
          <t>Ali Rezaei</t>
        </is>
      </c>
      <c r="AB14" t="inlineStr">
        <is>
          <t>U374</t>
        </is>
      </c>
      <c r="AC14" t="inlineStr">
        <is>
          <t>2024-01-26</t>
        </is>
      </c>
      <c r="AD14" t="inlineStr">
        <is>
          <t>2024-01-27 01:00:00</t>
        </is>
      </c>
      <c r="AE14" t="inlineStr">
        <is>
          <t>2024-01-27 10:00:00</t>
        </is>
      </c>
      <c r="AF14" t="inlineStr">
        <is>
          <t>2024-01-29 22:00:00</t>
        </is>
      </c>
      <c r="AG14" t="inlineStr">
        <is>
          <t>2024-01-29 22:00:00</t>
        </is>
      </c>
      <c r="AH14" t="inlineStr">
        <is>
          <t>2024-02-02 15:00:00</t>
        </is>
      </c>
      <c r="AI14" t="inlineStr">
        <is>
          <t>2024-02-03 18:00:00</t>
        </is>
      </c>
      <c r="AJ14" t="inlineStr">
        <is>
          <t>2024-02-04 01:00:00</t>
        </is>
      </c>
      <c r="AK14" t="inlineStr">
        <is>
          <t>2024-02-04 01:00:00</t>
        </is>
      </c>
      <c r="AL14" t="n">
        <v/>
      </c>
      <c r="AM14" t="inlineStr">
        <is>
          <t>2024-02-04 01:00:00</t>
        </is>
      </c>
      <c r="AN14" t="inlineStr">
        <is>
          <t>2024-02-25</t>
        </is>
      </c>
      <c r="AO14" t="n">
        <v>0</v>
      </c>
      <c r="AP14" t="n">
        <v/>
      </c>
      <c r="AQ14" t="n">
        <v/>
      </c>
      <c r="AR14" t="inlineStr">
        <is>
          <t>Resolved</t>
        </is>
      </c>
      <c r="AS14" t="n">
        <v>8</v>
      </c>
      <c r="AT14" t="n">
        <v>9</v>
      </c>
      <c r="AU14" t="n">
        <v>60</v>
      </c>
      <c r="AV14" t="n">
        <v>89</v>
      </c>
      <c r="AW14" t="n">
        <v>27</v>
      </c>
      <c r="AX14" t="inlineStr">
        <is>
          <t>[{"state": "Open", "timestamp": "2024-01-26T00:00:00"}, {"state": "Triage", "timestamp": "2024-01-27T01:00:00"}]</t>
        </is>
      </c>
      <c r="AY14" t="n">
        <v>4</v>
      </c>
      <c r="AZ14" t="n">
        <v>8</v>
      </c>
      <c r="BA14" t="n">
        <v>1</v>
      </c>
      <c r="BB14" t="n">
        <v>2.282281579942997</v>
      </c>
      <c r="BC14" t="n">
        <v>23.23238563348524</v>
      </c>
      <c r="BD14" t="n">
        <v>18.83448970778668</v>
      </c>
      <c r="BE14" t="n">
        <v>1.84454913522756</v>
      </c>
      <c r="BF14" t="n">
        <v>0</v>
      </c>
      <c r="BG14" t="n">
        <v>46.19370605644246</v>
      </c>
      <c r="BH14" t="n">
        <v>50.23798094922584</v>
      </c>
      <c r="BI14" t="n">
        <v/>
      </c>
      <c r="BJ14" t="n">
        <v/>
      </c>
      <c r="BK14" t="n">
        <v>34</v>
      </c>
      <c r="BL14" t="n">
        <v>96</v>
      </c>
      <c r="BM14" t="n">
        <v>89</v>
      </c>
      <c r="BN14" t="n">
        <v>699.7707912678819</v>
      </c>
      <c r="BO14" t="inlineStr">
        <is>
          <t>Integration</t>
        </is>
      </c>
      <c r="BP14" t="inlineStr">
        <is>
          <t>Fixed</t>
        </is>
      </c>
      <c r="BQ14" t="n">
        <v/>
      </c>
      <c r="BR14" t="inlineStr">
        <is>
          <t>TC-1106</t>
        </is>
      </c>
      <c r="BS14" t="b">
        <v>0</v>
      </c>
      <c r="BT14" t="n">
        <v/>
      </c>
      <c r="BU14" t="n">
        <v>1</v>
      </c>
      <c r="BV14" t="n">
        <v>0</v>
      </c>
    </row>
    <row r="15">
      <c r="A15" t="n">
        <v>190117</v>
      </c>
      <c r="B15" t="inlineStr">
        <is>
          <t>کمبو مدیریت شعب در گزارشات ، منو سامانه باگ دارد</t>
        </is>
      </c>
      <c r="C15" t="inlineStr">
        <is>
          <t>تکمیل توضیحات: کمبو مدیریت شعب در گزارشات ، منو سامانه باگ دارد...</t>
        </is>
      </c>
      <c r="D15" t="inlineStr">
        <is>
          <t>High</t>
        </is>
      </c>
      <c r="E15" t="inlineStr">
        <is>
          <t>P3</t>
        </is>
      </c>
      <c r="F15" t="inlineStr">
        <is>
          <t>Active</t>
        </is>
      </c>
      <c r="G15" t="inlineStr">
        <is>
          <t>Security</t>
        </is>
      </c>
      <c r="H15" t="b">
        <v>0</v>
      </c>
      <c r="I15" t="b">
        <v>0</v>
      </c>
      <c r="J15" t="inlineStr">
        <is>
          <t>PRJ-001</t>
        </is>
      </c>
      <c r="K15" t="inlineStr">
        <is>
          <t>Dem System</t>
        </is>
      </c>
      <c r="L15" t="inlineStr">
        <is>
          <t>Team Alpha</t>
        </is>
      </c>
      <c r="M15" t="inlineStr">
        <is>
          <t>T01</t>
        </is>
      </c>
      <c r="N15" t="inlineStr">
        <is>
          <t>M09</t>
        </is>
      </c>
      <c r="O15" t="inlineStr">
        <is>
          <t>Dem\DemBiz\SP_88</t>
        </is>
      </c>
      <c r="P15" t="inlineStr">
        <is>
          <t>Sprint 25</t>
        </is>
      </c>
      <c r="Q15" t="inlineStr">
        <is>
          <t>S25</t>
        </is>
      </c>
      <c r="R15" t="inlineStr">
        <is>
          <t>Security;High</t>
        </is>
      </c>
      <c r="S15" t="inlineStr">
        <is>
          <t>EXT-190117</t>
        </is>
      </c>
      <c r="T15" t="inlineStr">
        <is>
          <t>کامنت 3 مورد</t>
        </is>
      </c>
      <c r="U15" t="inlineStr">
        <is>
          <t>Ali Rezaei</t>
        </is>
      </c>
      <c r="V15" t="inlineStr">
        <is>
          <t>U374</t>
        </is>
      </c>
      <c r="W15" t="inlineStr">
        <is>
          <t>Ali Rezaei</t>
        </is>
      </c>
      <c r="X15" t="inlineStr">
        <is>
          <t>U374</t>
        </is>
      </c>
      <c r="Y15" t="n">
        <v/>
      </c>
      <c r="Z15" t="n">
        <v/>
      </c>
      <c r="AA15" t="n">
        <v/>
      </c>
      <c r="AB15" t="n">
        <v/>
      </c>
      <c r="AC15" t="inlineStr">
        <is>
          <t>2024-03-31</t>
        </is>
      </c>
      <c r="AD15" t="inlineStr">
        <is>
          <t>2024-03-31 14:00:00</t>
        </is>
      </c>
      <c r="AE15" t="inlineStr">
        <is>
          <t>2024-04-01 12:00:00</t>
        </is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inlineStr">
        <is>
          <t>2024-04-01 12:00:00</t>
        </is>
      </c>
      <c r="AN15" t="inlineStr">
        <is>
          <t>2024-04-24</t>
        </is>
      </c>
      <c r="AO15" t="n">
        <v>0</v>
      </c>
      <c r="AP15" t="n">
        <v/>
      </c>
      <c r="AQ15" t="n">
        <v/>
      </c>
      <c r="AR15" t="inlineStr">
        <is>
          <t>Triage</t>
        </is>
      </c>
      <c r="AS15" t="n">
        <v>4</v>
      </c>
      <c r="AT15" t="n">
        <v>22</v>
      </c>
      <c r="AU15" t="n">
        <v/>
      </c>
      <c r="AV15" t="n">
        <v/>
      </c>
      <c r="AW15" t="n">
        <v/>
      </c>
      <c r="AX15" t="inlineStr">
        <is>
          <t>[{"state": "Open", "timestamp": "2024-03-31T00:00:00"}, {"state": "Triage", "timestamp": "2024-03-31T14:00:00"}]</t>
        </is>
      </c>
      <c r="AY15" t="n">
        <v>1</v>
      </c>
      <c r="AZ15" t="n">
        <v>6</v>
      </c>
      <c r="BA15" t="n">
        <v>1</v>
      </c>
      <c r="BB15" t="n">
        <v>5.961622614588947</v>
      </c>
      <c r="BC15" t="n">
        <v>4.789883257059973</v>
      </c>
      <c r="BD15" t="n">
        <v>11.72174646857964</v>
      </c>
      <c r="BE15" t="n">
        <v>2.782268744021079</v>
      </c>
      <c r="BF15" t="n">
        <v>0</v>
      </c>
      <c r="BG15" t="n">
        <v>25.25552108424964</v>
      </c>
      <c r="BH15" t="n">
        <v>26.32804686377353</v>
      </c>
      <c r="BI15" t="n">
        <v/>
      </c>
      <c r="BJ15" t="n">
        <v/>
      </c>
      <c r="BK15" t="n">
        <v>36</v>
      </c>
      <c r="BL15" t="n">
        <v>22</v>
      </c>
      <c r="BM15" t="n">
        <v>0</v>
      </c>
      <c r="BN15" t="n">
        <v>634.7707912679861</v>
      </c>
      <c r="BO15" t="n">
        <v/>
      </c>
      <c r="BP15" t="n">
        <v/>
      </c>
      <c r="BQ15" t="n">
        <v/>
      </c>
      <c r="BR15" t="n">
        <v/>
      </c>
      <c r="BS15" t="b">
        <v>0</v>
      </c>
      <c r="BT15" t="n">
        <v/>
      </c>
      <c r="BU15" t="n">
        <v>0</v>
      </c>
      <c r="BV15" t="n">
        <v>0</v>
      </c>
    </row>
    <row r="16">
      <c r="A16" t="n">
        <v>190121</v>
      </c>
      <c r="B16" t="inlineStr">
        <is>
          <t>اصلاح تایتل گزارش درخواست های وارده به اداره کل اعتبارات</t>
        </is>
      </c>
      <c r="C16" t="inlineStr">
        <is>
          <t>تکمیل توضیحات: اصلاح تایتل گزارش درخواست های وارده به اداره کل اع...</t>
        </is>
      </c>
      <c r="D16" t="inlineStr">
        <is>
          <t>High</t>
        </is>
      </c>
      <c r="E16" t="inlineStr">
        <is>
          <t>P2</t>
        </is>
      </c>
      <c r="F16" t="inlineStr">
        <is>
          <t>Closed</t>
        </is>
      </c>
      <c r="G16" t="inlineStr">
        <is>
          <t>Backend</t>
        </is>
      </c>
      <c r="H16" t="b">
        <v>0</v>
      </c>
      <c r="I16" t="b">
        <v>0</v>
      </c>
      <c r="J16" t="inlineStr">
        <is>
          <t>PRJ-001</t>
        </is>
      </c>
      <c r="K16" t="inlineStr">
        <is>
          <t>Dem System</t>
        </is>
      </c>
      <c r="L16" t="inlineStr">
        <is>
          <t>Team Alpha</t>
        </is>
      </c>
      <c r="M16" t="inlineStr">
        <is>
          <t>T01</t>
        </is>
      </c>
      <c r="N16" t="inlineStr">
        <is>
          <t>M09</t>
        </is>
      </c>
      <c r="O16" t="inlineStr">
        <is>
          <t>Dem\DemBiz\SP_88</t>
        </is>
      </c>
      <c r="P16" t="inlineStr">
        <is>
          <t>Sprint 26</t>
        </is>
      </c>
      <c r="Q16" t="inlineStr">
        <is>
          <t>S26</t>
        </is>
      </c>
      <c r="R16" t="inlineStr">
        <is>
          <t>Backend;High</t>
        </is>
      </c>
      <c r="S16" t="n">
        <v/>
      </c>
      <c r="T16" t="inlineStr">
        <is>
          <t>کامنت 0 مورد</t>
        </is>
      </c>
      <c r="U16" t="inlineStr">
        <is>
          <t>Reza Mohammadi</t>
        </is>
      </c>
      <c r="V16" t="inlineStr">
        <is>
          <t>U493</t>
        </is>
      </c>
      <c r="W16" t="inlineStr">
        <is>
          <t>Ali Rezaei</t>
        </is>
      </c>
      <c r="X16" t="inlineStr">
        <is>
          <t>U374</t>
        </is>
      </c>
      <c r="Y16" t="inlineStr">
        <is>
          <t>Reza Mohammadi</t>
        </is>
      </c>
      <c r="Z16" t="inlineStr">
        <is>
          <t>U493</t>
        </is>
      </c>
      <c r="AA16" t="inlineStr">
        <is>
          <t>Hassan Karimi</t>
        </is>
      </c>
      <c r="AB16" t="inlineStr">
        <is>
          <t>U829</t>
        </is>
      </c>
      <c r="AC16" t="inlineStr">
        <is>
          <t>2024-06-28</t>
        </is>
      </c>
      <c r="AD16" t="inlineStr">
        <is>
          <t>2024-06-29 20:00:00</t>
        </is>
      </c>
      <c r="AE16" t="inlineStr">
        <is>
          <t>2024-06-30 17:00:00</t>
        </is>
      </c>
      <c r="AF16" t="inlineStr">
        <is>
          <t>2024-07-01 04:00:00</t>
        </is>
      </c>
      <c r="AG16" t="inlineStr">
        <is>
          <t>2024-07-01 04:00:00</t>
        </is>
      </c>
      <c r="AH16" t="inlineStr">
        <is>
          <t>2024-07-04 17:00:00</t>
        </is>
      </c>
      <c r="AI16" t="inlineStr">
        <is>
          <t>2024-07-06 13:00:00</t>
        </is>
      </c>
      <c r="AJ16" t="inlineStr">
        <is>
          <t>2024-07-06 20:00:00</t>
        </is>
      </c>
      <c r="AK16" t="inlineStr">
        <is>
          <t>2024-07-07 00:00:00</t>
        </is>
      </c>
      <c r="AL16" t="inlineStr">
        <is>
          <t>2024-07-07 11:00:00</t>
        </is>
      </c>
      <c r="AM16" t="inlineStr">
        <is>
          <t>2024-07-07 11:00:00</t>
        </is>
      </c>
      <c r="AN16" t="inlineStr">
        <is>
          <t>2024-08-03</t>
        </is>
      </c>
      <c r="AO16" t="n">
        <v>3</v>
      </c>
      <c r="AP16" t="inlineStr">
        <is>
          <t>2024-07-12 11:00:00</t>
        </is>
      </c>
      <c r="AQ16" t="inlineStr">
        <is>
          <t>2024-07-17 11:00:00</t>
        </is>
      </c>
      <c r="AR16" t="inlineStr">
        <is>
          <t>Done</t>
        </is>
      </c>
      <c r="AS16" t="n">
        <v>10</v>
      </c>
      <c r="AT16" t="n">
        <v>21</v>
      </c>
      <c r="AU16" t="n">
        <v>11</v>
      </c>
      <c r="AV16" t="n">
        <v>85</v>
      </c>
      <c r="AW16" t="n">
        <v>44</v>
      </c>
      <c r="AX16" t="inlineStr">
        <is>
          <t>[{"state": "Open", "timestamp": "2024-06-28T00:00:00"}, {"state": "Triage", "timestamp": "2024-06-29T20:00:00"}]</t>
        </is>
      </c>
      <c r="AY16" t="n">
        <v>3</v>
      </c>
      <c r="AZ16" t="n">
        <v>10</v>
      </c>
      <c r="BA16" t="n">
        <v>4</v>
      </c>
      <c r="BB16" t="n">
        <v>3.258373495394399</v>
      </c>
      <c r="BC16" t="n">
        <v>24.98528184126762</v>
      </c>
      <c r="BD16" t="n">
        <v>8.069313561027176</v>
      </c>
      <c r="BE16" t="n">
        <v>2.762893701656573</v>
      </c>
      <c r="BF16" t="n">
        <v>21.12239304297671</v>
      </c>
      <c r="BG16" t="n">
        <v>60.19825564232248</v>
      </c>
      <c r="BH16" t="n">
        <v>55.00061999302128</v>
      </c>
      <c r="BI16" t="n">
        <v>227</v>
      </c>
      <c r="BJ16" t="n">
        <v>151</v>
      </c>
      <c r="BK16" t="n">
        <v>65</v>
      </c>
      <c r="BL16" t="n">
        <v>76</v>
      </c>
      <c r="BM16" t="n">
        <v>85</v>
      </c>
      <c r="BN16" t="n">
        <v>545.7707912681714</v>
      </c>
      <c r="BO16" t="inlineStr">
        <is>
          <t>Config</t>
        </is>
      </c>
      <c r="BP16" t="inlineStr">
        <is>
          <t>Fixed</t>
        </is>
      </c>
      <c r="BQ16" t="inlineStr">
        <is>
          <t>Completed</t>
        </is>
      </c>
      <c r="BR16" t="inlineStr">
        <is>
          <t>TC-7924</t>
        </is>
      </c>
      <c r="BS16" t="b">
        <v>0</v>
      </c>
      <c r="BT16" t="n">
        <v/>
      </c>
      <c r="BU16" t="n">
        <v>2</v>
      </c>
      <c r="BV16" t="n">
        <v>0</v>
      </c>
    </row>
    <row r="17">
      <c r="A17" t="n">
        <v>190125</v>
      </c>
      <c r="B17" t="inlineStr">
        <is>
          <t>کمبو معرف در گزارش تسهیلات متفرقه ، رکورد نال نمایش می دهد</t>
        </is>
      </c>
      <c r="C17" t="inlineStr">
        <is>
          <t>تکمیل توضیحات: کمبو معرف در گزارش تسهیلات متفرقه ، رکورد نال نمای...</t>
        </is>
      </c>
      <c r="D17" t="inlineStr">
        <is>
          <t>High</t>
        </is>
      </c>
      <c r="E17" t="inlineStr">
        <is>
          <t>P3</t>
        </is>
      </c>
      <c r="F17" t="inlineStr">
        <is>
          <t>In Progress</t>
        </is>
      </c>
      <c r="G17" t="inlineStr">
        <is>
          <t>Backend</t>
        </is>
      </c>
      <c r="H17" t="b">
        <v>0</v>
      </c>
      <c r="I17" t="b">
        <v>0</v>
      </c>
      <c r="J17" t="inlineStr">
        <is>
          <t>PRJ-001</t>
        </is>
      </c>
      <c r="K17" t="inlineStr">
        <is>
          <t>Dem System</t>
        </is>
      </c>
      <c r="L17" t="inlineStr">
        <is>
          <t>Team Alpha</t>
        </is>
      </c>
      <c r="M17" t="inlineStr">
        <is>
          <t>T01</t>
        </is>
      </c>
      <c r="N17" t="inlineStr">
        <is>
          <t>M09</t>
        </is>
      </c>
      <c r="O17" t="inlineStr">
        <is>
          <t>Dem\DemBiz\SP_88</t>
        </is>
      </c>
      <c r="P17" t="inlineStr">
        <is>
          <t>Sprint 27</t>
        </is>
      </c>
      <c r="Q17" t="inlineStr">
        <is>
          <t>S27</t>
        </is>
      </c>
      <c r="R17" t="inlineStr">
        <is>
          <t>Backend;High</t>
        </is>
      </c>
      <c r="S17" t="n">
        <v/>
      </c>
      <c r="T17" t="inlineStr">
        <is>
          <t>کامنت 5 مورد</t>
        </is>
      </c>
      <c r="U17" t="inlineStr">
        <is>
          <t>Mohammad Safari</t>
        </is>
      </c>
      <c r="V17" t="inlineStr">
        <is>
          <t>U093</t>
        </is>
      </c>
      <c r="W17" t="inlineStr">
        <is>
          <t>Hassan Karimi</t>
        </is>
      </c>
      <c r="X17" t="inlineStr">
        <is>
          <t>U829</t>
        </is>
      </c>
      <c r="Y17" t="n">
        <v/>
      </c>
      <c r="Z17" t="n">
        <v/>
      </c>
      <c r="AA17" t="n">
        <v/>
      </c>
      <c r="AB17" t="n">
        <v/>
      </c>
      <c r="AC17" t="inlineStr">
        <is>
          <t>2024-06-25</t>
        </is>
      </c>
      <c r="AD17" t="inlineStr">
        <is>
          <t>2024-06-26 12:00:00</t>
        </is>
      </c>
      <c r="AE17" t="inlineStr">
        <is>
          <t>2024-06-26 20:00:00</t>
        </is>
      </c>
      <c r="AF17" t="inlineStr">
        <is>
          <t>2024-06-28 15:00:00</t>
        </is>
      </c>
      <c r="AG17" t="inlineStr">
        <is>
          <t>2024-06-28 15:00:00</t>
        </is>
      </c>
      <c r="AH17" t="n">
        <v/>
      </c>
      <c r="AI17" t="n">
        <v/>
      </c>
      <c r="AJ17" t="n">
        <v/>
      </c>
      <c r="AK17" t="n">
        <v/>
      </c>
      <c r="AL17" t="n">
        <v/>
      </c>
      <c r="AM17" t="inlineStr">
        <is>
          <t>2024-06-28 15:00:00</t>
        </is>
      </c>
      <c r="AN17" t="inlineStr">
        <is>
          <t>2024-08-24</t>
        </is>
      </c>
      <c r="AO17" t="n">
        <v>0</v>
      </c>
      <c r="AP17" t="n">
        <v/>
      </c>
      <c r="AQ17" t="n">
        <v/>
      </c>
      <c r="AR17" t="inlineStr">
        <is>
          <t>Active</t>
        </is>
      </c>
      <c r="AS17" t="n">
        <v>3</v>
      </c>
      <c r="AT17" t="n">
        <v>8</v>
      </c>
      <c r="AU17" t="n">
        <v>43</v>
      </c>
      <c r="AV17" t="n">
        <v/>
      </c>
      <c r="AW17" t="n">
        <v/>
      </c>
      <c r="AX17" t="inlineStr">
        <is>
          <t>[{"state": "Open", "timestamp": "2024-06-25T00:00:00"}, {"state": "Triage", "timestamp": "2024-06-26T12:00:00"}]</t>
        </is>
      </c>
      <c r="AY17" t="n">
        <v>1</v>
      </c>
      <c r="AZ17" t="n">
        <v>5</v>
      </c>
      <c r="BA17" t="n">
        <v>1</v>
      </c>
      <c r="BB17" t="n">
        <v>5.242293729451846</v>
      </c>
      <c r="BC17" t="n">
        <v>39.61210015406627</v>
      </c>
      <c r="BD17" t="n">
        <v>13.04412025962589</v>
      </c>
      <c r="BE17" t="n">
        <v>10.73815453174095</v>
      </c>
      <c r="BF17" t="n">
        <v>0</v>
      </c>
      <c r="BG17" t="n">
        <v>68.63666867488496</v>
      </c>
      <c r="BH17" t="n">
        <v>88.67234023689474</v>
      </c>
      <c r="BI17" t="n">
        <v/>
      </c>
      <c r="BJ17" t="n">
        <v/>
      </c>
      <c r="BK17" t="n">
        <v>44</v>
      </c>
      <c r="BL17" t="n">
        <v>51</v>
      </c>
      <c r="BM17" t="n">
        <v>0</v>
      </c>
      <c r="BN17" t="n">
        <v>548.7707912682986</v>
      </c>
      <c r="BO17" t="n">
        <v/>
      </c>
      <c r="BP17" t="n">
        <v/>
      </c>
      <c r="BQ17" t="n">
        <v/>
      </c>
      <c r="BR17" t="inlineStr">
        <is>
          <t>TC-3547</t>
        </is>
      </c>
      <c r="BS17" t="b">
        <v>0</v>
      </c>
      <c r="BT17" t="n">
        <v/>
      </c>
      <c r="BU17" t="n">
        <v>0</v>
      </c>
      <c r="BV17" t="n">
        <v>0</v>
      </c>
    </row>
    <row r="18">
      <c r="A18" t="n">
        <v>190142</v>
      </c>
      <c r="B18" t="inlineStr">
        <is>
          <t>عدم دریافت گزارش مدت زمان توقف کارپرونده وارده به اداره کل اعتبارات</t>
        </is>
      </c>
      <c r="C18" t="inlineStr">
        <is>
          <t>تکمیل توضیحات: عدم دریافت گزارش مدت زمان توقف کارپرونده وارده به ...</t>
        </is>
      </c>
      <c r="D18" t="inlineStr">
        <is>
          <t>High</t>
        </is>
      </c>
      <c r="E18" t="inlineStr">
        <is>
          <t>P3</t>
        </is>
      </c>
      <c r="F18" t="inlineStr">
        <is>
          <t>In Progress</t>
        </is>
      </c>
      <c r="G18" t="inlineStr">
        <is>
          <t>Data</t>
        </is>
      </c>
      <c r="H18" t="b">
        <v>0</v>
      </c>
      <c r="I18" t="b">
        <v>0</v>
      </c>
      <c r="J18" t="inlineStr">
        <is>
          <t>PRJ-001</t>
        </is>
      </c>
      <c r="K18" t="inlineStr">
        <is>
          <t>Dem System</t>
        </is>
      </c>
      <c r="L18" t="inlineStr">
        <is>
          <t>Team Delta</t>
        </is>
      </c>
      <c r="M18" t="inlineStr">
        <is>
          <t>T04</t>
        </is>
      </c>
      <c r="N18" t="inlineStr">
        <is>
          <t>M09</t>
        </is>
      </c>
      <c r="O18" t="inlineStr">
        <is>
          <t>Dem\DemBiz\SP_88</t>
        </is>
      </c>
      <c r="P18" t="inlineStr">
        <is>
          <t>Sprint 24</t>
        </is>
      </c>
      <c r="Q18" t="inlineStr">
        <is>
          <t>S24</t>
        </is>
      </c>
      <c r="R18" t="inlineStr">
        <is>
          <t>Data;High</t>
        </is>
      </c>
      <c r="S18" t="inlineStr">
        <is>
          <t>EXT-190142</t>
        </is>
      </c>
      <c r="T18" t="inlineStr">
        <is>
          <t>کامنت 5 مورد</t>
        </is>
      </c>
      <c r="U18" t="inlineStr">
        <is>
          <t>Fateme Akbari</t>
        </is>
      </c>
      <c r="V18" t="inlineStr">
        <is>
          <t>U511</t>
        </is>
      </c>
      <c r="W18" t="inlineStr">
        <is>
          <t>Hassan Karimi</t>
        </is>
      </c>
      <c r="X18" t="inlineStr">
        <is>
          <t>U829</t>
        </is>
      </c>
      <c r="Y18" t="n">
        <v/>
      </c>
      <c r="Z18" t="n">
        <v/>
      </c>
      <c r="AA18" t="n">
        <v/>
      </c>
      <c r="AB18" t="n">
        <v/>
      </c>
      <c r="AC18" t="inlineStr">
        <is>
          <t>2024-01-15</t>
        </is>
      </c>
      <c r="AD18" t="inlineStr">
        <is>
          <t>2024-01-15 15:00:00</t>
        </is>
      </c>
      <c r="AE18" t="inlineStr">
        <is>
          <t>2024-01-15 17:00:00</t>
        </is>
      </c>
      <c r="AF18" t="inlineStr">
        <is>
          <t>2024-01-17 11:00:00</t>
        </is>
      </c>
      <c r="AG18" t="inlineStr">
        <is>
          <t>2024-01-17 11:00:00</t>
        </is>
      </c>
      <c r="AH18" t="n">
        <v/>
      </c>
      <c r="AI18" t="n">
        <v/>
      </c>
      <c r="AJ18" t="n">
        <v/>
      </c>
      <c r="AK18" t="n">
        <v/>
      </c>
      <c r="AL18" t="n">
        <v/>
      </c>
      <c r="AM18" t="inlineStr">
        <is>
          <t>2024-01-17 11:00:00</t>
        </is>
      </c>
      <c r="AN18" t="inlineStr">
        <is>
          <t>2024-02-16</t>
        </is>
      </c>
      <c r="AO18" t="n">
        <v>0</v>
      </c>
      <c r="AP18" t="n">
        <v/>
      </c>
      <c r="AQ18" t="n">
        <v/>
      </c>
      <c r="AR18" t="inlineStr">
        <is>
          <t>Active</t>
        </is>
      </c>
      <c r="AS18" t="n">
        <v>6</v>
      </c>
      <c r="AT18" t="n">
        <v>2</v>
      </c>
      <c r="AU18" t="n">
        <v>42</v>
      </c>
      <c r="AV18" t="n">
        <v/>
      </c>
      <c r="AW18" t="n">
        <v/>
      </c>
      <c r="AX18" t="inlineStr">
        <is>
          <t>[{"state": "Open", "timestamp": "2024-01-15T00:00:00"}, {"state": "Triage", "timestamp": "2024-01-15T15:00:00"}]</t>
        </is>
      </c>
      <c r="AY18" t="n">
        <v>3</v>
      </c>
      <c r="AZ18" t="n">
        <v>7</v>
      </c>
      <c r="BA18" t="n">
        <v>1</v>
      </c>
      <c r="BB18" t="n">
        <v>5.25147283070671</v>
      </c>
      <c r="BC18" t="n">
        <v>6.463276594224437</v>
      </c>
      <c r="BD18" t="n">
        <v>9.435931364584574</v>
      </c>
      <c r="BE18" t="n">
        <v>12.19067318898135</v>
      </c>
      <c r="BF18" t="n">
        <v>0</v>
      </c>
      <c r="BG18" t="n">
        <v>33.34135397849707</v>
      </c>
      <c r="BH18" t="n">
        <v>35.4573593950108</v>
      </c>
      <c r="BI18" t="n">
        <v/>
      </c>
      <c r="BJ18" t="n">
        <v/>
      </c>
      <c r="BK18" t="n">
        <v>17</v>
      </c>
      <c r="BL18" t="n">
        <v>44</v>
      </c>
      <c r="BM18" t="n">
        <v>0</v>
      </c>
      <c r="BN18" t="n">
        <v>710.7707912684027</v>
      </c>
      <c r="BO18" t="n">
        <v/>
      </c>
      <c r="BP18" t="n">
        <v/>
      </c>
      <c r="BQ18" t="n">
        <v/>
      </c>
      <c r="BR18" t="inlineStr">
        <is>
          <t>TC-6514</t>
        </is>
      </c>
      <c r="BS18" t="b">
        <v>0</v>
      </c>
      <c r="BT18" t="n">
        <v/>
      </c>
      <c r="BU18" t="n">
        <v>0</v>
      </c>
      <c r="BV18" t="n">
        <v>0</v>
      </c>
    </row>
    <row r="19">
      <c r="A19" t="n">
        <v>190225</v>
      </c>
      <c r="B19" t="inlineStr">
        <is>
          <t>خالی بودن کمبو واحد کارشناسی در گزارش آمار تجمیعی واحد ها</t>
        </is>
      </c>
      <c r="C19" t="inlineStr">
        <is>
          <t>تکمیل توضیحات: خالی بودن کمبو واحد کارشناسی در گزارش آمار تجمیعی ...</t>
        </is>
      </c>
      <c r="D19" t="inlineStr">
        <is>
          <t>Medium</t>
        </is>
      </c>
      <c r="E19" t="inlineStr">
        <is>
          <t>P1</t>
        </is>
      </c>
      <c r="F19" t="inlineStr">
        <is>
          <t>Closed</t>
        </is>
      </c>
      <c r="G19" t="inlineStr">
        <is>
          <t>Backend</t>
        </is>
      </c>
      <c r="H19" t="b">
        <v>0</v>
      </c>
      <c r="I19" t="b">
        <v>0</v>
      </c>
      <c r="J19" t="inlineStr">
        <is>
          <t>PRJ-001</t>
        </is>
      </c>
      <c r="K19" t="inlineStr">
        <is>
          <t>Dem System</t>
        </is>
      </c>
      <c r="L19" t="inlineStr">
        <is>
          <t>Team Beta</t>
        </is>
      </c>
      <c r="M19" t="inlineStr">
        <is>
          <t>T02</t>
        </is>
      </c>
      <c r="N19" t="inlineStr">
        <is>
          <t>M09</t>
        </is>
      </c>
      <c r="O19" t="inlineStr">
        <is>
          <t>Dem\DemBiz\SP_88</t>
        </is>
      </c>
      <c r="P19" t="inlineStr">
        <is>
          <t>Sprint 24</t>
        </is>
      </c>
      <c r="Q19" t="inlineStr">
        <is>
          <t>S24</t>
        </is>
      </c>
      <c r="R19" t="inlineStr">
        <is>
          <t>Backend;Medium</t>
        </is>
      </c>
      <c r="S19" t="n">
        <v/>
      </c>
      <c r="T19" t="inlineStr">
        <is>
          <t>کامنت 2 مورد</t>
        </is>
      </c>
      <c r="U19" t="inlineStr">
        <is>
          <t>Zahra Ebrahimi</t>
        </is>
      </c>
      <c r="V19" t="inlineStr">
        <is>
          <t>U002</t>
        </is>
      </c>
      <c r="W19" t="inlineStr">
        <is>
          <t>Reza Mohammadi</t>
        </is>
      </c>
      <c r="X19" t="inlineStr">
        <is>
          <t>U493</t>
        </is>
      </c>
      <c r="Y19" t="inlineStr">
        <is>
          <t>Mohammad Safari</t>
        </is>
      </c>
      <c r="Z19" t="inlineStr">
        <is>
          <t>U093</t>
        </is>
      </c>
      <c r="AA19" t="inlineStr">
        <is>
          <t>Mohammad Safari</t>
        </is>
      </c>
      <c r="AB19" t="inlineStr">
        <is>
          <t>U093</t>
        </is>
      </c>
      <c r="AC19" t="inlineStr">
        <is>
          <t>2024-03-09</t>
        </is>
      </c>
      <c r="AD19" t="inlineStr">
        <is>
          <t>2024-03-09 05:00:00</t>
        </is>
      </c>
      <c r="AE19" t="inlineStr">
        <is>
          <t>2024-03-09 12:00:00</t>
        </is>
      </c>
      <c r="AF19" t="inlineStr">
        <is>
          <t>2024-03-11 06:00:00</t>
        </is>
      </c>
      <c r="AG19" t="inlineStr">
        <is>
          <t>2024-03-11 06:00:00</t>
        </is>
      </c>
      <c r="AH19" t="inlineStr">
        <is>
          <t>2024-03-12 17:00:00</t>
        </is>
      </c>
      <c r="AI19" t="inlineStr">
        <is>
          <t>2024-03-14 14:00:00</t>
        </is>
      </c>
      <c r="AJ19" t="inlineStr">
        <is>
          <t>2024-03-15 07:00:00</t>
        </is>
      </c>
      <c r="AK19" t="inlineStr">
        <is>
          <t>2024-03-15 14:00:00</t>
        </is>
      </c>
      <c r="AL19" t="inlineStr">
        <is>
          <t>2024-03-17 08:00:00</t>
        </is>
      </c>
      <c r="AM19" t="inlineStr">
        <is>
          <t>2024-03-17 08:00:00</t>
        </is>
      </c>
      <c r="AN19" t="inlineStr">
        <is>
          <t>2024-04-14</t>
        </is>
      </c>
      <c r="AO19" t="n">
        <v>1</v>
      </c>
      <c r="AP19" t="inlineStr">
        <is>
          <t>2024-03-22 08:00:00</t>
        </is>
      </c>
      <c r="AQ19" t="inlineStr">
        <is>
          <t>2024-03-22 08:00:00</t>
        </is>
      </c>
      <c r="AR19" t="inlineStr">
        <is>
          <t>Done</t>
        </is>
      </c>
      <c r="AS19" t="n">
        <v>10</v>
      </c>
      <c r="AT19" t="n">
        <v>7</v>
      </c>
      <c r="AU19" t="n">
        <v>42</v>
      </c>
      <c r="AV19" t="n">
        <v>35</v>
      </c>
      <c r="AW19" t="n">
        <v>45</v>
      </c>
      <c r="AX19" t="inlineStr">
        <is>
          <t>[{"state": "Open", "timestamp": "2024-03-09T00:00:00"}, {"state": "Triage", "timestamp": "2024-03-09T05:00:00"}]</t>
        </is>
      </c>
      <c r="AY19" t="n">
        <v>4</v>
      </c>
      <c r="AZ19" t="n">
        <v>12</v>
      </c>
      <c r="BA19" t="n">
        <v>2</v>
      </c>
      <c r="BB19" t="n">
        <v>4.518310130560689</v>
      </c>
      <c r="BC19" t="n">
        <v>21.21485644218573</v>
      </c>
      <c r="BD19" t="n">
        <v>11.13952739166073</v>
      </c>
      <c r="BE19" t="n">
        <v>9.750531476457397</v>
      </c>
      <c r="BF19" t="n">
        <v>0.1454466566788192</v>
      </c>
      <c r="BG19" t="n">
        <v>46.76867209754337</v>
      </c>
      <c r="BH19" t="n">
        <v>39.39493968955212</v>
      </c>
      <c r="BI19" t="n">
        <v>200</v>
      </c>
      <c r="BJ19" t="n">
        <v>146</v>
      </c>
      <c r="BK19" t="n">
        <v>12</v>
      </c>
      <c r="BL19" t="n">
        <v>94</v>
      </c>
      <c r="BM19" t="n">
        <v>35</v>
      </c>
      <c r="BN19" t="n">
        <v>656.7707912685185</v>
      </c>
      <c r="BO19" t="inlineStr">
        <is>
          <t>Config</t>
        </is>
      </c>
      <c r="BP19" t="inlineStr">
        <is>
          <t>Fixed</t>
        </is>
      </c>
      <c r="BQ19" t="inlineStr">
        <is>
          <t>Completed</t>
        </is>
      </c>
      <c r="BR19" t="inlineStr">
        <is>
          <t>TC-7224</t>
        </is>
      </c>
      <c r="BS19" t="b">
        <v>0</v>
      </c>
      <c r="BT19" t="n">
        <v/>
      </c>
      <c r="BU19" t="n">
        <v>1</v>
      </c>
      <c r="BV19" t="n">
        <v>0</v>
      </c>
    </row>
    <row r="20">
      <c r="A20" t="n">
        <v>190227</v>
      </c>
      <c r="B20" t="inlineStr">
        <is>
          <t>خالی بودن کمبو در گزارش تفضیلی در تمام مراجع همراه وثایق</t>
        </is>
      </c>
      <c r="C20" t="inlineStr">
        <is>
          <t>تکمیل توضیحات: خالی بودن کمبو در گزارش تفضیلی در تمام مراجع همراه...</t>
        </is>
      </c>
      <c r="D20" t="inlineStr">
        <is>
          <t>Medium</t>
        </is>
      </c>
      <c r="E20" t="inlineStr">
        <is>
          <t>P3</t>
        </is>
      </c>
      <c r="F20" t="inlineStr">
        <is>
          <t>Done</t>
        </is>
      </c>
      <c r="G20" t="inlineStr">
        <is>
          <t>Data</t>
        </is>
      </c>
      <c r="H20" t="b">
        <v>0</v>
      </c>
      <c r="I20" t="b">
        <v>1</v>
      </c>
      <c r="J20" t="inlineStr">
        <is>
          <t>PRJ-001</t>
        </is>
      </c>
      <c r="K20" t="inlineStr">
        <is>
          <t>Dem System</t>
        </is>
      </c>
      <c r="L20" t="inlineStr">
        <is>
          <t>Team Delta</t>
        </is>
      </c>
      <c r="M20" t="inlineStr">
        <is>
          <t>T04</t>
        </is>
      </c>
      <c r="N20" t="inlineStr">
        <is>
          <t>M09</t>
        </is>
      </c>
      <c r="O20" t="inlineStr">
        <is>
          <t>Dem\DemBiz\SP_88</t>
        </is>
      </c>
      <c r="P20" t="inlineStr">
        <is>
          <t>Sprint 25</t>
        </is>
      </c>
      <c r="Q20" t="inlineStr">
        <is>
          <t>S25</t>
        </is>
      </c>
      <c r="R20" t="inlineStr">
        <is>
          <t>Data;Medium</t>
        </is>
      </c>
      <c r="S20" t="n">
        <v/>
      </c>
      <c r="T20" t="inlineStr">
        <is>
          <t>کامنت 4 مورد</t>
        </is>
      </c>
      <c r="U20" t="inlineStr">
        <is>
          <t>Mohammad Safari</t>
        </is>
      </c>
      <c r="V20" t="inlineStr">
        <is>
          <t>U093</t>
        </is>
      </c>
      <c r="W20" t="inlineStr">
        <is>
          <t>Mohammad Safari</t>
        </is>
      </c>
      <c r="X20" t="inlineStr">
        <is>
          <t>U093</t>
        </is>
      </c>
      <c r="Y20" t="inlineStr">
        <is>
          <t>Ali Rezaei</t>
        </is>
      </c>
      <c r="Z20" t="inlineStr">
        <is>
          <t>U374</t>
        </is>
      </c>
      <c r="AA20" t="inlineStr">
        <is>
          <t>Reza Mohammadi</t>
        </is>
      </c>
      <c r="AB20" t="inlineStr">
        <is>
          <t>U493</t>
        </is>
      </c>
      <c r="AC20" t="inlineStr">
        <is>
          <t>2024-02-05</t>
        </is>
      </c>
      <c r="AD20" t="inlineStr">
        <is>
          <t>2024-02-05 16:00:00</t>
        </is>
      </c>
      <c r="AE20" t="inlineStr">
        <is>
          <t>2024-02-06 16:00:00</t>
        </is>
      </c>
      <c r="AF20" t="inlineStr">
        <is>
          <t>2024-02-09 14:00:00</t>
        </is>
      </c>
      <c r="AG20" t="inlineStr">
        <is>
          <t>2024-02-09 14:00:00</t>
        </is>
      </c>
      <c r="AH20" t="inlineStr">
        <is>
          <t>2024-02-11 07:00:00</t>
        </is>
      </c>
      <c r="AI20" t="inlineStr">
        <is>
          <t>2024-02-13 00:00:00</t>
        </is>
      </c>
      <c r="AJ20" t="inlineStr">
        <is>
          <t>2024-02-13 15:00:00</t>
        </is>
      </c>
      <c r="AK20" t="inlineStr">
        <is>
          <t>2024-02-13 15:00:00</t>
        </is>
      </c>
      <c r="AL20" t="n">
        <v/>
      </c>
      <c r="AM20" t="inlineStr">
        <is>
          <t>2024-02-13 15:00:00</t>
        </is>
      </c>
      <c r="AN20" t="inlineStr">
        <is>
          <t>2024-03-20</t>
        </is>
      </c>
      <c r="AO20" t="n">
        <v>0</v>
      </c>
      <c r="AP20" t="n">
        <v/>
      </c>
      <c r="AQ20" t="n">
        <v/>
      </c>
      <c r="AR20" t="inlineStr">
        <is>
          <t>Resolved</t>
        </is>
      </c>
      <c r="AS20" t="n">
        <v>9</v>
      </c>
      <c r="AT20" t="n">
        <v>24</v>
      </c>
      <c r="AU20" t="n">
        <v>70</v>
      </c>
      <c r="AV20" t="n">
        <v>41</v>
      </c>
      <c r="AW20" t="n">
        <v>41</v>
      </c>
      <c r="AX20" t="inlineStr">
        <is>
          <t>[{"state": "Open", "timestamp": "2024-02-05T00:00:00"}, {"state": "Triage", "timestamp": "2024-02-05T16:00:00"}]</t>
        </is>
      </c>
      <c r="AY20" t="n">
        <v>0</v>
      </c>
      <c r="AZ20" t="n">
        <v>9</v>
      </c>
      <c r="BA20" t="n">
        <v>1</v>
      </c>
      <c r="BB20" t="n">
        <v>1.177173275408062</v>
      </c>
      <c r="BC20" t="n">
        <v>35.21754980519026</v>
      </c>
      <c r="BD20" t="n">
        <v>18.85856377114224</v>
      </c>
      <c r="BE20" t="n">
        <v>15.43258822711813</v>
      </c>
      <c r="BF20" t="n">
        <v>0</v>
      </c>
      <c r="BG20" t="n">
        <v>70.6858750788587</v>
      </c>
      <c r="BH20" t="n">
        <v>53.79686244211902</v>
      </c>
      <c r="BI20" t="n">
        <v/>
      </c>
      <c r="BJ20" t="n">
        <v/>
      </c>
      <c r="BK20" t="n">
        <v>40</v>
      </c>
      <c r="BL20" t="n">
        <v>135</v>
      </c>
      <c r="BM20" t="n">
        <v>41</v>
      </c>
      <c r="BN20" t="n">
        <v>689.7707912686227</v>
      </c>
      <c r="BO20" t="inlineStr">
        <is>
          <t>Coding</t>
        </is>
      </c>
      <c r="BP20" t="inlineStr">
        <is>
          <t>Won't Fix</t>
        </is>
      </c>
      <c r="BQ20" t="n">
        <v/>
      </c>
      <c r="BR20" t="inlineStr">
        <is>
          <t>TC-6635</t>
        </is>
      </c>
      <c r="BS20" t="b">
        <v>0</v>
      </c>
      <c r="BT20" t="n">
        <v/>
      </c>
      <c r="BU20" t="n">
        <v>3</v>
      </c>
      <c r="BV20" t="n">
        <v>0</v>
      </c>
    </row>
    <row r="21">
      <c r="A21" t="n">
        <v>190229</v>
      </c>
      <c r="B21" t="inlineStr">
        <is>
          <t>خالی بودن کمبو در گزارش درخواست های وارده به اداره کل اعتبارات</t>
        </is>
      </c>
      <c r="C21" t="inlineStr">
        <is>
          <t>تکمیل توضیحات: خالی بودن کمبو در گزارش درخواست های وارده به اداره...</t>
        </is>
      </c>
      <c r="D21" t="inlineStr">
        <is>
          <t>High</t>
        </is>
      </c>
      <c r="E21" t="inlineStr">
        <is>
          <t>P2</t>
        </is>
      </c>
      <c r="F21" t="inlineStr">
        <is>
          <t>Closed</t>
        </is>
      </c>
      <c r="G21" t="inlineStr">
        <is>
          <t>Integration</t>
        </is>
      </c>
      <c r="H21" t="b">
        <v>0</v>
      </c>
      <c r="I21" t="b">
        <v>0</v>
      </c>
      <c r="J21" t="inlineStr">
        <is>
          <t>PRJ-001</t>
        </is>
      </c>
      <c r="K21" t="inlineStr">
        <is>
          <t>Dem System</t>
        </is>
      </c>
      <c r="L21" t="inlineStr">
        <is>
          <t>Team Alpha</t>
        </is>
      </c>
      <c r="M21" t="inlineStr">
        <is>
          <t>T01</t>
        </is>
      </c>
      <c r="N21" t="inlineStr">
        <is>
          <t>M09</t>
        </is>
      </c>
      <c r="O21" t="inlineStr">
        <is>
          <t>Dem\DemBiz\SP_88</t>
        </is>
      </c>
      <c r="P21" t="inlineStr">
        <is>
          <t>Sprint 25</t>
        </is>
      </c>
      <c r="Q21" t="inlineStr">
        <is>
          <t>S25</t>
        </is>
      </c>
      <c r="R21" t="inlineStr">
        <is>
          <t>Integration;High</t>
        </is>
      </c>
      <c r="S21" t="inlineStr">
        <is>
          <t>EXT-190229</t>
        </is>
      </c>
      <c r="T21" t="inlineStr">
        <is>
          <t>کامنت 1 مورد</t>
        </is>
      </c>
      <c r="U21" t="inlineStr">
        <is>
          <t>Reza Mohammadi</t>
        </is>
      </c>
      <c r="V21" t="inlineStr">
        <is>
          <t>U493</t>
        </is>
      </c>
      <c r="W21" t="inlineStr">
        <is>
          <t>Ali Rezaei</t>
        </is>
      </c>
      <c r="X21" t="inlineStr">
        <is>
          <t>U374</t>
        </is>
      </c>
      <c r="Y21" t="inlineStr">
        <is>
          <t>Zahra Ebrahimi</t>
        </is>
      </c>
      <c r="Z21" t="inlineStr">
        <is>
          <t>U002</t>
        </is>
      </c>
      <c r="AA21" t="inlineStr">
        <is>
          <t>Zahra Ebrahimi</t>
        </is>
      </c>
      <c r="AB21" t="inlineStr">
        <is>
          <t>U002</t>
        </is>
      </c>
      <c r="AC21" t="inlineStr">
        <is>
          <t>2024-04-12</t>
        </is>
      </c>
      <c r="AD21" t="inlineStr">
        <is>
          <t>2024-04-13 00:00:00</t>
        </is>
      </c>
      <c r="AE21" t="inlineStr">
        <is>
          <t>2024-04-13 08:00:00</t>
        </is>
      </c>
      <c r="AF21" t="inlineStr">
        <is>
          <t>2024-04-14 03:00:00</t>
        </is>
      </c>
      <c r="AG21" t="inlineStr">
        <is>
          <t>2024-04-14 03:00:00</t>
        </is>
      </c>
      <c r="AH21" t="inlineStr">
        <is>
          <t>2024-04-17 04:00:00</t>
        </is>
      </c>
      <c r="AI21" t="inlineStr">
        <is>
          <t>2024-04-18 15:00:00</t>
        </is>
      </c>
      <c r="AJ21" t="inlineStr">
        <is>
          <t>2024-04-18 19:00:00</t>
        </is>
      </c>
      <c r="AK21" t="inlineStr">
        <is>
          <t>2024-04-18 20:00:00</t>
        </is>
      </c>
      <c r="AL21" t="inlineStr">
        <is>
          <t>2024-04-19 04:00:00</t>
        </is>
      </c>
      <c r="AM21" t="inlineStr">
        <is>
          <t>2024-04-19 04:00:00</t>
        </is>
      </c>
      <c r="AN21" t="inlineStr">
        <is>
          <t>2024-04-28</t>
        </is>
      </c>
      <c r="AO21" t="n">
        <v>1</v>
      </c>
      <c r="AP21" t="inlineStr">
        <is>
          <t>2024-04-26 04:00:00</t>
        </is>
      </c>
      <c r="AQ21" t="inlineStr">
        <is>
          <t>2024-04-26 04:00:00</t>
        </is>
      </c>
      <c r="AR21" t="inlineStr">
        <is>
          <t>Done</t>
        </is>
      </c>
      <c r="AS21" t="n">
        <v>9</v>
      </c>
      <c r="AT21" t="n">
        <v>8</v>
      </c>
      <c r="AU21" t="n">
        <v>19</v>
      </c>
      <c r="AV21" t="n">
        <v>73</v>
      </c>
      <c r="AW21" t="n">
        <v>35</v>
      </c>
      <c r="AX21" t="inlineStr">
        <is>
          <t>[{"state": "Open", "timestamp": "2024-04-12T00:00:00"}, {"state": "Triage", "timestamp": "2024-04-13T00:00:00"}]</t>
        </is>
      </c>
      <c r="AY21" t="n">
        <v>3</v>
      </c>
      <c r="AZ21" t="n">
        <v>9</v>
      </c>
      <c r="BA21" t="n">
        <v>2</v>
      </c>
      <c r="BB21" t="n">
        <v>6.764768716919285</v>
      </c>
      <c r="BC21" t="n">
        <v>29.88997609241397</v>
      </c>
      <c r="BD21" t="n">
        <v>8.029001437115099</v>
      </c>
      <c r="BE21" t="n">
        <v>6.623058692855561</v>
      </c>
      <c r="BF21" t="n">
        <v>5.899176868546331</v>
      </c>
      <c r="BG21" t="n">
        <v>57.20598180785025</v>
      </c>
      <c r="BH21" t="n">
        <v>45.2908615467007</v>
      </c>
      <c r="BI21" t="n">
        <v>172</v>
      </c>
      <c r="BJ21" t="n">
        <v>121</v>
      </c>
      <c r="BK21" t="n">
        <v>32</v>
      </c>
      <c r="BL21" t="n">
        <v>62</v>
      </c>
      <c r="BM21" t="n">
        <v>73</v>
      </c>
      <c r="BN21" t="n">
        <v>622.7707912687384</v>
      </c>
      <c r="BO21" t="inlineStr">
        <is>
          <t>Data</t>
        </is>
      </c>
      <c r="BP21" t="inlineStr">
        <is>
          <t>Fixed</t>
        </is>
      </c>
      <c r="BQ21" t="inlineStr">
        <is>
          <t>Completed</t>
        </is>
      </c>
      <c r="BR21" t="n">
        <v/>
      </c>
      <c r="BS21" t="b">
        <v>0</v>
      </c>
      <c r="BT21" t="n">
        <v/>
      </c>
      <c r="BU21" t="n">
        <v>3</v>
      </c>
      <c r="BV21" t="n">
        <v>2</v>
      </c>
    </row>
    <row r="22">
      <c r="A22" t="n">
        <v>190238</v>
      </c>
      <c r="B22" t="inlineStr">
        <is>
          <t>خالی بودن کمبو واحد کارشناسی در گزارش گزارش محرک های هزینه یابی</t>
        </is>
      </c>
      <c r="C22" t="inlineStr">
        <is>
          <t>تکمیل توضیحات: خالی بودن کمبو واحد کارشناسی در گزارش گزارش محرک ه...</t>
        </is>
      </c>
      <c r="D22" t="inlineStr">
        <is>
          <t>Medium</t>
        </is>
      </c>
      <c r="E22" t="inlineStr">
        <is>
          <t>P3</t>
        </is>
      </c>
      <c r="F22" t="inlineStr">
        <is>
          <t>Done</t>
        </is>
      </c>
      <c r="G22" t="inlineStr">
        <is>
          <t>UI</t>
        </is>
      </c>
      <c r="H22" t="b">
        <v>0</v>
      </c>
      <c r="I22" t="b">
        <v>0</v>
      </c>
      <c r="J22" t="inlineStr">
        <is>
          <t>PRJ-001</t>
        </is>
      </c>
      <c r="K22" t="inlineStr">
        <is>
          <t>Dem System</t>
        </is>
      </c>
      <c r="L22" t="inlineStr">
        <is>
          <t>Team Beta</t>
        </is>
      </c>
      <c r="M22" t="inlineStr">
        <is>
          <t>T02</t>
        </is>
      </c>
      <c r="N22" t="inlineStr">
        <is>
          <t>M09</t>
        </is>
      </c>
      <c r="O22" t="inlineStr">
        <is>
          <t>Dem\DemBiz\SP_88</t>
        </is>
      </c>
      <c r="P22" t="inlineStr">
        <is>
          <t>Sprint 23</t>
        </is>
      </c>
      <c r="Q22" t="inlineStr">
        <is>
          <t>S23</t>
        </is>
      </c>
      <c r="R22" t="inlineStr">
        <is>
          <t>UI;Medium</t>
        </is>
      </c>
      <c r="S22" t="n">
        <v/>
      </c>
      <c r="T22" t="inlineStr">
        <is>
          <t>کامنت 4 مورد</t>
        </is>
      </c>
      <c r="U22" t="inlineStr">
        <is>
          <t>Zahra Ebrahimi</t>
        </is>
      </c>
      <c r="V22" t="inlineStr">
        <is>
          <t>U002</t>
        </is>
      </c>
      <c r="W22" t="inlineStr">
        <is>
          <t>Zahra Ebrahimi</t>
        </is>
      </c>
      <c r="X22" t="inlineStr">
        <is>
          <t>U002</t>
        </is>
      </c>
      <c r="Y22" t="inlineStr">
        <is>
          <t>Hassan Karimi</t>
        </is>
      </c>
      <c r="Z22" t="inlineStr">
        <is>
          <t>U829</t>
        </is>
      </c>
      <c r="AA22" t="inlineStr">
        <is>
          <t>Sara Ahmadi</t>
        </is>
      </c>
      <c r="AB22" t="inlineStr">
        <is>
          <t>U091</t>
        </is>
      </c>
      <c r="AC22" t="inlineStr">
        <is>
          <t>2024-06-01</t>
        </is>
      </c>
      <c r="AD22" t="inlineStr">
        <is>
          <t>2024-06-01 05:00:00</t>
        </is>
      </c>
      <c r="AE22" t="inlineStr">
        <is>
          <t>2024-06-01 18:00:00</t>
        </is>
      </c>
      <c r="AF22" t="inlineStr">
        <is>
          <t>2024-06-03 20:00:00</t>
        </is>
      </c>
      <c r="AG22" t="inlineStr">
        <is>
          <t>2024-06-03 20:00:00</t>
        </is>
      </c>
      <c r="AH22" t="inlineStr">
        <is>
          <t>2024-06-07 08:00:00</t>
        </is>
      </c>
      <c r="AI22" t="inlineStr">
        <is>
          <t>2024-06-08 17:00:00</t>
        </is>
      </c>
      <c r="AJ22" t="inlineStr">
        <is>
          <t>2024-06-09 11:00:00</t>
        </is>
      </c>
      <c r="AK22" t="inlineStr">
        <is>
          <t>2024-06-09 11:00:00</t>
        </is>
      </c>
      <c r="AL22" t="n">
        <v/>
      </c>
      <c r="AM22" t="inlineStr">
        <is>
          <t>2024-06-09 11:00:00</t>
        </is>
      </c>
      <c r="AN22" t="inlineStr">
        <is>
          <t>2024-06-24</t>
        </is>
      </c>
      <c r="AO22" t="n">
        <v>0</v>
      </c>
      <c r="AP22" t="n">
        <v/>
      </c>
      <c r="AQ22" t="n">
        <v/>
      </c>
      <c r="AR22" t="inlineStr">
        <is>
          <t>Resolved</t>
        </is>
      </c>
      <c r="AS22" t="n">
        <v>7</v>
      </c>
      <c r="AT22" t="n">
        <v>13</v>
      </c>
      <c r="AU22" t="n">
        <v>50</v>
      </c>
      <c r="AV22" t="n">
        <v>84</v>
      </c>
      <c r="AW22" t="n">
        <v>33</v>
      </c>
      <c r="AX22" t="inlineStr">
        <is>
          <t>[{"state": "Open", "timestamp": "2024-06-01T00:00:00"}, {"state": "Triage", "timestamp": "2024-06-01T05:00:00"}]</t>
        </is>
      </c>
      <c r="AY22" t="n">
        <v>1</v>
      </c>
      <c r="AZ22" t="n">
        <v>8</v>
      </c>
      <c r="BA22" t="n">
        <v>1</v>
      </c>
      <c r="BB22" t="n">
        <v>2.905850487288019</v>
      </c>
      <c r="BC22" t="n">
        <v>28.18361389881545</v>
      </c>
      <c r="BD22" t="n">
        <v>19.24321599456633</v>
      </c>
      <c r="BE22" t="n">
        <v>5.285681294227911</v>
      </c>
      <c r="BF22" t="n">
        <v>0</v>
      </c>
      <c r="BG22" t="n">
        <v>55.61836167489771</v>
      </c>
      <c r="BH22" t="n">
        <v>47.1407127088439</v>
      </c>
      <c r="BI22" t="n">
        <v/>
      </c>
      <c r="BJ22" t="n">
        <v/>
      </c>
      <c r="BK22" t="n">
        <v>18</v>
      </c>
      <c r="BL22" t="n">
        <v>96</v>
      </c>
      <c r="BM22" t="n">
        <v>84</v>
      </c>
      <c r="BN22" t="n">
        <v>572.7707912688426</v>
      </c>
      <c r="BO22" t="inlineStr">
        <is>
          <t>Testing</t>
        </is>
      </c>
      <c r="BP22" t="inlineStr">
        <is>
          <t>Fixed</t>
        </is>
      </c>
      <c r="BQ22" t="n">
        <v/>
      </c>
      <c r="BR22" t="n">
        <v/>
      </c>
      <c r="BS22" t="b">
        <v>0</v>
      </c>
      <c r="BT22" t="n">
        <v/>
      </c>
      <c r="BU22" t="n">
        <v>1</v>
      </c>
      <c r="BV22" t="n">
        <v>1</v>
      </c>
    </row>
    <row r="23">
      <c r="A23" t="n">
        <v>190240</v>
      </c>
      <c r="B23" t="inlineStr">
        <is>
          <t>خالی بودن کمبو ر گزارش آمار مصوبات صادره</t>
        </is>
      </c>
      <c r="C23" t="inlineStr">
        <is>
          <t>تکمیل توضیحات: خالی بودن کمبو ر گزارش آمار مصوبات صادره...</t>
        </is>
      </c>
      <c r="D23" t="inlineStr">
        <is>
          <t>High</t>
        </is>
      </c>
      <c r="E23" t="inlineStr">
        <is>
          <t>P3</t>
        </is>
      </c>
      <c r="F23" t="inlineStr">
        <is>
          <t>Done</t>
        </is>
      </c>
      <c r="G23" t="inlineStr">
        <is>
          <t>Security</t>
        </is>
      </c>
      <c r="H23" t="b">
        <v>0</v>
      </c>
      <c r="I23" t="b">
        <v>0</v>
      </c>
      <c r="J23" t="inlineStr">
        <is>
          <t>PRJ-001</t>
        </is>
      </c>
      <c r="K23" t="inlineStr">
        <is>
          <t>Dem System</t>
        </is>
      </c>
      <c r="L23" t="inlineStr">
        <is>
          <t>Team Alpha</t>
        </is>
      </c>
      <c r="M23" t="inlineStr">
        <is>
          <t>T01</t>
        </is>
      </c>
      <c r="N23" t="inlineStr">
        <is>
          <t>M09</t>
        </is>
      </c>
      <c r="O23" t="inlineStr">
        <is>
          <t>Dem\DemBiz\SP_88</t>
        </is>
      </c>
      <c r="P23" t="inlineStr">
        <is>
          <t>Sprint 27</t>
        </is>
      </c>
      <c r="Q23" t="inlineStr">
        <is>
          <t>S27</t>
        </is>
      </c>
      <c r="R23" t="inlineStr">
        <is>
          <t>Security;High</t>
        </is>
      </c>
      <c r="S23" t="n">
        <v/>
      </c>
      <c r="T23" t="inlineStr">
        <is>
          <t>کامنت 0 مورد</t>
        </is>
      </c>
      <c r="U23" t="inlineStr">
        <is>
          <t>Mohammad Safari</t>
        </is>
      </c>
      <c r="V23" t="inlineStr">
        <is>
          <t>U093</t>
        </is>
      </c>
      <c r="W23" t="inlineStr">
        <is>
          <t>Mina Hosseini</t>
        </is>
      </c>
      <c r="X23" t="inlineStr">
        <is>
          <t>U860</t>
        </is>
      </c>
      <c r="Y23" t="inlineStr">
        <is>
          <t>Hassan Karimi</t>
        </is>
      </c>
      <c r="Z23" t="inlineStr">
        <is>
          <t>U829</t>
        </is>
      </c>
      <c r="AA23" t="inlineStr">
        <is>
          <t>Mina Hosseini</t>
        </is>
      </c>
      <c r="AB23" t="inlineStr">
        <is>
          <t>U860</t>
        </is>
      </c>
      <c r="AC23" t="inlineStr">
        <is>
          <t>2024-05-21</t>
        </is>
      </c>
      <c r="AD23" t="inlineStr">
        <is>
          <t>2024-05-21 01:00:00</t>
        </is>
      </c>
      <c r="AE23" t="inlineStr">
        <is>
          <t>2024-05-21 23:00:00</t>
        </is>
      </c>
      <c r="AF23" t="inlineStr">
        <is>
          <t>2024-05-22 15:00:00</t>
        </is>
      </c>
      <c r="AG23" t="inlineStr">
        <is>
          <t>2024-05-22 15:00:00</t>
        </is>
      </c>
      <c r="AH23" t="inlineStr">
        <is>
          <t>2024-05-26 14:00:00</t>
        </is>
      </c>
      <c r="AI23" t="inlineStr">
        <is>
          <t>2024-05-28 04:00:00</t>
        </is>
      </c>
      <c r="AJ23" t="inlineStr">
        <is>
          <t>2024-05-28 14:00:00</t>
        </is>
      </c>
      <c r="AK23" t="inlineStr">
        <is>
          <t>2024-05-28 14:00:00</t>
        </is>
      </c>
      <c r="AL23" t="n">
        <v/>
      </c>
      <c r="AM23" t="inlineStr">
        <is>
          <t>2024-05-28 14:00:00</t>
        </is>
      </c>
      <c r="AN23" t="inlineStr">
        <is>
          <t>2024-07-16</t>
        </is>
      </c>
      <c r="AO23" t="n">
        <v>0</v>
      </c>
      <c r="AP23" t="n">
        <v/>
      </c>
      <c r="AQ23" t="n">
        <v/>
      </c>
      <c r="AR23" t="inlineStr">
        <is>
          <t>Resolved</t>
        </is>
      </c>
      <c r="AS23" t="n">
        <v>6</v>
      </c>
      <c r="AT23" t="n">
        <v>22</v>
      </c>
      <c r="AU23" t="n">
        <v>16</v>
      </c>
      <c r="AV23" t="n">
        <v>95</v>
      </c>
      <c r="AW23" t="n">
        <v>38</v>
      </c>
      <c r="AX23" t="inlineStr">
        <is>
          <t>[{"state": "Open", "timestamp": "2024-05-21T00:00:00"}, {"state": "Triage", "timestamp": "2024-05-21T01:00:00"}]</t>
        </is>
      </c>
      <c r="AY23" t="n">
        <v>4</v>
      </c>
      <c r="AZ23" t="n">
        <v>8</v>
      </c>
      <c r="BA23" t="n">
        <v>1</v>
      </c>
      <c r="BB23" t="n">
        <v>1.898888827998907</v>
      </c>
      <c r="BC23" t="n">
        <v>28.39687927549726</v>
      </c>
      <c r="BD23" t="n">
        <v>18.15433751814324</v>
      </c>
      <c r="BE23" t="n">
        <v>14.0289869228419</v>
      </c>
      <c r="BF23" t="n">
        <v>0</v>
      </c>
      <c r="BG23" t="n">
        <v>62.47909254448131</v>
      </c>
      <c r="BH23" t="n">
        <v>49.7589006151718</v>
      </c>
      <c r="BI23" t="n">
        <v/>
      </c>
      <c r="BJ23" t="n">
        <v/>
      </c>
      <c r="BK23" t="n">
        <v>23</v>
      </c>
      <c r="BL23" t="n">
        <v>76</v>
      </c>
      <c r="BM23" t="n">
        <v>95</v>
      </c>
      <c r="BN23" t="n">
        <v>583.7707912689584</v>
      </c>
      <c r="BO23" t="inlineStr">
        <is>
          <t>Design</t>
        </is>
      </c>
      <c r="BP23" t="inlineStr">
        <is>
          <t>By Design</t>
        </is>
      </c>
      <c r="BQ23" t="n">
        <v/>
      </c>
      <c r="BR23" t="n">
        <v/>
      </c>
      <c r="BS23" t="b">
        <v>0</v>
      </c>
      <c r="BT23" t="n">
        <v/>
      </c>
      <c r="BU23" t="n">
        <v>3</v>
      </c>
      <c r="BV23" t="n">
        <v>0</v>
      </c>
    </row>
    <row r="24">
      <c r="A24" t="n">
        <v>190241</v>
      </c>
      <c r="B24" t="inlineStr">
        <is>
          <t>خالی بودن کمبو واحد کارشناسی در گزارش آمارتعداد پیشنهادات و مصوبات صادره</t>
        </is>
      </c>
      <c r="C24" t="inlineStr">
        <is>
          <t>تکمیل توضیحات: خالی بودن کمبو واحد کارشناسی در گزارش آمارتعداد پی...</t>
        </is>
      </c>
      <c r="D24" t="inlineStr">
        <is>
          <t>High</t>
        </is>
      </c>
      <c r="E24" t="inlineStr">
        <is>
          <t>P2</t>
        </is>
      </c>
      <c r="F24" t="inlineStr">
        <is>
          <t>Triage</t>
        </is>
      </c>
      <c r="G24" t="inlineStr">
        <is>
          <t>Data</t>
        </is>
      </c>
      <c r="H24" t="b">
        <v>0</v>
      </c>
      <c r="I24" t="b">
        <v>0</v>
      </c>
      <c r="J24" t="inlineStr">
        <is>
          <t>PRJ-001</t>
        </is>
      </c>
      <c r="K24" t="inlineStr">
        <is>
          <t>Dem System</t>
        </is>
      </c>
      <c r="L24" t="inlineStr">
        <is>
          <t>Team Delta</t>
        </is>
      </c>
      <c r="M24" t="inlineStr">
        <is>
          <t>T04</t>
        </is>
      </c>
      <c r="N24" t="inlineStr">
        <is>
          <t>M09</t>
        </is>
      </c>
      <c r="O24" t="inlineStr">
        <is>
          <t>Dem\DemBiz\SP_88</t>
        </is>
      </c>
      <c r="P24" t="inlineStr">
        <is>
          <t>Sprint 26</t>
        </is>
      </c>
      <c r="Q24" t="inlineStr">
        <is>
          <t>S26</t>
        </is>
      </c>
      <c r="R24" t="inlineStr">
        <is>
          <t>Data;High</t>
        </is>
      </c>
      <c r="S24" t="n">
        <v/>
      </c>
      <c r="T24" t="inlineStr">
        <is>
          <t>کامنت 5 مورد</t>
        </is>
      </c>
      <c r="U24" t="inlineStr">
        <is>
          <t>Ali Rezaei</t>
        </is>
      </c>
      <c r="V24" t="inlineStr">
        <is>
          <t>U374</t>
        </is>
      </c>
      <c r="W24" t="inlineStr">
        <is>
          <t>Zahra Ebrahimi</t>
        </is>
      </c>
      <c r="X24" t="inlineStr">
        <is>
          <t>U002</t>
        </is>
      </c>
      <c r="Y24" t="n">
        <v/>
      </c>
      <c r="Z24" t="n">
        <v/>
      </c>
      <c r="AA24" t="n">
        <v/>
      </c>
      <c r="AB24" t="n">
        <v/>
      </c>
      <c r="AC24" t="inlineStr">
        <is>
          <t>2024-06-13</t>
        </is>
      </c>
      <c r="AD24" t="inlineStr">
        <is>
          <t>2024-06-13 22:00:00</t>
        </is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inlineStr">
        <is>
          <t>2024-06-13 22:00:00</t>
        </is>
      </c>
      <c r="AN24" t="inlineStr">
        <is>
          <t>2024-06-27</t>
        </is>
      </c>
      <c r="AO24" t="n">
        <v>0</v>
      </c>
      <c r="AP24" t="n">
        <v/>
      </c>
      <c r="AQ24" t="n">
        <v/>
      </c>
      <c r="AR24" t="inlineStr">
        <is>
          <t>Open</t>
        </is>
      </c>
      <c r="AS24" t="n">
        <v>2</v>
      </c>
      <c r="AT24" t="n">
        <v/>
      </c>
      <c r="AU24" t="n">
        <v/>
      </c>
      <c r="AV24" t="n">
        <v/>
      </c>
      <c r="AW24" t="n">
        <v/>
      </c>
      <c r="AX24" t="inlineStr">
        <is>
          <t>[{"state": "Open", "timestamp": "2024-06-13T00:00:00"}, {"state": "Triage", "timestamp": "2024-06-13T22:00:00"}]</t>
        </is>
      </c>
      <c r="AY24" t="n">
        <v>3</v>
      </c>
      <c r="AZ24" t="n">
        <v>4</v>
      </c>
      <c r="BA24" t="n">
        <v>1</v>
      </c>
      <c r="BB24" t="n">
        <v>0.8058135616607294</v>
      </c>
      <c r="BC24" t="n">
        <v>15.02015489757045</v>
      </c>
      <c r="BD24" t="n">
        <v>4.317927128391281</v>
      </c>
      <c r="BE24" t="n">
        <v>4.35393757779179</v>
      </c>
      <c r="BF24" t="n">
        <v>0</v>
      </c>
      <c r="BG24" t="n">
        <v>24.49783316541425</v>
      </c>
      <c r="BH24" t="n">
        <v>19.890775913416</v>
      </c>
      <c r="BI24" t="n">
        <v/>
      </c>
      <c r="BJ24" t="n">
        <v/>
      </c>
      <c r="BK24" t="n">
        <v/>
      </c>
      <c r="BL24" t="n">
        <v>0</v>
      </c>
      <c r="BM24" t="n">
        <v>0</v>
      </c>
      <c r="BN24" t="n">
        <v>560.770791269074</v>
      </c>
      <c r="BO24" t="n">
        <v/>
      </c>
      <c r="BP24" t="n">
        <v/>
      </c>
      <c r="BQ24" t="n">
        <v/>
      </c>
      <c r="BR24" t="inlineStr">
        <is>
          <t>TC-7201</t>
        </is>
      </c>
      <c r="BS24" t="b">
        <v>0</v>
      </c>
      <c r="BT24" t="n">
        <v/>
      </c>
      <c r="BU24" t="n">
        <v>0</v>
      </c>
      <c r="BV24" t="n">
        <v>0</v>
      </c>
    </row>
    <row r="25">
      <c r="A25" t="n">
        <v>190242</v>
      </c>
      <c r="B25" t="inlineStr">
        <is>
          <t>خالی بودن کمبو در گزارش آماری تسهیلات به تفکیک نوع عقود</t>
        </is>
      </c>
      <c r="C25" t="inlineStr">
        <is>
          <t>تکمیل توضیحات: خالی بودن کمبو در گزارش آماری تسهیلات به تفکیک نوع...</t>
        </is>
      </c>
      <c r="D25" t="inlineStr">
        <is>
          <t>Medium</t>
        </is>
      </c>
      <c r="E25" t="inlineStr">
        <is>
          <t>P1</t>
        </is>
      </c>
      <c r="F25" t="inlineStr">
        <is>
          <t>In Progress</t>
        </is>
      </c>
      <c r="G25" t="inlineStr">
        <is>
          <t>UI</t>
        </is>
      </c>
      <c r="H25" t="b">
        <v>0</v>
      </c>
      <c r="I25" t="b">
        <v>0</v>
      </c>
      <c r="J25" t="inlineStr">
        <is>
          <t>PRJ-001</t>
        </is>
      </c>
      <c r="K25" t="inlineStr">
        <is>
          <t>Dem System</t>
        </is>
      </c>
      <c r="L25" t="inlineStr">
        <is>
          <t>Team Delta</t>
        </is>
      </c>
      <c r="M25" t="inlineStr">
        <is>
          <t>T04</t>
        </is>
      </c>
      <c r="N25" t="inlineStr">
        <is>
          <t>M09</t>
        </is>
      </c>
      <c r="O25" t="inlineStr">
        <is>
          <t>Dem\DemBiz\SP_88</t>
        </is>
      </c>
      <c r="P25" t="inlineStr">
        <is>
          <t>Sprint 24</t>
        </is>
      </c>
      <c r="Q25" t="inlineStr">
        <is>
          <t>S24</t>
        </is>
      </c>
      <c r="R25" t="inlineStr">
        <is>
          <t>UI;Medium</t>
        </is>
      </c>
      <c r="S25" t="inlineStr">
        <is>
          <t>EXT-190242</t>
        </is>
      </c>
      <c r="T25" t="inlineStr">
        <is>
          <t>کامنت 2 مورد</t>
        </is>
      </c>
      <c r="U25" t="inlineStr">
        <is>
          <t>Hassan Karimi</t>
        </is>
      </c>
      <c r="V25" t="inlineStr">
        <is>
          <t>U829</t>
        </is>
      </c>
      <c r="W25" t="inlineStr">
        <is>
          <t>Sara Ahmadi</t>
        </is>
      </c>
      <c r="X25" t="inlineStr">
        <is>
          <t>U091</t>
        </is>
      </c>
      <c r="Y25" t="n">
        <v/>
      </c>
      <c r="Z25" t="n">
        <v/>
      </c>
      <c r="AA25" t="n">
        <v/>
      </c>
      <c r="AB25" t="n">
        <v/>
      </c>
      <c r="AC25" t="inlineStr">
        <is>
          <t>2024-03-16</t>
        </is>
      </c>
      <c r="AD25" t="inlineStr">
        <is>
          <t>2024-03-17 04:00:00</t>
        </is>
      </c>
      <c r="AE25" t="inlineStr">
        <is>
          <t>2024-03-17 10:00:00</t>
        </is>
      </c>
      <c r="AF25" t="inlineStr">
        <is>
          <t>2024-03-19 22:00:00</t>
        </is>
      </c>
      <c r="AG25" t="inlineStr">
        <is>
          <t>2024-03-19 22:00:00</t>
        </is>
      </c>
      <c r="AH25" t="n">
        <v/>
      </c>
      <c r="AI25" t="n">
        <v/>
      </c>
      <c r="AJ25" t="n">
        <v/>
      </c>
      <c r="AK25" t="n">
        <v/>
      </c>
      <c r="AL25" t="n">
        <v/>
      </c>
      <c r="AM25" t="inlineStr">
        <is>
          <t>2024-03-19 22:00:00</t>
        </is>
      </c>
      <c r="AN25" t="inlineStr">
        <is>
          <t>2024-03-23</t>
        </is>
      </c>
      <c r="AO25" t="n">
        <v>0</v>
      </c>
      <c r="AP25" t="n">
        <v/>
      </c>
      <c r="AQ25" t="n">
        <v/>
      </c>
      <c r="AR25" t="inlineStr">
        <is>
          <t>Active</t>
        </is>
      </c>
      <c r="AS25" t="n">
        <v>6</v>
      </c>
      <c r="AT25" t="n">
        <v>6</v>
      </c>
      <c r="AU25" t="n">
        <v>60</v>
      </c>
      <c r="AV25" t="n">
        <v/>
      </c>
      <c r="AW25" t="n">
        <v/>
      </c>
      <c r="AX25" t="inlineStr">
        <is>
          <t>[{"state": "Open", "timestamp": "2024-03-16T00:00:00"}, {"state": "Triage", "timestamp": "2024-03-17T04:00:00"}]</t>
        </is>
      </c>
      <c r="AY25" t="n">
        <v>0</v>
      </c>
      <c r="AZ25" t="n">
        <v>7</v>
      </c>
      <c r="BA25" t="n">
        <v>1</v>
      </c>
      <c r="BB25" t="n">
        <v>4.931697073911813</v>
      </c>
      <c r="BC25" t="n">
        <v>12.45008192631524</v>
      </c>
      <c r="BD25" t="n">
        <v>1.852545367065726</v>
      </c>
      <c r="BE25" t="n">
        <v>15.44833809160917</v>
      </c>
      <c r="BF25" t="n">
        <v>0</v>
      </c>
      <c r="BG25" t="n">
        <v>34.68266245890195</v>
      </c>
      <c r="BH25" t="n">
        <v>30.21057942391481</v>
      </c>
      <c r="BI25" t="n">
        <v/>
      </c>
      <c r="BJ25" t="n">
        <v/>
      </c>
      <c r="BK25" t="n">
        <v>34</v>
      </c>
      <c r="BL25" t="n">
        <v>66</v>
      </c>
      <c r="BM25" t="n">
        <v>0</v>
      </c>
      <c r="BN25" t="n">
        <v>649.7707912691783</v>
      </c>
      <c r="BO25" t="n">
        <v/>
      </c>
      <c r="BP25" t="n">
        <v/>
      </c>
      <c r="BQ25" t="n">
        <v/>
      </c>
      <c r="BR25" t="inlineStr">
        <is>
          <t>TC-5803</t>
        </is>
      </c>
      <c r="BS25" t="b">
        <v>0</v>
      </c>
      <c r="BT25" t="n">
        <v/>
      </c>
      <c r="BU25" t="n">
        <v>0</v>
      </c>
      <c r="BV25" t="n">
        <v>0</v>
      </c>
    </row>
    <row r="26">
      <c r="A26" t="n">
        <v>190243</v>
      </c>
      <c r="B26" t="inlineStr">
        <is>
          <t>خالی بودن کمبو در گزارش تعدادپرونده های وارده کارشناسان اداره کل اعتبارات</t>
        </is>
      </c>
      <c r="C26" t="inlineStr">
        <is>
          <t>تکمیل توضیحات: خالی بودن کمبو در گزارش تعدادپرونده های وارده کارش...</t>
        </is>
      </c>
      <c r="D26" t="inlineStr">
        <is>
          <t>Medium</t>
        </is>
      </c>
      <c r="E26" t="inlineStr">
        <is>
          <t>P1</t>
        </is>
      </c>
      <c r="F26" t="inlineStr">
        <is>
          <t>In Progress</t>
        </is>
      </c>
      <c r="G26" t="inlineStr">
        <is>
          <t>Backend</t>
        </is>
      </c>
      <c r="H26" t="b">
        <v>0</v>
      </c>
      <c r="I26" t="b">
        <v>0</v>
      </c>
      <c r="J26" t="inlineStr">
        <is>
          <t>PRJ-001</t>
        </is>
      </c>
      <c r="K26" t="inlineStr">
        <is>
          <t>Dem System</t>
        </is>
      </c>
      <c r="L26" t="inlineStr">
        <is>
          <t>Team Delta</t>
        </is>
      </c>
      <c r="M26" t="inlineStr">
        <is>
          <t>T04</t>
        </is>
      </c>
      <c r="N26" t="inlineStr">
        <is>
          <t>M09</t>
        </is>
      </c>
      <c r="O26" t="inlineStr">
        <is>
          <t>Dem\DemBiz\SP_88</t>
        </is>
      </c>
      <c r="P26" t="inlineStr">
        <is>
          <t>Sprint 23</t>
        </is>
      </c>
      <c r="Q26" t="inlineStr">
        <is>
          <t>S23</t>
        </is>
      </c>
      <c r="R26" t="inlineStr">
        <is>
          <t>Backend;Medium</t>
        </is>
      </c>
      <c r="S26" t="n">
        <v/>
      </c>
      <c r="T26" t="inlineStr">
        <is>
          <t>کامنت 5 مورد</t>
        </is>
      </c>
      <c r="U26" t="inlineStr">
        <is>
          <t>Zahra Ebrahimi</t>
        </is>
      </c>
      <c r="V26" t="inlineStr">
        <is>
          <t>U002</t>
        </is>
      </c>
      <c r="W26" t="inlineStr">
        <is>
          <t>Sara Ahmadi</t>
        </is>
      </c>
      <c r="X26" t="inlineStr">
        <is>
          <t>U091</t>
        </is>
      </c>
      <c r="Y26" t="n">
        <v/>
      </c>
      <c r="Z26" t="n">
        <v/>
      </c>
      <c r="AA26" t="n">
        <v/>
      </c>
      <c r="AB26" t="n">
        <v/>
      </c>
      <c r="AC26" t="inlineStr">
        <is>
          <t>2024-03-08</t>
        </is>
      </c>
      <c r="AD26" t="inlineStr">
        <is>
          <t>2024-03-09 09:00:00</t>
        </is>
      </c>
      <c r="AE26" t="inlineStr">
        <is>
          <t>2024-03-09 15:00:00</t>
        </is>
      </c>
      <c r="AF26" t="inlineStr">
        <is>
          <t>2024-03-12 09:00:00</t>
        </is>
      </c>
      <c r="AG26" t="inlineStr">
        <is>
          <t>2024-03-12 09:00:00</t>
        </is>
      </c>
      <c r="AH26" t="n">
        <v/>
      </c>
      <c r="AI26" t="n">
        <v/>
      </c>
      <c r="AJ26" t="n">
        <v/>
      </c>
      <c r="AK26" t="n">
        <v/>
      </c>
      <c r="AL26" t="n">
        <v/>
      </c>
      <c r="AM26" t="inlineStr">
        <is>
          <t>2024-03-12 09:00:00</t>
        </is>
      </c>
      <c r="AN26" t="inlineStr">
        <is>
          <t>2024-03-21</t>
        </is>
      </c>
      <c r="AO26" t="n">
        <v>0</v>
      </c>
      <c r="AP26" t="n">
        <v/>
      </c>
      <c r="AQ26" t="n">
        <v/>
      </c>
      <c r="AR26" t="inlineStr">
        <is>
          <t>Active</t>
        </is>
      </c>
      <c r="AS26" t="n">
        <v>6</v>
      </c>
      <c r="AT26" t="n">
        <v>6</v>
      </c>
      <c r="AU26" t="n">
        <v>66</v>
      </c>
      <c r="AV26" t="n">
        <v/>
      </c>
      <c r="AW26" t="n">
        <v/>
      </c>
      <c r="AX26" t="inlineStr">
        <is>
          <t>[{"state": "Open", "timestamp": "2024-03-08T00:00:00"}, {"state": "Triage", "timestamp": "2024-03-09T09:00:00"}]</t>
        </is>
      </c>
      <c r="AY26" t="n">
        <v>0</v>
      </c>
      <c r="AZ26" t="n">
        <v>8</v>
      </c>
      <c r="BA26" t="n">
        <v>1</v>
      </c>
      <c r="BB26" t="n">
        <v>5.581732713817118</v>
      </c>
      <c r="BC26" t="n">
        <v>32.56508506366203</v>
      </c>
      <c r="BD26" t="n">
        <v>2.46517102685982</v>
      </c>
      <c r="BE26" t="n">
        <v>1.182317120347245</v>
      </c>
      <c r="BF26" t="n">
        <v>0</v>
      </c>
      <c r="BG26" t="n">
        <v>41.79430592468621</v>
      </c>
      <c r="BH26" t="n">
        <v>33.60363159588738</v>
      </c>
      <c r="BI26" t="n">
        <v/>
      </c>
      <c r="BJ26" t="n">
        <v/>
      </c>
      <c r="BK26" t="n">
        <v>39</v>
      </c>
      <c r="BL26" t="n">
        <v>72</v>
      </c>
      <c r="BM26" t="n">
        <v>0</v>
      </c>
      <c r="BN26" t="n">
        <v>657.7707912692824</v>
      </c>
      <c r="BO26" t="n">
        <v/>
      </c>
      <c r="BP26" t="n">
        <v/>
      </c>
      <c r="BQ26" t="n">
        <v/>
      </c>
      <c r="BR26" t="n">
        <v/>
      </c>
      <c r="BS26" t="b">
        <v>0</v>
      </c>
      <c r="BT26" t="n">
        <v/>
      </c>
      <c r="BU26" t="n">
        <v>0</v>
      </c>
      <c r="BV26" t="n">
        <v>0</v>
      </c>
    </row>
    <row r="27">
      <c r="A27" t="n">
        <v>190244</v>
      </c>
      <c r="B27" t="inlineStr">
        <is>
          <t>وجود ردیف خالی در کمبو نام مشتری در گزارش خلاصه پرونده</t>
        </is>
      </c>
      <c r="C27" t="inlineStr">
        <is>
          <t>تکمیل توضیحات: وجود ردیف خالی در کمبو نام مشتری در گزارش خلاصه پر...</t>
        </is>
      </c>
      <c r="D27" t="inlineStr">
        <is>
          <t>Low</t>
        </is>
      </c>
      <c r="E27" t="inlineStr">
        <is>
          <t>P2</t>
        </is>
      </c>
      <c r="F27" t="inlineStr">
        <is>
          <t>In Progress</t>
        </is>
      </c>
      <c r="G27" t="inlineStr">
        <is>
          <t>Backend</t>
        </is>
      </c>
      <c r="H27" t="b">
        <v>0</v>
      </c>
      <c r="I27" t="b">
        <v>1</v>
      </c>
      <c r="J27" t="inlineStr">
        <is>
          <t>PRJ-001</t>
        </is>
      </c>
      <c r="K27" t="inlineStr">
        <is>
          <t>Dem System</t>
        </is>
      </c>
      <c r="L27" t="inlineStr">
        <is>
          <t>Team Alpha</t>
        </is>
      </c>
      <c r="M27" t="inlineStr">
        <is>
          <t>T01</t>
        </is>
      </c>
      <c r="N27" t="inlineStr">
        <is>
          <t>M09</t>
        </is>
      </c>
      <c r="O27" t="inlineStr">
        <is>
          <t>Dem\DemBiz\SP_88</t>
        </is>
      </c>
      <c r="P27" t="inlineStr">
        <is>
          <t>Sprint 23</t>
        </is>
      </c>
      <c r="Q27" t="inlineStr">
        <is>
          <t>S23</t>
        </is>
      </c>
      <c r="R27" t="inlineStr">
        <is>
          <t>Backend;Low</t>
        </is>
      </c>
      <c r="S27" t="n">
        <v/>
      </c>
      <c r="T27" t="inlineStr">
        <is>
          <t>کامنت 4 مورد</t>
        </is>
      </c>
      <c r="U27" t="inlineStr">
        <is>
          <t>Mina Hosseini</t>
        </is>
      </c>
      <c r="V27" t="inlineStr">
        <is>
          <t>U860</t>
        </is>
      </c>
      <c r="W27" t="inlineStr">
        <is>
          <t>Hassan Karimi</t>
        </is>
      </c>
      <c r="X27" t="inlineStr">
        <is>
          <t>U829</t>
        </is>
      </c>
      <c r="Y27" t="n">
        <v/>
      </c>
      <c r="Z27" t="n">
        <v/>
      </c>
      <c r="AA27" t="n">
        <v/>
      </c>
      <c r="AB27" t="n">
        <v/>
      </c>
      <c r="AC27" t="inlineStr">
        <is>
          <t>2024-06-09</t>
        </is>
      </c>
      <c r="AD27" t="inlineStr">
        <is>
          <t>2024-06-09 20:00:00</t>
        </is>
      </c>
      <c r="AE27" t="inlineStr">
        <is>
          <t>2024-06-10 17:00:00</t>
        </is>
      </c>
      <c r="AF27" t="inlineStr">
        <is>
          <t>2024-06-13 11:00:00</t>
        </is>
      </c>
      <c r="AG27" t="inlineStr">
        <is>
          <t>2024-06-13 11:00:00</t>
        </is>
      </c>
      <c r="AH27" t="n">
        <v/>
      </c>
      <c r="AI27" t="n">
        <v/>
      </c>
      <c r="AJ27" t="n">
        <v/>
      </c>
      <c r="AK27" t="n">
        <v/>
      </c>
      <c r="AL27" t="n">
        <v/>
      </c>
      <c r="AM27" t="inlineStr">
        <is>
          <t>2024-06-13 11:00:00</t>
        </is>
      </c>
      <c r="AN27" t="inlineStr">
        <is>
          <t>2024-07-24</t>
        </is>
      </c>
      <c r="AO27" t="n">
        <v>0</v>
      </c>
      <c r="AP27" t="n">
        <v/>
      </c>
      <c r="AQ27" t="n">
        <v/>
      </c>
      <c r="AR27" t="inlineStr">
        <is>
          <t>Active</t>
        </is>
      </c>
      <c r="AS27" t="n">
        <v>4</v>
      </c>
      <c r="AT27" t="n">
        <v>21</v>
      </c>
      <c r="AU27" t="n">
        <v>66</v>
      </c>
      <c r="AV27" t="n">
        <v/>
      </c>
      <c r="AW27" t="n">
        <v/>
      </c>
      <c r="AX27" t="inlineStr">
        <is>
          <t>[{"state": "Open", "timestamp": "2024-06-09T00:00:00"}, {"state": "Triage", "timestamp": "2024-06-09T20:00:00"}]</t>
        </is>
      </c>
      <c r="AY27" t="n">
        <v>2</v>
      </c>
      <c r="AZ27" t="n">
        <v>6</v>
      </c>
      <c r="BA27" t="n">
        <v>1</v>
      </c>
      <c r="BB27" t="n">
        <v>0.6244087169589212</v>
      </c>
      <c r="BC27" t="n">
        <v>32.59442239248805</v>
      </c>
      <c r="BD27" t="n">
        <v>0.8553256002052196</v>
      </c>
      <c r="BE27" t="n">
        <v>15.54818240061459</v>
      </c>
      <c r="BF27" t="n">
        <v>0</v>
      </c>
      <c r="BG27" t="n">
        <v>49.62233911026677</v>
      </c>
      <c r="BH27" t="n">
        <v>61.43539617909165</v>
      </c>
      <c r="BI27" t="n">
        <v/>
      </c>
      <c r="BJ27" t="n">
        <v/>
      </c>
      <c r="BK27" t="n">
        <v>41</v>
      </c>
      <c r="BL27" t="n">
        <v>87</v>
      </c>
      <c r="BM27" t="n">
        <v>0</v>
      </c>
      <c r="BN27" t="n">
        <v>564.7707912693982</v>
      </c>
      <c r="BO27" t="n">
        <v/>
      </c>
      <c r="BP27" t="n">
        <v/>
      </c>
      <c r="BQ27" t="n">
        <v/>
      </c>
      <c r="BR27" t="n">
        <v/>
      </c>
      <c r="BS27" t="b">
        <v>0</v>
      </c>
      <c r="BT27" t="n">
        <v/>
      </c>
      <c r="BU27" t="n">
        <v>0</v>
      </c>
      <c r="BV27" t="n">
        <v>0</v>
      </c>
    </row>
    <row r="28">
      <c r="A28" t="n">
        <v>190245</v>
      </c>
      <c r="B28" t="inlineStr">
        <is>
          <t>خالی بودن کمبو درگزارش درخواست های وارده مصوبات صادره</t>
        </is>
      </c>
      <c r="C28" t="inlineStr">
        <is>
          <t>تکمیل توضیحات: خالی بودن کمبو درگزارش درخواست های وارده مصوبات صا...</t>
        </is>
      </c>
      <c r="D28" t="inlineStr">
        <is>
          <t>High</t>
        </is>
      </c>
      <c r="E28" t="inlineStr">
        <is>
          <t>P3</t>
        </is>
      </c>
      <c r="F28" t="inlineStr">
        <is>
          <t>Closed</t>
        </is>
      </c>
      <c r="G28" t="inlineStr">
        <is>
          <t>UI</t>
        </is>
      </c>
      <c r="H28" t="b">
        <v>0</v>
      </c>
      <c r="I28" t="b">
        <v>0</v>
      </c>
      <c r="J28" t="inlineStr">
        <is>
          <t>PRJ-001</t>
        </is>
      </c>
      <c r="K28" t="inlineStr">
        <is>
          <t>Dem System</t>
        </is>
      </c>
      <c r="L28" t="inlineStr">
        <is>
          <t>Team Beta</t>
        </is>
      </c>
      <c r="M28" t="inlineStr">
        <is>
          <t>T02</t>
        </is>
      </c>
      <c r="N28" t="inlineStr">
        <is>
          <t>M09</t>
        </is>
      </c>
      <c r="O28" t="inlineStr">
        <is>
          <t>Dem\DemBiz\SP_88</t>
        </is>
      </c>
      <c r="P28" t="inlineStr">
        <is>
          <t>Sprint 24</t>
        </is>
      </c>
      <c r="Q28" t="inlineStr">
        <is>
          <t>S24</t>
        </is>
      </c>
      <c r="R28" t="inlineStr">
        <is>
          <t>UI;High</t>
        </is>
      </c>
      <c r="S28" t="inlineStr">
        <is>
          <t>EXT-190245</t>
        </is>
      </c>
      <c r="T28" t="inlineStr">
        <is>
          <t>کامنت 4 مورد</t>
        </is>
      </c>
      <c r="U28" t="inlineStr">
        <is>
          <t>Mina Hosseini</t>
        </is>
      </c>
      <c r="V28" t="inlineStr">
        <is>
          <t>U860</t>
        </is>
      </c>
      <c r="W28" t="inlineStr">
        <is>
          <t>Reza Mohammadi</t>
        </is>
      </c>
      <c r="X28" t="inlineStr">
        <is>
          <t>U493</t>
        </is>
      </c>
      <c r="Y28" t="inlineStr">
        <is>
          <t>Sara Ahmadi</t>
        </is>
      </c>
      <c r="Z28" t="inlineStr">
        <is>
          <t>U091</t>
        </is>
      </c>
      <c r="AA28" t="inlineStr">
        <is>
          <t>Sara Ahmadi</t>
        </is>
      </c>
      <c r="AB28" t="inlineStr">
        <is>
          <t>U091</t>
        </is>
      </c>
      <c r="AC28" t="inlineStr">
        <is>
          <t>2024-02-20</t>
        </is>
      </c>
      <c r="AD28" t="inlineStr">
        <is>
          <t>2024-02-20 10:00:00</t>
        </is>
      </c>
      <c r="AE28" t="inlineStr">
        <is>
          <t>2024-02-20 22:00:00</t>
        </is>
      </c>
      <c r="AF28" t="inlineStr">
        <is>
          <t>2024-02-21 20:00:00</t>
        </is>
      </c>
      <c r="AG28" t="inlineStr">
        <is>
          <t>2024-02-21 20:00:00</t>
        </is>
      </c>
      <c r="AH28" t="inlineStr">
        <is>
          <t>2024-02-25 01:00:00</t>
        </is>
      </c>
      <c r="AI28" t="inlineStr">
        <is>
          <t>2024-02-26 14:00:00</t>
        </is>
      </c>
      <c r="AJ28" t="inlineStr">
        <is>
          <t>2024-02-26 16:00:00</t>
        </is>
      </c>
      <c r="AK28" t="inlineStr">
        <is>
          <t>2024-02-26 22:00:00</t>
        </is>
      </c>
      <c r="AL28" t="inlineStr">
        <is>
          <t>2024-02-28 06:00:00</t>
        </is>
      </c>
      <c r="AM28" t="inlineStr">
        <is>
          <t>2024-02-28 06:00:00</t>
        </is>
      </c>
      <c r="AN28" t="inlineStr">
        <is>
          <t>2024-02-28</t>
        </is>
      </c>
      <c r="AO28" t="n">
        <v>0</v>
      </c>
      <c r="AP28" t="n">
        <v/>
      </c>
      <c r="AQ28" t="n">
        <v/>
      </c>
      <c r="AR28" t="inlineStr">
        <is>
          <t>Done</t>
        </is>
      </c>
      <c r="AS28" t="n">
        <v>8</v>
      </c>
      <c r="AT28" t="n">
        <v>12</v>
      </c>
      <c r="AU28" t="n">
        <v>22</v>
      </c>
      <c r="AV28" t="n">
        <v>77</v>
      </c>
      <c r="AW28" t="n">
        <v>37</v>
      </c>
      <c r="AX28" t="inlineStr">
        <is>
          <t>[{"state": "Open", "timestamp": "2024-02-20T00:00:00"}, {"state": "Triage", "timestamp": "2024-02-20T10:00:00"}]</t>
        </is>
      </c>
      <c r="AY28" t="n">
        <v>2</v>
      </c>
      <c r="AZ28" t="n">
        <v>8</v>
      </c>
      <c r="BA28" t="n">
        <v>1</v>
      </c>
      <c r="BB28" t="n">
        <v>4.340697937244608</v>
      </c>
      <c r="BC28" t="n">
        <v>34.81582042462404</v>
      </c>
      <c r="BD28" t="n">
        <v>2.341637734740604</v>
      </c>
      <c r="BE28" t="n">
        <v>1.647398679258642</v>
      </c>
      <c r="BF28" t="n">
        <v>0</v>
      </c>
      <c r="BG28" t="n">
        <v>43.14555477586789</v>
      </c>
      <c r="BH28" t="n">
        <v>32.27892602409798</v>
      </c>
      <c r="BI28" t="n">
        <v>198</v>
      </c>
      <c r="BJ28" t="n">
        <v>154</v>
      </c>
      <c r="BK28" t="n">
        <v>22</v>
      </c>
      <c r="BL28" t="n">
        <v>71</v>
      </c>
      <c r="BM28" t="n">
        <v>77</v>
      </c>
      <c r="BN28" t="n">
        <v>674.7707912695023</v>
      </c>
      <c r="BO28" t="inlineStr">
        <is>
          <t>Data</t>
        </is>
      </c>
      <c r="BP28" t="inlineStr">
        <is>
          <t>Won't Fix</t>
        </is>
      </c>
      <c r="BQ28" t="inlineStr">
        <is>
          <t>Completed</t>
        </is>
      </c>
      <c r="BR28" t="n">
        <v/>
      </c>
      <c r="BS28" t="b">
        <v>0</v>
      </c>
      <c r="BT28" t="n">
        <v/>
      </c>
      <c r="BU28" t="n">
        <v>1</v>
      </c>
      <c r="BV28" t="n">
        <v>1</v>
      </c>
    </row>
    <row r="29">
      <c r="A29" t="n">
        <v>190246</v>
      </c>
      <c r="B29" t="inlineStr">
        <is>
          <t>خالی بودن کمبو درگزارش مهلت ثبت مصوبه</t>
        </is>
      </c>
      <c r="C29" t="inlineStr">
        <is>
          <t>تکمیل توضیحات: خالی بودن کمبو درگزارش مهلت ثبت مصوبه...</t>
        </is>
      </c>
      <c r="D29" t="inlineStr">
        <is>
          <t>Medium</t>
        </is>
      </c>
      <c r="E29" t="inlineStr">
        <is>
          <t>P3</t>
        </is>
      </c>
      <c r="F29" t="inlineStr">
        <is>
          <t>Ready for Retest</t>
        </is>
      </c>
      <c r="G29" t="inlineStr">
        <is>
          <t>Backend</t>
        </is>
      </c>
      <c r="H29" t="b">
        <v>0</v>
      </c>
      <c r="I29" t="b">
        <v>0</v>
      </c>
      <c r="J29" t="inlineStr">
        <is>
          <t>PRJ-001</t>
        </is>
      </c>
      <c r="K29" t="inlineStr">
        <is>
          <t>Dem System</t>
        </is>
      </c>
      <c r="L29" t="inlineStr">
        <is>
          <t>Team Beta</t>
        </is>
      </c>
      <c r="M29" t="inlineStr">
        <is>
          <t>T02</t>
        </is>
      </c>
      <c r="N29" t="inlineStr">
        <is>
          <t>M09</t>
        </is>
      </c>
      <c r="O29" t="inlineStr">
        <is>
          <t>Dem\DemBiz\SP_88</t>
        </is>
      </c>
      <c r="P29" t="inlineStr">
        <is>
          <t>Sprint 26</t>
        </is>
      </c>
      <c r="Q29" t="inlineStr">
        <is>
          <t>S26</t>
        </is>
      </c>
      <c r="R29" t="inlineStr">
        <is>
          <t>Backend;Medium</t>
        </is>
      </c>
      <c r="S29" t="inlineStr">
        <is>
          <t>EXT-190246</t>
        </is>
      </c>
      <c r="T29" t="inlineStr">
        <is>
          <t>کامنت 1 مورد</t>
        </is>
      </c>
      <c r="U29" t="inlineStr">
        <is>
          <t>Sara Ahmadi</t>
        </is>
      </c>
      <c r="V29" t="inlineStr">
        <is>
          <t>U091</t>
        </is>
      </c>
      <c r="W29" t="inlineStr">
        <is>
          <t>Sara Ahmadi</t>
        </is>
      </c>
      <c r="X29" t="inlineStr">
        <is>
          <t>U091</t>
        </is>
      </c>
      <c r="Y29" t="n">
        <v/>
      </c>
      <c r="Z29" t="n">
        <v/>
      </c>
      <c r="AA29" t="n">
        <v/>
      </c>
      <c r="AB29" t="n">
        <v/>
      </c>
      <c r="AC29" t="inlineStr">
        <is>
          <t>2024-04-02</t>
        </is>
      </c>
      <c r="AD29" t="inlineStr">
        <is>
          <t>2024-04-02 20:00:00</t>
        </is>
      </c>
      <c r="AE29" t="inlineStr">
        <is>
          <t>2024-04-03 04:00:00</t>
        </is>
      </c>
      <c r="AF29" t="inlineStr">
        <is>
          <t>2024-04-03 13:00:00</t>
        </is>
      </c>
      <c r="AG29" t="inlineStr">
        <is>
          <t>2024-04-03 13:00:00</t>
        </is>
      </c>
      <c r="AH29" t="inlineStr">
        <is>
          <t>2024-04-05 03:00:00</t>
        </is>
      </c>
      <c r="AI29" t="n">
        <v/>
      </c>
      <c r="AJ29" t="n">
        <v/>
      </c>
      <c r="AK29" t="n">
        <v/>
      </c>
      <c r="AL29" t="n">
        <v/>
      </c>
      <c r="AM29" t="inlineStr">
        <is>
          <t>2024-04-05 03:00:00</t>
        </is>
      </c>
      <c r="AN29" t="inlineStr">
        <is>
          <t>2024-05-15</t>
        </is>
      </c>
      <c r="AO29" t="n">
        <v>0</v>
      </c>
      <c r="AP29" t="n">
        <v/>
      </c>
      <c r="AQ29" t="n">
        <v/>
      </c>
      <c r="AR29" t="inlineStr">
        <is>
          <t>In Progress</t>
        </is>
      </c>
      <c r="AS29" t="n">
        <v>5</v>
      </c>
      <c r="AT29" t="n">
        <v>8</v>
      </c>
      <c r="AU29" t="n">
        <v>9</v>
      </c>
      <c r="AV29" t="n">
        <v>38</v>
      </c>
      <c r="AW29" t="n">
        <v/>
      </c>
      <c r="AX29" t="inlineStr">
        <is>
          <t>[{"state": "Open", "timestamp": "2024-04-02T00:00:00"}, {"state": "Triage", "timestamp": "2024-04-02T20:00:00"}]</t>
        </is>
      </c>
      <c r="AY29" t="n">
        <v>1</v>
      </c>
      <c r="AZ29" t="n">
        <v>7</v>
      </c>
      <c r="BA29" t="n">
        <v>1</v>
      </c>
      <c r="BB29" t="n">
        <v>2.198718313984535</v>
      </c>
      <c r="BC29" t="n">
        <v>36.61638154970238</v>
      </c>
      <c r="BD29" t="n">
        <v>13.81863208161896</v>
      </c>
      <c r="BE29" t="n">
        <v>14.36714670547107</v>
      </c>
      <c r="BF29" t="n">
        <v>0</v>
      </c>
      <c r="BG29" t="n">
        <v>67.00087865077694</v>
      </c>
      <c r="BH29" t="n">
        <v>67.98624943367207</v>
      </c>
      <c r="BI29" t="n">
        <v/>
      </c>
      <c r="BJ29" t="n">
        <v/>
      </c>
      <c r="BK29" t="n">
        <v>28</v>
      </c>
      <c r="BL29" t="n">
        <v>17</v>
      </c>
      <c r="BM29" t="n">
        <v>38</v>
      </c>
      <c r="BN29" t="n">
        <v>632.770791269618</v>
      </c>
      <c r="BO29" t="n">
        <v/>
      </c>
      <c r="BP29" t="n">
        <v/>
      </c>
      <c r="BQ29" t="n">
        <v/>
      </c>
      <c r="BR29" t="inlineStr">
        <is>
          <t>TC-2139</t>
        </is>
      </c>
      <c r="BS29" t="b">
        <v>0</v>
      </c>
      <c r="BT29" t="n">
        <v/>
      </c>
      <c r="BU29" t="n">
        <v>0</v>
      </c>
      <c r="BV29" t="n">
        <v>0</v>
      </c>
    </row>
    <row r="30">
      <c r="A30" t="n">
        <v>190248</v>
      </c>
      <c r="B30" t="inlineStr">
        <is>
          <t>خالی بودن کمبو در گزارش مدت زمان توقف کارپرونده وارده به اداره کل اعتبارات</t>
        </is>
      </c>
      <c r="C30" t="inlineStr">
        <is>
          <t>تکمیل توضیحات: خالی بودن کمبو در گزارش مدت زمان توقف کارپرونده وا...</t>
        </is>
      </c>
      <c r="D30" t="inlineStr">
        <is>
          <t>Medium</t>
        </is>
      </c>
      <c r="E30" t="inlineStr">
        <is>
          <t>P0</t>
        </is>
      </c>
      <c r="F30" t="inlineStr">
        <is>
          <t>Closed</t>
        </is>
      </c>
      <c r="G30" t="inlineStr">
        <is>
          <t>Integration</t>
        </is>
      </c>
      <c r="H30" t="b">
        <v>0</v>
      </c>
      <c r="I30" t="b">
        <v>0</v>
      </c>
      <c r="J30" t="inlineStr">
        <is>
          <t>PRJ-001</t>
        </is>
      </c>
      <c r="K30" t="inlineStr">
        <is>
          <t>Dem System</t>
        </is>
      </c>
      <c r="L30" t="inlineStr">
        <is>
          <t>Team Alpha</t>
        </is>
      </c>
      <c r="M30" t="inlineStr">
        <is>
          <t>T01</t>
        </is>
      </c>
      <c r="N30" t="inlineStr">
        <is>
          <t>M09</t>
        </is>
      </c>
      <c r="O30" t="inlineStr">
        <is>
          <t>Dem\DemBiz\SP_88</t>
        </is>
      </c>
      <c r="P30" t="inlineStr">
        <is>
          <t>Sprint 23</t>
        </is>
      </c>
      <c r="Q30" t="inlineStr">
        <is>
          <t>S23</t>
        </is>
      </c>
      <c r="R30" t="inlineStr">
        <is>
          <t>Integration;Medium</t>
        </is>
      </c>
      <c r="S30" t="n">
        <v/>
      </c>
      <c r="T30" t="inlineStr">
        <is>
          <t>کامنت 1 مورد</t>
        </is>
      </c>
      <c r="U30" t="inlineStr">
        <is>
          <t>Zahra Ebrahimi</t>
        </is>
      </c>
      <c r="V30" t="inlineStr">
        <is>
          <t>U002</t>
        </is>
      </c>
      <c r="W30" t="inlineStr">
        <is>
          <t>Ali Rezaei</t>
        </is>
      </c>
      <c r="X30" t="inlineStr">
        <is>
          <t>U374</t>
        </is>
      </c>
      <c r="Y30" t="inlineStr">
        <is>
          <t>Zahra Ebrahimi</t>
        </is>
      </c>
      <c r="Z30" t="inlineStr">
        <is>
          <t>U002</t>
        </is>
      </c>
      <c r="AA30" t="inlineStr">
        <is>
          <t>Hassan Karimi</t>
        </is>
      </c>
      <c r="AB30" t="inlineStr">
        <is>
          <t>U829</t>
        </is>
      </c>
      <c r="AC30" t="inlineStr">
        <is>
          <t>2024-01-21</t>
        </is>
      </c>
      <c r="AD30" t="inlineStr">
        <is>
          <t>2024-01-21 06:00:00</t>
        </is>
      </c>
      <c r="AE30" t="inlineStr">
        <is>
          <t>2024-01-22 06:00:00</t>
        </is>
      </c>
      <c r="AF30" t="inlineStr">
        <is>
          <t>2024-01-24 22:00:00</t>
        </is>
      </c>
      <c r="AG30" t="inlineStr">
        <is>
          <t>2024-01-24 22:00:00</t>
        </is>
      </c>
      <c r="AH30" t="inlineStr">
        <is>
          <t>2024-01-29 14:00:00</t>
        </is>
      </c>
      <c r="AI30" t="inlineStr">
        <is>
          <t>2024-01-29 22:00:00</t>
        </is>
      </c>
      <c r="AJ30" t="inlineStr">
        <is>
          <t>2024-01-30 17:00:00</t>
        </is>
      </c>
      <c r="AK30" t="inlineStr">
        <is>
          <t>2024-01-30 20:00:00</t>
        </is>
      </c>
      <c r="AL30" t="inlineStr">
        <is>
          <t>2024-01-31 05:00:00</t>
        </is>
      </c>
      <c r="AM30" t="inlineStr">
        <is>
          <t>2024-01-31 05:00:00</t>
        </is>
      </c>
      <c r="AN30" t="inlineStr">
        <is>
          <t>2024-03-10</t>
        </is>
      </c>
      <c r="AO30" t="n">
        <v>3</v>
      </c>
      <c r="AP30" t="inlineStr">
        <is>
          <t>2024-02-09 05:00:00</t>
        </is>
      </c>
      <c r="AQ30" t="inlineStr">
        <is>
          <t>2024-02-10 05:00:00</t>
        </is>
      </c>
      <c r="AR30" t="inlineStr">
        <is>
          <t>Done</t>
        </is>
      </c>
      <c r="AS30" t="n">
        <v>10</v>
      </c>
      <c r="AT30" t="n">
        <v>24</v>
      </c>
      <c r="AU30" t="n">
        <v>64</v>
      </c>
      <c r="AV30" t="n">
        <v>112</v>
      </c>
      <c r="AW30" t="n">
        <v>8</v>
      </c>
      <c r="AX30" t="inlineStr">
        <is>
          <t>[{"state": "Open", "timestamp": "2024-01-21T00:00:00"}, {"state": "Triage", "timestamp": "2024-01-21T06:00:00"}]</t>
        </is>
      </c>
      <c r="AY30" t="n">
        <v>3</v>
      </c>
      <c r="AZ30" t="n">
        <v>12</v>
      </c>
      <c r="BA30" t="n">
        <v>4</v>
      </c>
      <c r="BB30" t="n">
        <v>5.338795928070874</v>
      </c>
      <c r="BC30" t="n">
        <v>20.94235355557657</v>
      </c>
      <c r="BD30" t="n">
        <v>1.888178644974465</v>
      </c>
      <c r="BE30" t="n">
        <v>8.915516636294498</v>
      </c>
      <c r="BF30" t="n">
        <v>25.87091126240236</v>
      </c>
      <c r="BG30" t="n">
        <v>62.95575602731877</v>
      </c>
      <c r="BH30" t="n">
        <v>59.57113472773126</v>
      </c>
      <c r="BI30" t="n">
        <v>245</v>
      </c>
      <c r="BJ30" t="n">
        <v>151</v>
      </c>
      <c r="BK30" t="n">
        <v>30</v>
      </c>
      <c r="BL30" t="n">
        <v>96</v>
      </c>
      <c r="BM30" t="n">
        <v>112</v>
      </c>
      <c r="BN30" t="n">
        <v>704.7707912697222</v>
      </c>
      <c r="BO30" t="inlineStr">
        <is>
          <t>Integration</t>
        </is>
      </c>
      <c r="BP30" t="inlineStr">
        <is>
          <t>Fixed</t>
        </is>
      </c>
      <c r="BQ30" t="inlineStr">
        <is>
          <t>Completed</t>
        </is>
      </c>
      <c r="BR30" t="inlineStr">
        <is>
          <t>TC-4733</t>
        </is>
      </c>
      <c r="BS30" t="b">
        <v>0</v>
      </c>
      <c r="BT30" t="n">
        <v/>
      </c>
      <c r="BU30" t="n">
        <v>1</v>
      </c>
      <c r="BV30" t="n">
        <v>0</v>
      </c>
    </row>
    <row r="31">
      <c r="A31" t="n">
        <v>190250</v>
      </c>
      <c r="B31" t="inlineStr">
        <is>
          <t>حذف مشتری های خراب ، از کمبو مشتری در گزارشات</t>
        </is>
      </c>
      <c r="C31" t="inlineStr">
        <is>
          <t>تکمیل توضیحات: حذف مشتری های خراب ، از کمبو مشتری در گزارشات...</t>
        </is>
      </c>
      <c r="D31" t="inlineStr">
        <is>
          <t>Critical</t>
        </is>
      </c>
      <c r="E31" t="inlineStr">
        <is>
          <t>P2</t>
        </is>
      </c>
      <c r="F31" t="inlineStr">
        <is>
          <t>Done</t>
        </is>
      </c>
      <c r="G31" t="inlineStr">
        <is>
          <t>Integration</t>
        </is>
      </c>
      <c r="H31" t="b">
        <v>0</v>
      </c>
      <c r="I31" t="b">
        <v>1</v>
      </c>
      <c r="J31" t="inlineStr">
        <is>
          <t>PRJ-001</t>
        </is>
      </c>
      <c r="K31" t="inlineStr">
        <is>
          <t>Dem System</t>
        </is>
      </c>
      <c r="L31" t="inlineStr">
        <is>
          <t>Team Beta</t>
        </is>
      </c>
      <c r="M31" t="inlineStr">
        <is>
          <t>T02</t>
        </is>
      </c>
      <c r="N31" t="inlineStr">
        <is>
          <t>M09</t>
        </is>
      </c>
      <c r="O31" t="inlineStr">
        <is>
          <t>Dem\DemBiz\SP_88</t>
        </is>
      </c>
      <c r="P31" t="inlineStr">
        <is>
          <t>Sprint 23</t>
        </is>
      </c>
      <c r="Q31" t="inlineStr">
        <is>
          <t>S23</t>
        </is>
      </c>
      <c r="R31" t="inlineStr">
        <is>
          <t>Integration;Critical</t>
        </is>
      </c>
      <c r="S31" t="n">
        <v/>
      </c>
      <c r="T31" t="inlineStr">
        <is>
          <t>کامنت 2 مورد</t>
        </is>
      </c>
      <c r="U31" t="inlineStr">
        <is>
          <t>Hassan Karimi</t>
        </is>
      </c>
      <c r="V31" t="inlineStr">
        <is>
          <t>U829</t>
        </is>
      </c>
      <c r="W31" t="inlineStr">
        <is>
          <t>Zahra Ebrahimi</t>
        </is>
      </c>
      <c r="X31" t="inlineStr">
        <is>
          <t>U002</t>
        </is>
      </c>
      <c r="Y31" t="inlineStr">
        <is>
          <t>Mina Hosseini</t>
        </is>
      </c>
      <c r="Z31" t="inlineStr">
        <is>
          <t>U860</t>
        </is>
      </c>
      <c r="AA31" t="inlineStr">
        <is>
          <t>Ali Rezaei</t>
        </is>
      </c>
      <c r="AB31" t="inlineStr">
        <is>
          <t>U374</t>
        </is>
      </c>
      <c r="AC31" t="inlineStr">
        <is>
          <t>2024-03-08</t>
        </is>
      </c>
      <c r="AD31" t="inlineStr">
        <is>
          <t>2024-03-09 10:00:00</t>
        </is>
      </c>
      <c r="AE31" t="inlineStr">
        <is>
          <t>2024-03-10 06:00:00</t>
        </is>
      </c>
      <c r="AF31" t="inlineStr">
        <is>
          <t>2024-03-12 14:00:00</t>
        </is>
      </c>
      <c r="AG31" t="inlineStr">
        <is>
          <t>2024-03-12 14:00:00</t>
        </is>
      </c>
      <c r="AH31" t="inlineStr">
        <is>
          <t>2024-03-14 01:00:00</t>
        </is>
      </c>
      <c r="AI31" t="inlineStr">
        <is>
          <t>2024-03-15 15:00:00</t>
        </is>
      </c>
      <c r="AJ31" t="inlineStr">
        <is>
          <t>2024-03-16 15:00:00</t>
        </is>
      </c>
      <c r="AK31" t="inlineStr">
        <is>
          <t>2024-03-16 15:00:00</t>
        </is>
      </c>
      <c r="AL31" t="n">
        <v/>
      </c>
      <c r="AM31" t="inlineStr">
        <is>
          <t>2024-03-16 15:00:00</t>
        </is>
      </c>
      <c r="AN31" t="inlineStr">
        <is>
          <t>2024-03-27</t>
        </is>
      </c>
      <c r="AO31" t="n">
        <v>0</v>
      </c>
      <c r="AP31" t="n">
        <v/>
      </c>
      <c r="AQ31" t="n">
        <v/>
      </c>
      <c r="AR31" t="inlineStr">
        <is>
          <t>Resolved</t>
        </is>
      </c>
      <c r="AS31" t="n">
        <v>9</v>
      </c>
      <c r="AT31" t="n">
        <v>20</v>
      </c>
      <c r="AU31" t="n">
        <v>56</v>
      </c>
      <c r="AV31" t="n">
        <v>35</v>
      </c>
      <c r="AW31" t="n">
        <v>38</v>
      </c>
      <c r="AX31" t="inlineStr">
        <is>
          <t>[{"state": "Open", "timestamp": "2024-03-08T00:00:00"}, {"state": "Triage", "timestamp": "2024-03-09T10:00:00"}]</t>
        </is>
      </c>
      <c r="AY31" t="n">
        <v>3</v>
      </c>
      <c r="AZ31" t="n">
        <v>10</v>
      </c>
      <c r="BA31" t="n">
        <v>1</v>
      </c>
      <c r="BB31" t="n">
        <v>1.807748217537436</v>
      </c>
      <c r="BC31" t="n">
        <v>20.55913549280078</v>
      </c>
      <c r="BD31" t="n">
        <v>6.720024790728345</v>
      </c>
      <c r="BE31" t="n">
        <v>15.8944719417895</v>
      </c>
      <c r="BF31" t="n">
        <v>0</v>
      </c>
      <c r="BG31" t="n">
        <v>44.98138044285607</v>
      </c>
      <c r="BH31" t="n">
        <v>58.00021409365492</v>
      </c>
      <c r="BI31" t="n">
        <v/>
      </c>
      <c r="BJ31" t="n">
        <v/>
      </c>
      <c r="BK31" t="n">
        <v>54</v>
      </c>
      <c r="BL31" t="n">
        <v>114</v>
      </c>
      <c r="BM31" t="n">
        <v>35</v>
      </c>
      <c r="BN31" t="n">
        <v>657.7707912698379</v>
      </c>
      <c r="BO31" t="inlineStr">
        <is>
          <t>Config</t>
        </is>
      </c>
      <c r="BP31" t="inlineStr">
        <is>
          <t>Fixed</t>
        </is>
      </c>
      <c r="BQ31" t="n">
        <v/>
      </c>
      <c r="BR31" t="n">
        <v/>
      </c>
      <c r="BS31" t="b">
        <v>0</v>
      </c>
      <c r="BT31" t="n">
        <v/>
      </c>
      <c r="BU31" t="n">
        <v>1</v>
      </c>
      <c r="BV31" t="n">
        <v>1</v>
      </c>
    </row>
    <row r="32">
      <c r="A32" t="n">
        <v>190337</v>
      </c>
      <c r="B32" t="inlineStr">
        <is>
          <t>با ثبت بازه زمانی یکساله در گزارشات ، باز پیغام بازه یکساله می دهد</t>
        </is>
      </c>
      <c r="C32" t="inlineStr">
        <is>
          <t>تکمیل توضیحات: با ثبت بازه زمانی یکساله در گزارشات ، باز پیغام با...</t>
        </is>
      </c>
      <c r="D32" t="inlineStr">
        <is>
          <t>Medium</t>
        </is>
      </c>
      <c r="E32" t="inlineStr">
        <is>
          <t>P2</t>
        </is>
      </c>
      <c r="F32" t="inlineStr">
        <is>
          <t>Closed</t>
        </is>
      </c>
      <c r="G32" t="inlineStr">
        <is>
          <t>UI</t>
        </is>
      </c>
      <c r="H32" t="b">
        <v>0</v>
      </c>
      <c r="I32" t="b">
        <v>0</v>
      </c>
      <c r="J32" t="inlineStr">
        <is>
          <t>PRJ-001</t>
        </is>
      </c>
      <c r="K32" t="inlineStr">
        <is>
          <t>Dem System</t>
        </is>
      </c>
      <c r="L32" t="inlineStr">
        <is>
          <t>Team Alpha</t>
        </is>
      </c>
      <c r="M32" t="inlineStr">
        <is>
          <t>T01</t>
        </is>
      </c>
      <c r="N32" t="inlineStr">
        <is>
          <t>M09</t>
        </is>
      </c>
      <c r="O32" t="inlineStr">
        <is>
          <t>Dem\DemBiz\SP_88</t>
        </is>
      </c>
      <c r="P32" t="inlineStr">
        <is>
          <t>Sprint 27</t>
        </is>
      </c>
      <c r="Q32" t="inlineStr">
        <is>
          <t>S27</t>
        </is>
      </c>
      <c r="R32" t="inlineStr">
        <is>
          <t>UI;Medium</t>
        </is>
      </c>
      <c r="S32" t="n">
        <v/>
      </c>
      <c r="T32" t="inlineStr">
        <is>
          <t>کامنت 1 مورد</t>
        </is>
      </c>
      <c r="U32" t="inlineStr">
        <is>
          <t>Fateme Akbari</t>
        </is>
      </c>
      <c r="V32" t="inlineStr">
        <is>
          <t>U511</t>
        </is>
      </c>
      <c r="W32" t="inlineStr">
        <is>
          <t>Zahra Ebrahimi</t>
        </is>
      </c>
      <c r="X32" t="inlineStr">
        <is>
          <t>U002</t>
        </is>
      </c>
      <c r="Y32" t="inlineStr">
        <is>
          <t>Zahra Ebrahimi</t>
        </is>
      </c>
      <c r="Z32" t="inlineStr">
        <is>
          <t>U002</t>
        </is>
      </c>
      <c r="AA32" t="inlineStr">
        <is>
          <t>Mohammad Safari</t>
        </is>
      </c>
      <c r="AB32" t="inlineStr">
        <is>
          <t>U093</t>
        </is>
      </c>
      <c r="AC32" t="inlineStr">
        <is>
          <t>2024-03-20</t>
        </is>
      </c>
      <c r="AD32" t="inlineStr">
        <is>
          <t>2024-03-21 02:00:00</t>
        </is>
      </c>
      <c r="AE32" t="inlineStr">
        <is>
          <t>2024-03-22 00:00:00</t>
        </is>
      </c>
      <c r="AF32" t="inlineStr">
        <is>
          <t>2024-03-24 01:00:00</t>
        </is>
      </c>
      <c r="AG32" t="inlineStr">
        <is>
          <t>2024-03-24 01:00:00</t>
        </is>
      </c>
      <c r="AH32" t="inlineStr">
        <is>
          <t>2024-03-26 17:00:00</t>
        </is>
      </c>
      <c r="AI32" t="inlineStr">
        <is>
          <t>2024-03-28 06:00:00</t>
        </is>
      </c>
      <c r="AJ32" t="inlineStr">
        <is>
          <t>2024-03-28 22:00:00</t>
        </is>
      </c>
      <c r="AK32" t="inlineStr">
        <is>
          <t>2024-03-29 00:00:00</t>
        </is>
      </c>
      <c r="AL32" t="inlineStr">
        <is>
          <t>2024-03-29 16:00:00</t>
        </is>
      </c>
      <c r="AM32" t="inlineStr">
        <is>
          <t>2024-03-29 16:00:00</t>
        </is>
      </c>
      <c r="AN32" t="inlineStr">
        <is>
          <t>2024-04-10</t>
        </is>
      </c>
      <c r="AO32" t="n">
        <v>0</v>
      </c>
      <c r="AP32" t="n">
        <v/>
      </c>
      <c r="AQ32" t="n">
        <v/>
      </c>
      <c r="AR32" t="inlineStr">
        <is>
          <t>Done</t>
        </is>
      </c>
      <c r="AS32" t="n">
        <v>7</v>
      </c>
      <c r="AT32" t="n">
        <v>22</v>
      </c>
      <c r="AU32" t="n">
        <v>49</v>
      </c>
      <c r="AV32" t="n">
        <v>64</v>
      </c>
      <c r="AW32" t="n">
        <v>37</v>
      </c>
      <c r="AX32" t="inlineStr">
        <is>
          <t>[{"state": "Open", "timestamp": "2024-03-20T00:00:00"}, {"state": "Triage", "timestamp": "2024-03-21T02:00:00"}]</t>
        </is>
      </c>
      <c r="AY32" t="n">
        <v>2</v>
      </c>
      <c r="AZ32" t="n">
        <v>8</v>
      </c>
      <c r="BA32" t="n">
        <v>1</v>
      </c>
      <c r="BB32" t="n">
        <v>5.682033035768495</v>
      </c>
      <c r="BC32" t="n">
        <v>32.13351197970423</v>
      </c>
      <c r="BD32" t="n">
        <v>16.97506856390437</v>
      </c>
      <c r="BE32" t="n">
        <v>2.106948471030983</v>
      </c>
      <c r="BF32" t="n">
        <v>0</v>
      </c>
      <c r="BG32" t="n">
        <v>56.89756205040807</v>
      </c>
      <c r="BH32" t="n">
        <v>43.65313766818546</v>
      </c>
      <c r="BI32" t="n">
        <v>232</v>
      </c>
      <c r="BJ32" t="n">
        <v>135</v>
      </c>
      <c r="BK32" t="n">
        <v>48</v>
      </c>
      <c r="BL32" t="n">
        <v>108</v>
      </c>
      <c r="BM32" t="n">
        <v>64</v>
      </c>
      <c r="BN32" t="n">
        <v>645.7707912700811</v>
      </c>
      <c r="BO32" t="inlineStr">
        <is>
          <t>Data</t>
        </is>
      </c>
      <c r="BP32" t="inlineStr">
        <is>
          <t>Won't Fix</t>
        </is>
      </c>
      <c r="BQ32" t="inlineStr">
        <is>
          <t>Completed</t>
        </is>
      </c>
      <c r="BR32" t="n">
        <v/>
      </c>
      <c r="BS32" t="b">
        <v>0</v>
      </c>
      <c r="BT32" t="n">
        <v/>
      </c>
      <c r="BU32" t="n">
        <v>3</v>
      </c>
      <c r="BV32" t="n">
        <v>1</v>
      </c>
    </row>
    <row r="33">
      <c r="A33" t="n">
        <v>190341</v>
      </c>
      <c r="B33" t="inlineStr">
        <is>
          <t>گزارش صورتهای مالی پایان دوره مشتری ، خالی نمایش داده می شود</t>
        </is>
      </c>
      <c r="C33" t="inlineStr">
        <is>
          <t>تکمیل توضیحات: گزارش صورتهای مالی پایان دوره مشتری ، خالی نمایش د...</t>
        </is>
      </c>
      <c r="D33" t="inlineStr">
        <is>
          <t>High</t>
        </is>
      </c>
      <c r="E33" t="inlineStr">
        <is>
          <t>P1</t>
        </is>
      </c>
      <c r="F33" t="inlineStr">
        <is>
          <t>Resolved</t>
        </is>
      </c>
      <c r="G33" t="inlineStr">
        <is>
          <t>Data</t>
        </is>
      </c>
      <c r="H33" t="b">
        <v>0</v>
      </c>
      <c r="I33" t="b">
        <v>0</v>
      </c>
      <c r="J33" t="inlineStr">
        <is>
          <t>PRJ-001</t>
        </is>
      </c>
      <c r="K33" t="inlineStr">
        <is>
          <t>Dem System</t>
        </is>
      </c>
      <c r="L33" t="inlineStr">
        <is>
          <t>Team Beta</t>
        </is>
      </c>
      <c r="M33" t="inlineStr">
        <is>
          <t>T02</t>
        </is>
      </c>
      <c r="N33" t="inlineStr">
        <is>
          <t>M09</t>
        </is>
      </c>
      <c r="O33" t="inlineStr">
        <is>
          <t>Dem\DemBiz\SP_88</t>
        </is>
      </c>
      <c r="P33" t="inlineStr">
        <is>
          <t>Sprint 26</t>
        </is>
      </c>
      <c r="Q33" t="inlineStr">
        <is>
          <t>S26</t>
        </is>
      </c>
      <c r="R33" t="inlineStr">
        <is>
          <t>Data;High</t>
        </is>
      </c>
      <c r="S33" t="n">
        <v/>
      </c>
      <c r="T33" t="inlineStr">
        <is>
          <t>کامنت 4 مورد</t>
        </is>
      </c>
      <c r="U33" t="inlineStr">
        <is>
          <t>Reza Mohammadi</t>
        </is>
      </c>
      <c r="V33" t="inlineStr">
        <is>
          <t>U493</t>
        </is>
      </c>
      <c r="W33" t="inlineStr">
        <is>
          <t>Hassan Karimi</t>
        </is>
      </c>
      <c r="X33" t="inlineStr">
        <is>
          <t>U829</t>
        </is>
      </c>
      <c r="Y33" t="inlineStr">
        <is>
          <t>Mohammad Safari</t>
        </is>
      </c>
      <c r="Z33" t="inlineStr">
        <is>
          <t>U093</t>
        </is>
      </c>
      <c r="AA33" t="inlineStr">
        <is>
          <t>Ali Rezaei</t>
        </is>
      </c>
      <c r="AB33" t="inlineStr">
        <is>
          <t>U374</t>
        </is>
      </c>
      <c r="AC33" t="inlineStr">
        <is>
          <t>2024-03-27</t>
        </is>
      </c>
      <c r="AD33" t="inlineStr">
        <is>
          <t>2024-03-27 02:00:00</t>
        </is>
      </c>
      <c r="AE33" t="inlineStr">
        <is>
          <t>2024-03-27 21:00:00</t>
        </is>
      </c>
      <c r="AF33" t="inlineStr">
        <is>
          <t>2024-03-30 21:00:00</t>
        </is>
      </c>
      <c r="AG33" t="inlineStr">
        <is>
          <t>2024-03-30 21:00:00</t>
        </is>
      </c>
      <c r="AH33" t="inlineStr">
        <is>
          <t>2024-04-01 10:00:00</t>
        </is>
      </c>
      <c r="AI33" t="inlineStr">
        <is>
          <t>2024-04-03 03:00:00</t>
        </is>
      </c>
      <c r="AJ33" t="n">
        <v/>
      </c>
      <c r="AK33" t="n">
        <v/>
      </c>
      <c r="AL33" t="n">
        <v/>
      </c>
      <c r="AM33" t="inlineStr">
        <is>
          <t>2024-04-03 03:00:00</t>
        </is>
      </c>
      <c r="AN33" t="inlineStr">
        <is>
          <t>2024-04-17</t>
        </is>
      </c>
      <c r="AO33" t="n">
        <v>0</v>
      </c>
      <c r="AP33" t="n">
        <v/>
      </c>
      <c r="AQ33" t="n">
        <v/>
      </c>
      <c r="AR33" t="inlineStr">
        <is>
          <t>Ready for Retest</t>
        </is>
      </c>
      <c r="AS33" t="n">
        <v>5</v>
      </c>
      <c r="AT33" t="n">
        <v>19</v>
      </c>
      <c r="AU33" t="n">
        <v>72</v>
      </c>
      <c r="AV33" t="n">
        <v>37</v>
      </c>
      <c r="AW33" t="n">
        <v>41</v>
      </c>
      <c r="AX33" t="inlineStr">
        <is>
          <t>[{"state": "Open", "timestamp": "2024-03-27T00:00:00"}, {"state": "Triage", "timestamp": "2024-03-27T02:00:00"}]</t>
        </is>
      </c>
      <c r="AY33" t="n">
        <v>3</v>
      </c>
      <c r="AZ33" t="n">
        <v>5</v>
      </c>
      <c r="BA33" t="n">
        <v>1</v>
      </c>
      <c r="BB33" t="n">
        <v>3.400515097254031</v>
      </c>
      <c r="BC33" t="n">
        <v>26.34859330033284</v>
      </c>
      <c r="BD33" t="n">
        <v>0.9538027468486044</v>
      </c>
      <c r="BE33" t="n">
        <v>9.307814266019813</v>
      </c>
      <c r="BF33" t="n">
        <v>0</v>
      </c>
      <c r="BG33" t="n">
        <v>40.01072541045529</v>
      </c>
      <c r="BH33" t="n">
        <v>37.55860246317752</v>
      </c>
      <c r="BI33" t="n">
        <v/>
      </c>
      <c r="BJ33" t="n">
        <v/>
      </c>
      <c r="BK33" t="n">
        <v>21</v>
      </c>
      <c r="BL33" t="n">
        <v>132</v>
      </c>
      <c r="BM33" t="n">
        <v>37</v>
      </c>
      <c r="BN33" t="n">
        <v>638.7707912702083</v>
      </c>
      <c r="BO33" t="inlineStr">
        <is>
          <t>Testing</t>
        </is>
      </c>
      <c r="BP33" t="inlineStr">
        <is>
          <t>Fixed</t>
        </is>
      </c>
      <c r="BQ33" t="n">
        <v/>
      </c>
      <c r="BR33" t="n">
        <v/>
      </c>
      <c r="BS33" t="b">
        <v>0</v>
      </c>
      <c r="BT33" t="n">
        <v/>
      </c>
      <c r="BU33" t="n">
        <v>0</v>
      </c>
      <c r="BV33" t="n">
        <v>0</v>
      </c>
    </row>
    <row r="34">
      <c r="A34" t="n">
        <v>190576</v>
      </c>
      <c r="B34" t="inlineStr">
        <is>
          <t>گزینه های مطالبات از کمبو مروبطه حذف گردد</t>
        </is>
      </c>
      <c r="C34" t="inlineStr">
        <is>
          <t>تکمیل توضیحات: گزینه های مطالبات از کمبو مروبطه حذف گردد...</t>
        </is>
      </c>
      <c r="D34" t="inlineStr">
        <is>
          <t>Critical</t>
        </is>
      </c>
      <c r="E34" t="inlineStr">
        <is>
          <t>P1</t>
        </is>
      </c>
      <c r="F34" t="inlineStr">
        <is>
          <t>Done</t>
        </is>
      </c>
      <c r="G34" t="inlineStr">
        <is>
          <t>Data</t>
        </is>
      </c>
      <c r="H34" t="b">
        <v>1</v>
      </c>
      <c r="I34" t="b">
        <v>0</v>
      </c>
      <c r="J34" t="inlineStr">
        <is>
          <t>PRJ-001</t>
        </is>
      </c>
      <c r="K34" t="inlineStr">
        <is>
          <t>Dem System</t>
        </is>
      </c>
      <c r="L34" t="inlineStr">
        <is>
          <t>Team Gamma</t>
        </is>
      </c>
      <c r="M34" t="inlineStr">
        <is>
          <t>T03</t>
        </is>
      </c>
      <c r="N34" t="inlineStr">
        <is>
          <t>M09</t>
        </is>
      </c>
      <c r="O34" t="inlineStr">
        <is>
          <t>Dem\DemBiz\SP_88</t>
        </is>
      </c>
      <c r="P34" t="inlineStr">
        <is>
          <t>Sprint 23</t>
        </is>
      </c>
      <c r="Q34" t="inlineStr">
        <is>
          <t>S23</t>
        </is>
      </c>
      <c r="R34" t="inlineStr">
        <is>
          <t>Data;Critical</t>
        </is>
      </c>
      <c r="S34" t="n">
        <v/>
      </c>
      <c r="T34" t="inlineStr">
        <is>
          <t>کامنت 4 مورد</t>
        </is>
      </c>
      <c r="U34" t="inlineStr">
        <is>
          <t>Ali Rezaei</t>
        </is>
      </c>
      <c r="V34" t="inlineStr">
        <is>
          <t>U374</t>
        </is>
      </c>
      <c r="W34" t="inlineStr">
        <is>
          <t>Mohammad Safari</t>
        </is>
      </c>
      <c r="X34" t="inlineStr">
        <is>
          <t>U093</t>
        </is>
      </c>
      <c r="Y34" t="inlineStr">
        <is>
          <t>Ali Rezaei</t>
        </is>
      </c>
      <c r="Z34" t="inlineStr">
        <is>
          <t>U374</t>
        </is>
      </c>
      <c r="AA34" t="inlineStr">
        <is>
          <t>Mina Hosseini</t>
        </is>
      </c>
      <c r="AB34" t="inlineStr">
        <is>
          <t>U860</t>
        </is>
      </c>
      <c r="AC34" t="inlineStr">
        <is>
          <t>2024-01-02</t>
        </is>
      </c>
      <c r="AD34" t="inlineStr">
        <is>
          <t>2024-01-02 05:00:00</t>
        </is>
      </c>
      <c r="AE34" t="inlineStr">
        <is>
          <t>2024-01-03 04:00:00</t>
        </is>
      </c>
      <c r="AF34" t="inlineStr">
        <is>
          <t>2024-01-03 13:00:00</t>
        </is>
      </c>
      <c r="AG34" t="inlineStr">
        <is>
          <t>2024-01-03 13:00:00</t>
        </is>
      </c>
      <c r="AH34" t="inlineStr">
        <is>
          <t>2024-01-05 02:00:00</t>
        </is>
      </c>
      <c r="AI34" t="inlineStr">
        <is>
          <t>2024-01-05 10:00:00</t>
        </is>
      </c>
      <c r="AJ34" t="inlineStr">
        <is>
          <t>2024-01-05 13:00:00</t>
        </is>
      </c>
      <c r="AK34" t="inlineStr">
        <is>
          <t>2024-01-05 13:00:00</t>
        </is>
      </c>
      <c r="AL34" t="n">
        <v/>
      </c>
      <c r="AM34" t="inlineStr">
        <is>
          <t>2024-01-05 13:00:00</t>
        </is>
      </c>
      <c r="AN34" t="inlineStr">
        <is>
          <t>2024-01-30</t>
        </is>
      </c>
      <c r="AO34" t="n">
        <v>0</v>
      </c>
      <c r="AP34" t="n">
        <v/>
      </c>
      <c r="AQ34" t="n">
        <v/>
      </c>
      <c r="AR34" t="inlineStr">
        <is>
          <t>Resolved</t>
        </is>
      </c>
      <c r="AS34" t="n">
        <v>9</v>
      </c>
      <c r="AT34" t="n">
        <v>23</v>
      </c>
      <c r="AU34" t="n">
        <v>9</v>
      </c>
      <c r="AV34" t="n">
        <v>37</v>
      </c>
      <c r="AW34" t="n">
        <v>8</v>
      </c>
      <c r="AX34" t="inlineStr">
        <is>
          <t>[{"state": "Open", "timestamp": "2024-01-02T00:00:00"}, {"state": "Triage", "timestamp": "2024-01-02T05:00:00"}]</t>
        </is>
      </c>
      <c r="AY34" t="n">
        <v>3</v>
      </c>
      <c r="AZ34" t="n">
        <v>11</v>
      </c>
      <c r="BA34" t="n">
        <v>1</v>
      </c>
      <c r="BB34" t="n">
        <v>7.525474915525509</v>
      </c>
      <c r="BC34" t="n">
        <v>28.37670821305043</v>
      </c>
      <c r="BD34" t="n">
        <v>16.38213541048425</v>
      </c>
      <c r="BE34" t="n">
        <v>15.53953803428648</v>
      </c>
      <c r="BF34" t="n">
        <v>0</v>
      </c>
      <c r="BG34" t="n">
        <v>67.82385657334667</v>
      </c>
      <c r="BH34" t="n">
        <v>86.92863377248401</v>
      </c>
      <c r="BI34" t="n">
        <v/>
      </c>
      <c r="BJ34" t="n">
        <v/>
      </c>
      <c r="BK34" t="n">
        <v>28</v>
      </c>
      <c r="BL34" t="n">
        <v>40</v>
      </c>
      <c r="BM34" t="n">
        <v>37</v>
      </c>
      <c r="BN34" t="n">
        <v>723.770791270324</v>
      </c>
      <c r="BO34" t="inlineStr">
        <is>
          <t>Integration</t>
        </is>
      </c>
      <c r="BP34" t="inlineStr">
        <is>
          <t>Fixed</t>
        </is>
      </c>
      <c r="BQ34" t="n">
        <v/>
      </c>
      <c r="BR34" t="n">
        <v/>
      </c>
      <c r="BS34" t="b">
        <v>0</v>
      </c>
      <c r="BT34" t="n">
        <v/>
      </c>
      <c r="BU34" t="n">
        <v>3</v>
      </c>
      <c r="BV34" t="n">
        <v>0</v>
      </c>
    </row>
    <row r="35">
      <c r="A35" t="n">
        <v>190586</v>
      </c>
      <c r="B35" t="inlineStr">
        <is>
          <t>کمبو اقدام کننده در فرم انتخاب کارشناس</t>
        </is>
      </c>
      <c r="C35" t="inlineStr">
        <is>
          <t>تکمیل توضیحات: کمبو اقدام کننده در فرم انتخاب کارشناس...</t>
        </is>
      </c>
      <c r="D35" t="inlineStr">
        <is>
          <t>Low</t>
        </is>
      </c>
      <c r="E35" t="inlineStr">
        <is>
          <t>P2</t>
        </is>
      </c>
      <c r="F35" t="inlineStr">
        <is>
          <t>Resolved</t>
        </is>
      </c>
      <c r="G35" t="inlineStr">
        <is>
          <t>UI</t>
        </is>
      </c>
      <c r="H35" t="b">
        <v>0</v>
      </c>
      <c r="I35" t="b">
        <v>0</v>
      </c>
      <c r="J35" t="inlineStr">
        <is>
          <t>PRJ-001</t>
        </is>
      </c>
      <c r="K35" t="inlineStr">
        <is>
          <t>Dem System</t>
        </is>
      </c>
      <c r="L35" t="inlineStr">
        <is>
          <t>Team Gamma</t>
        </is>
      </c>
      <c r="M35" t="inlineStr">
        <is>
          <t>T03</t>
        </is>
      </c>
      <c r="N35" t="inlineStr">
        <is>
          <t>M09</t>
        </is>
      </c>
      <c r="O35" t="inlineStr">
        <is>
          <t>Dem\DemBiz\SP_88</t>
        </is>
      </c>
      <c r="P35" t="inlineStr">
        <is>
          <t>Sprint 26</t>
        </is>
      </c>
      <c r="Q35" t="inlineStr">
        <is>
          <t>S26</t>
        </is>
      </c>
      <c r="R35" t="inlineStr">
        <is>
          <t>UI;Low</t>
        </is>
      </c>
      <c r="S35" t="n">
        <v/>
      </c>
      <c r="T35" t="inlineStr">
        <is>
          <t>کامنت 0 مورد</t>
        </is>
      </c>
      <c r="U35" t="inlineStr">
        <is>
          <t>Sara Ahmadi</t>
        </is>
      </c>
      <c r="V35" t="inlineStr">
        <is>
          <t>U091</t>
        </is>
      </c>
      <c r="W35" t="inlineStr">
        <is>
          <t>Mohammad Safari</t>
        </is>
      </c>
      <c r="X35" t="inlineStr">
        <is>
          <t>U093</t>
        </is>
      </c>
      <c r="Y35" t="inlineStr">
        <is>
          <t>Ali Rezaei</t>
        </is>
      </c>
      <c r="Z35" t="inlineStr">
        <is>
          <t>U374</t>
        </is>
      </c>
      <c r="AA35" t="inlineStr">
        <is>
          <t>Ali Rezaei</t>
        </is>
      </c>
      <c r="AB35" t="inlineStr">
        <is>
          <t>U374</t>
        </is>
      </c>
      <c r="AC35" t="inlineStr">
        <is>
          <t>2024-01-19</t>
        </is>
      </c>
      <c r="AD35" t="inlineStr">
        <is>
          <t>2024-01-20 09:00:00</t>
        </is>
      </c>
      <c r="AE35" t="inlineStr">
        <is>
          <t>2024-01-20 17:00:00</t>
        </is>
      </c>
      <c r="AF35" t="inlineStr">
        <is>
          <t>2024-01-22 06:00:00</t>
        </is>
      </c>
      <c r="AG35" t="inlineStr">
        <is>
          <t>2024-01-22 06:00:00</t>
        </is>
      </c>
      <c r="AH35" t="inlineStr">
        <is>
          <t>2024-01-26 03:00:00</t>
        </is>
      </c>
      <c r="AI35" t="inlineStr">
        <is>
          <t>2024-01-27 14:00:00</t>
        </is>
      </c>
      <c r="AJ35" t="n">
        <v/>
      </c>
      <c r="AK35" t="n">
        <v/>
      </c>
      <c r="AL35" t="n">
        <v/>
      </c>
      <c r="AM35" t="inlineStr">
        <is>
          <t>2024-01-27 14:00:00</t>
        </is>
      </c>
      <c r="AN35" t="inlineStr">
        <is>
          <t>2024-02-08</t>
        </is>
      </c>
      <c r="AO35" t="n">
        <v>0</v>
      </c>
      <c r="AP35" t="n">
        <v/>
      </c>
      <c r="AQ35" t="n">
        <v/>
      </c>
      <c r="AR35" t="inlineStr">
        <is>
          <t>Ready for Retest</t>
        </is>
      </c>
      <c r="AS35" t="n">
        <v>6</v>
      </c>
      <c r="AT35" t="n">
        <v>8</v>
      </c>
      <c r="AU35" t="n">
        <v>37</v>
      </c>
      <c r="AV35" t="n">
        <v>93</v>
      </c>
      <c r="AW35" t="n">
        <v>35</v>
      </c>
      <c r="AX35" t="inlineStr">
        <is>
          <t>[{"state": "Open", "timestamp": "2024-01-19T00:00:00"}, {"state": "Triage", "timestamp": "2024-01-20T09:00:00"}]</t>
        </is>
      </c>
      <c r="AY35" t="n">
        <v>0</v>
      </c>
      <c r="AZ35" t="n">
        <v>8</v>
      </c>
      <c r="BA35" t="n">
        <v>1</v>
      </c>
      <c r="BB35" t="n">
        <v>1.531407081094949</v>
      </c>
      <c r="BC35" t="n">
        <v>32.03591410800794</v>
      </c>
      <c r="BD35" t="n">
        <v>5.996168108081299</v>
      </c>
      <c r="BE35" t="n">
        <v>8.846467662552232</v>
      </c>
      <c r="BF35" t="n">
        <v>0</v>
      </c>
      <c r="BG35" t="n">
        <v>48.40995695973642</v>
      </c>
      <c r="BH35" t="n">
        <v>59.02646749953914</v>
      </c>
      <c r="BI35" t="n">
        <v/>
      </c>
      <c r="BJ35" t="n">
        <v/>
      </c>
      <c r="BK35" t="n">
        <v>41</v>
      </c>
      <c r="BL35" t="n">
        <v>80</v>
      </c>
      <c r="BM35" t="n">
        <v>93</v>
      </c>
      <c r="BN35" t="n">
        <v>706.7707912704282</v>
      </c>
      <c r="BO35" t="inlineStr">
        <is>
          <t>Design</t>
        </is>
      </c>
      <c r="BP35" t="inlineStr">
        <is>
          <t>Fixed</t>
        </is>
      </c>
      <c r="BQ35" t="n">
        <v/>
      </c>
      <c r="BR35" t="inlineStr">
        <is>
          <t>TC-8428</t>
        </is>
      </c>
      <c r="BS35" t="b">
        <v>0</v>
      </c>
      <c r="BT35" t="n">
        <v/>
      </c>
      <c r="BU35" t="n">
        <v>0</v>
      </c>
      <c r="BV35" t="n">
        <v>1</v>
      </c>
    </row>
    <row r="36">
      <c r="A36" t="n">
        <v>190788</v>
      </c>
      <c r="B36" t="inlineStr">
        <is>
          <t>باگ های ویرایش عقود به جز حد و سقف و مشارکتی</t>
        </is>
      </c>
      <c r="C36" t="inlineStr">
        <is>
          <t>تکمیل توضیحات: باگ های ویرایش عقود به جز حد و سقف و مشارکتی...</t>
        </is>
      </c>
      <c r="D36" t="inlineStr">
        <is>
          <t>Low</t>
        </is>
      </c>
      <c r="E36" t="inlineStr">
        <is>
          <t>P3</t>
        </is>
      </c>
      <c r="F36" t="inlineStr">
        <is>
          <t>Active</t>
        </is>
      </c>
      <c r="G36" t="inlineStr">
        <is>
          <t>Data</t>
        </is>
      </c>
      <c r="H36" t="b">
        <v>0</v>
      </c>
      <c r="I36" t="b">
        <v>0</v>
      </c>
      <c r="J36" t="inlineStr">
        <is>
          <t>PRJ-001</t>
        </is>
      </c>
      <c r="K36" t="inlineStr">
        <is>
          <t>Dem System</t>
        </is>
      </c>
      <c r="L36" t="inlineStr">
        <is>
          <t>Team Delta</t>
        </is>
      </c>
      <c r="M36" t="inlineStr">
        <is>
          <t>T04</t>
        </is>
      </c>
      <c r="N36" t="inlineStr">
        <is>
          <t>M09</t>
        </is>
      </c>
      <c r="O36" t="inlineStr">
        <is>
          <t>Dem\DemBiz\SP_88</t>
        </is>
      </c>
      <c r="P36" t="inlineStr">
        <is>
          <t>Sprint 24</t>
        </is>
      </c>
      <c r="Q36" t="inlineStr">
        <is>
          <t>S24</t>
        </is>
      </c>
      <c r="R36" t="inlineStr">
        <is>
          <t>Data;Low</t>
        </is>
      </c>
      <c r="S36" t="n">
        <v/>
      </c>
      <c r="T36" t="inlineStr">
        <is>
          <t>کامنت 4 مورد</t>
        </is>
      </c>
      <c r="U36" t="inlineStr">
        <is>
          <t>Mina Hosseini</t>
        </is>
      </c>
      <c r="V36" t="inlineStr">
        <is>
          <t>U860</t>
        </is>
      </c>
      <c r="W36" t="inlineStr">
        <is>
          <t>Mina Hosseini</t>
        </is>
      </c>
      <c r="X36" t="inlineStr">
        <is>
          <t>U860</t>
        </is>
      </c>
      <c r="Y36" t="n">
        <v/>
      </c>
      <c r="Z36" t="n">
        <v/>
      </c>
      <c r="AA36" t="n">
        <v/>
      </c>
      <c r="AB36" t="n">
        <v/>
      </c>
      <c r="AC36" t="inlineStr">
        <is>
          <t>2024-05-18</t>
        </is>
      </c>
      <c r="AD36" t="inlineStr">
        <is>
          <t>2024-05-18 09:00:00</t>
        </is>
      </c>
      <c r="AE36" t="inlineStr">
        <is>
          <t>2024-05-19 09:00:00</t>
        </is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inlineStr">
        <is>
          <t>2024-05-19 09:00:00</t>
        </is>
      </c>
      <c r="AN36" t="inlineStr">
        <is>
          <t>2024-06-30</t>
        </is>
      </c>
      <c r="AO36" t="n">
        <v>0</v>
      </c>
      <c r="AP36" t="n">
        <v/>
      </c>
      <c r="AQ36" t="n">
        <v/>
      </c>
      <c r="AR36" t="inlineStr">
        <is>
          <t>Triage</t>
        </is>
      </c>
      <c r="AS36" t="n">
        <v>3</v>
      </c>
      <c r="AT36" t="n">
        <v>24</v>
      </c>
      <c r="AU36" t="n">
        <v/>
      </c>
      <c r="AV36" t="n">
        <v/>
      </c>
      <c r="AW36" t="n">
        <v/>
      </c>
      <c r="AX36" t="inlineStr">
        <is>
          <t>[{"state": "Open", "timestamp": "2024-05-18T00:00:00"}, {"state": "Triage", "timestamp": "2024-05-18T09:00:00"}]</t>
        </is>
      </c>
      <c r="AY36" t="n">
        <v>2</v>
      </c>
      <c r="AZ36" t="n">
        <v>5</v>
      </c>
      <c r="BA36" t="n">
        <v>1</v>
      </c>
      <c r="BB36" t="n">
        <v>3.057997632876939</v>
      </c>
      <c r="BC36" t="n">
        <v>35.71020833088509</v>
      </c>
      <c r="BD36" t="n">
        <v>2.804214138622297</v>
      </c>
      <c r="BE36" t="n">
        <v>10.44097957202894</v>
      </c>
      <c r="BF36" t="n">
        <v>0</v>
      </c>
      <c r="BG36" t="n">
        <v>52.01339967441327</v>
      </c>
      <c r="BH36" t="n">
        <v>61.90859748554056</v>
      </c>
      <c r="BI36" t="n">
        <v/>
      </c>
      <c r="BJ36" t="n">
        <v/>
      </c>
      <c r="BK36" t="n">
        <v>33</v>
      </c>
      <c r="BL36" t="n">
        <v>24</v>
      </c>
      <c r="BM36" t="n">
        <v>0</v>
      </c>
      <c r="BN36" t="n">
        <v>586.7707912705439</v>
      </c>
      <c r="BO36" t="n">
        <v/>
      </c>
      <c r="BP36" t="n">
        <v/>
      </c>
      <c r="BQ36" t="n">
        <v/>
      </c>
      <c r="BR36" t="n">
        <v/>
      </c>
      <c r="BS36" t="b">
        <v>0</v>
      </c>
      <c r="BT36" t="n">
        <v/>
      </c>
      <c r="BU36" t="n">
        <v>0</v>
      </c>
      <c r="BV36" t="n">
        <v>0</v>
      </c>
    </row>
    <row r="37">
      <c r="A37" t="n">
        <v>190916</v>
      </c>
      <c r="B37" t="inlineStr">
        <is>
          <t>دکمه تایید و ادامه در فرم ورود اطلاعات پیشنهاد شعبه پیغام خطا می دهد</t>
        </is>
      </c>
      <c r="C37" t="inlineStr">
        <is>
          <t>تکمیل توضیحات: دکمه تایید و ادامه در فرم ورود اطلاعات پیشنهاد شعب...</t>
        </is>
      </c>
      <c r="D37" t="inlineStr">
        <is>
          <t>Low</t>
        </is>
      </c>
      <c r="E37" t="inlineStr">
        <is>
          <t>P2</t>
        </is>
      </c>
      <c r="F37" t="inlineStr">
        <is>
          <t>Closed</t>
        </is>
      </c>
      <c r="G37" t="inlineStr">
        <is>
          <t>Data</t>
        </is>
      </c>
      <c r="H37" t="b">
        <v>0</v>
      </c>
      <c r="I37" t="b">
        <v>0</v>
      </c>
      <c r="J37" t="inlineStr">
        <is>
          <t>PRJ-001</t>
        </is>
      </c>
      <c r="K37" t="inlineStr">
        <is>
          <t>Dem System</t>
        </is>
      </c>
      <c r="L37" t="inlineStr">
        <is>
          <t>Team Gamma</t>
        </is>
      </c>
      <c r="M37" t="inlineStr">
        <is>
          <t>T03</t>
        </is>
      </c>
      <c r="N37" t="inlineStr">
        <is>
          <t>M09</t>
        </is>
      </c>
      <c r="O37" t="inlineStr">
        <is>
          <t>Dem\DemBiz\SP_88</t>
        </is>
      </c>
      <c r="P37" t="inlineStr">
        <is>
          <t>Sprint 25</t>
        </is>
      </c>
      <c r="Q37" t="inlineStr">
        <is>
          <t>S25</t>
        </is>
      </c>
      <c r="R37" t="inlineStr">
        <is>
          <t>Data;Low</t>
        </is>
      </c>
      <c r="S37" t="n">
        <v/>
      </c>
      <c r="T37" t="inlineStr">
        <is>
          <t>کامنت 2 مورد</t>
        </is>
      </c>
      <c r="U37" t="inlineStr">
        <is>
          <t>Reza Mohammadi</t>
        </is>
      </c>
      <c r="V37" t="inlineStr">
        <is>
          <t>U493</t>
        </is>
      </c>
      <c r="W37" t="inlineStr">
        <is>
          <t>Hassan Karimi</t>
        </is>
      </c>
      <c r="X37" t="inlineStr">
        <is>
          <t>U829</t>
        </is>
      </c>
      <c r="Y37" t="inlineStr">
        <is>
          <t>Mohammad Safari</t>
        </is>
      </c>
      <c r="Z37" t="inlineStr">
        <is>
          <t>U093</t>
        </is>
      </c>
      <c r="AA37" t="inlineStr">
        <is>
          <t>Ali Rezaei</t>
        </is>
      </c>
      <c r="AB37" t="inlineStr">
        <is>
          <t>U374</t>
        </is>
      </c>
      <c r="AC37" t="inlineStr">
        <is>
          <t>2024-05-27</t>
        </is>
      </c>
      <c r="AD37" t="inlineStr">
        <is>
          <t>2024-05-28 07:00:00</t>
        </is>
      </c>
      <c r="AE37" t="inlineStr">
        <is>
          <t>2024-05-28 15:00:00</t>
        </is>
      </c>
      <c r="AF37" t="inlineStr">
        <is>
          <t>2024-05-31 05:00:00</t>
        </is>
      </c>
      <c r="AG37" t="inlineStr">
        <is>
          <t>2024-05-31 05:00:00</t>
        </is>
      </c>
      <c r="AH37" t="inlineStr">
        <is>
          <t>2024-06-04 20:00:00</t>
        </is>
      </c>
      <c r="AI37" t="inlineStr">
        <is>
          <t>2024-06-06 02:00:00</t>
        </is>
      </c>
      <c r="AJ37" t="inlineStr">
        <is>
          <t>2024-06-06 10:00:00</t>
        </is>
      </c>
      <c r="AK37" t="inlineStr">
        <is>
          <t>2024-06-06 12:00:00</t>
        </is>
      </c>
      <c r="AL37" t="inlineStr">
        <is>
          <t>2024-06-06 19:00:00</t>
        </is>
      </c>
      <c r="AM37" t="inlineStr">
        <is>
          <t>2024-06-06 19:00:00</t>
        </is>
      </c>
      <c r="AN37" t="inlineStr">
        <is>
          <t>2024-07-15</t>
        </is>
      </c>
      <c r="AO37" t="n">
        <v>3</v>
      </c>
      <c r="AP37" t="inlineStr">
        <is>
          <t>2024-06-12 19:00:00</t>
        </is>
      </c>
      <c r="AQ37" t="inlineStr">
        <is>
          <t>2024-06-15 19:00:00</t>
        </is>
      </c>
      <c r="AR37" t="inlineStr">
        <is>
          <t>Done</t>
        </is>
      </c>
      <c r="AS37" t="n">
        <v>7</v>
      </c>
      <c r="AT37" t="n">
        <v>8</v>
      </c>
      <c r="AU37" t="n">
        <v>62</v>
      </c>
      <c r="AV37" t="n">
        <v>111</v>
      </c>
      <c r="AW37" t="n">
        <v>30</v>
      </c>
      <c r="AX37" t="inlineStr">
        <is>
          <t>[{"state": "Open", "timestamp": "2024-05-27T00:00:00"}, {"state": "Triage", "timestamp": "2024-05-28T07:00:00"}]</t>
        </is>
      </c>
      <c r="AY37" t="n">
        <v>4</v>
      </c>
      <c r="AZ37" t="n">
        <v>7</v>
      </c>
      <c r="BA37" t="n">
        <v>4</v>
      </c>
      <c r="BB37" t="n">
        <v>1.351051409304418</v>
      </c>
      <c r="BC37" t="n">
        <v>14.1818111172099</v>
      </c>
      <c r="BD37" t="n">
        <v>14.08637472460094</v>
      </c>
      <c r="BE37" t="n">
        <v>11.43623033476926</v>
      </c>
      <c r="BF37" t="n">
        <v>29.40097725856432</v>
      </c>
      <c r="BG37" t="n">
        <v>70.45644484444882</v>
      </c>
      <c r="BH37" t="n">
        <v>60.22206117646571</v>
      </c>
      <c r="BI37" t="n">
        <v>259</v>
      </c>
      <c r="BJ37" t="n">
        <v>158</v>
      </c>
      <c r="BK37" t="n">
        <v>39</v>
      </c>
      <c r="BL37" t="n">
        <v>100</v>
      </c>
      <c r="BM37" t="n">
        <v>111</v>
      </c>
      <c r="BN37" t="n">
        <v>577.7707912706481</v>
      </c>
      <c r="BO37" t="inlineStr">
        <is>
          <t>Design</t>
        </is>
      </c>
      <c r="BP37" t="inlineStr">
        <is>
          <t>Fixed</t>
        </is>
      </c>
      <c r="BQ37" t="inlineStr">
        <is>
          <t>Cannot Reproduce</t>
        </is>
      </c>
      <c r="BR37" t="inlineStr">
        <is>
          <t>TC-7065</t>
        </is>
      </c>
      <c r="BS37" t="b">
        <v>0</v>
      </c>
      <c r="BT37" t="n">
        <v/>
      </c>
      <c r="BU37" t="n">
        <v>1</v>
      </c>
      <c r="BV37" t="n">
        <v>2</v>
      </c>
    </row>
    <row r="38">
      <c r="A38" t="n">
        <v>145770</v>
      </c>
      <c r="B38" t="inlineStr">
        <is>
          <t>فرم تکمیل اطلاعات/تب نظریه کارشناسی/فیلد پرونده های الکترونیک</t>
        </is>
      </c>
      <c r="C38" t="inlineStr">
        <is>
          <t>تکمیل توضیحات: فرم تکمیل اطلاعات/تب نظریه کارشناسی/فیلد پرونده ها...</t>
        </is>
      </c>
      <c r="D38" t="inlineStr">
        <is>
          <t>High</t>
        </is>
      </c>
      <c r="E38" t="inlineStr">
        <is>
          <t>P2</t>
        </is>
      </c>
      <c r="F38" t="inlineStr">
        <is>
          <t>In Progress</t>
        </is>
      </c>
      <c r="G38" t="inlineStr">
        <is>
          <t>Integration</t>
        </is>
      </c>
      <c r="H38" t="b">
        <v>0</v>
      </c>
      <c r="I38" t="b">
        <v>0</v>
      </c>
      <c r="J38" t="inlineStr">
        <is>
          <t>PRJ-001</t>
        </is>
      </c>
      <c r="K38" t="inlineStr">
        <is>
          <t>Dem System</t>
        </is>
      </c>
      <c r="L38" t="inlineStr">
        <is>
          <t>Team Gamma</t>
        </is>
      </c>
      <c r="M38" t="inlineStr">
        <is>
          <t>T03</t>
        </is>
      </c>
      <c r="N38" t="inlineStr">
        <is>
          <t>M09</t>
        </is>
      </c>
      <c r="O38" t="inlineStr">
        <is>
          <t>Dem\DemBiz\SP_88</t>
        </is>
      </c>
      <c r="P38" t="inlineStr">
        <is>
          <t>Sprint 23</t>
        </is>
      </c>
      <c r="Q38" t="inlineStr">
        <is>
          <t>S23</t>
        </is>
      </c>
      <c r="R38" t="inlineStr">
        <is>
          <t>Integration;High</t>
        </is>
      </c>
      <c r="S38" t="n">
        <v/>
      </c>
      <c r="T38" t="inlineStr">
        <is>
          <t>کامنت 3 مورد</t>
        </is>
      </c>
      <c r="U38" t="inlineStr">
        <is>
          <t>Reza Mohammadi</t>
        </is>
      </c>
      <c r="V38" t="inlineStr">
        <is>
          <t>U493</t>
        </is>
      </c>
      <c r="W38" t="inlineStr">
        <is>
          <t>Fateme Akbari</t>
        </is>
      </c>
      <c r="X38" t="inlineStr">
        <is>
          <t>U511</t>
        </is>
      </c>
      <c r="Y38" t="n">
        <v/>
      </c>
      <c r="Z38" t="n">
        <v/>
      </c>
      <c r="AA38" t="n">
        <v/>
      </c>
      <c r="AB38" t="n">
        <v/>
      </c>
      <c r="AC38" t="inlineStr">
        <is>
          <t>2024-04-15</t>
        </is>
      </c>
      <c r="AD38" t="inlineStr">
        <is>
          <t>2024-04-16 06:00:00</t>
        </is>
      </c>
      <c r="AE38" t="inlineStr">
        <is>
          <t>2024-04-17 06:00:00</t>
        </is>
      </c>
      <c r="AF38" t="inlineStr">
        <is>
          <t>2024-04-17 14:00:00</t>
        </is>
      </c>
      <c r="AG38" t="inlineStr">
        <is>
          <t>2024-04-17 14:00:00</t>
        </is>
      </c>
      <c r="AH38" t="n">
        <v/>
      </c>
      <c r="AI38" t="n">
        <v/>
      </c>
      <c r="AJ38" t="n">
        <v/>
      </c>
      <c r="AK38" t="n">
        <v/>
      </c>
      <c r="AL38" t="n">
        <v/>
      </c>
      <c r="AM38" t="inlineStr">
        <is>
          <t>2024-04-17 14:00:00</t>
        </is>
      </c>
      <c r="AN38" t="inlineStr">
        <is>
          <t>2024-06-04</t>
        </is>
      </c>
      <c r="AO38" t="n">
        <v>0</v>
      </c>
      <c r="AP38" t="n">
        <v/>
      </c>
      <c r="AQ38" t="n">
        <v/>
      </c>
      <c r="AR38" t="inlineStr">
        <is>
          <t>Active</t>
        </is>
      </c>
      <c r="AS38" t="n">
        <v>6</v>
      </c>
      <c r="AT38" t="n">
        <v>24</v>
      </c>
      <c r="AU38" t="n">
        <v>8</v>
      </c>
      <c r="AV38" t="n">
        <v/>
      </c>
      <c r="AW38" t="n">
        <v/>
      </c>
      <c r="AX38" t="inlineStr">
        <is>
          <t>[{"state": "Open", "timestamp": "2024-04-15T00:00:00"}, {"state": "Triage", "timestamp": "2024-04-16T06:00:00"}]</t>
        </is>
      </c>
      <c r="AY38" t="n">
        <v>2</v>
      </c>
      <c r="AZ38" t="n">
        <v>6</v>
      </c>
      <c r="BA38" t="n">
        <v>1</v>
      </c>
      <c r="BB38" t="n">
        <v>7.435202137089221</v>
      </c>
      <c r="BC38" t="n">
        <v>15.64773515295782</v>
      </c>
      <c r="BD38" t="n">
        <v>12.76438551220774</v>
      </c>
      <c r="BE38" t="n">
        <v>7.818115971516598</v>
      </c>
      <c r="BF38" t="n">
        <v>0</v>
      </c>
      <c r="BG38" t="n">
        <v>43.66543877377138</v>
      </c>
      <c r="BH38" t="n">
        <v>35.04293603226701</v>
      </c>
      <c r="BI38" t="n">
        <v/>
      </c>
      <c r="BJ38" t="n">
        <v/>
      </c>
      <c r="BK38" t="n">
        <v>54</v>
      </c>
      <c r="BL38" t="n">
        <v>32</v>
      </c>
      <c r="BM38" t="n">
        <v>0</v>
      </c>
      <c r="BN38" t="n">
        <v>619.7707912707523</v>
      </c>
      <c r="BO38" t="n">
        <v/>
      </c>
      <c r="BP38" t="n">
        <v/>
      </c>
      <c r="BQ38" t="n">
        <v/>
      </c>
      <c r="BR38" t="inlineStr">
        <is>
          <t>TC-5374</t>
        </is>
      </c>
      <c r="BS38" t="b">
        <v>0</v>
      </c>
      <c r="BT38" t="n">
        <v/>
      </c>
      <c r="BU38" t="n">
        <v>0</v>
      </c>
      <c r="BV38" t="n">
        <v>0</v>
      </c>
    </row>
    <row r="39">
      <c r="A39" t="n">
        <v>194846</v>
      </c>
      <c r="B39" t="inlineStr">
        <is>
          <t>رفع باگ / بررسی کاستومر هایی که فیلد Updatefw = 225135</t>
        </is>
      </c>
      <c r="C39" t="inlineStr">
        <is>
          <t>تکمیل توضیحات: رفع باگ / بررسی کاستومر هایی که فیلد Updatefw = 22...</t>
        </is>
      </c>
      <c r="D39" t="inlineStr">
        <is>
          <t>Critical</t>
        </is>
      </c>
      <c r="E39" t="inlineStr">
        <is>
          <t>P3</t>
        </is>
      </c>
      <c r="F39" t="inlineStr">
        <is>
          <t>Open</t>
        </is>
      </c>
      <c r="G39" t="inlineStr">
        <is>
          <t>Data</t>
        </is>
      </c>
      <c r="H39" t="b">
        <v>0</v>
      </c>
      <c r="I39" t="b">
        <v>1</v>
      </c>
      <c r="J39" t="inlineStr">
        <is>
          <t>PRJ-001</t>
        </is>
      </c>
      <c r="K39" t="inlineStr">
        <is>
          <t>Dem System</t>
        </is>
      </c>
      <c r="L39" t="inlineStr">
        <is>
          <t>Team Gamma</t>
        </is>
      </c>
      <c r="M39" t="inlineStr">
        <is>
          <t>T03</t>
        </is>
      </c>
      <c r="N39" t="inlineStr">
        <is>
          <t>M09</t>
        </is>
      </c>
      <c r="O39" t="inlineStr">
        <is>
          <t>Dem\DemBiz\SP_88</t>
        </is>
      </c>
      <c r="P39" t="inlineStr">
        <is>
          <t>Sprint 27</t>
        </is>
      </c>
      <c r="Q39" t="inlineStr">
        <is>
          <t>S27</t>
        </is>
      </c>
      <c r="R39" t="inlineStr">
        <is>
          <t>Data;Critical</t>
        </is>
      </c>
      <c r="S39" t="n">
        <v/>
      </c>
      <c r="T39" t="inlineStr">
        <is>
          <t>کامنت 0 مورد</t>
        </is>
      </c>
      <c r="U39" t="inlineStr">
        <is>
          <t>Ali Rezaei</t>
        </is>
      </c>
      <c r="V39" t="inlineStr">
        <is>
          <t>U374</t>
        </is>
      </c>
      <c r="W39" t="inlineStr">
        <is>
          <t>Mina Hosseini</t>
        </is>
      </c>
      <c r="X39" t="inlineStr">
        <is>
          <t>U860</t>
        </is>
      </c>
      <c r="Y39" t="n">
        <v/>
      </c>
      <c r="Z39" t="n">
        <v/>
      </c>
      <c r="AA39" t="n">
        <v/>
      </c>
      <c r="AB39" t="n">
        <v/>
      </c>
      <c r="AC39" t="inlineStr">
        <is>
          <t>2024-06-16</t>
        </is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inlineStr">
        <is>
          <t>2024-06-16 00:00:00</t>
        </is>
      </c>
      <c r="AN39" t="inlineStr">
        <is>
          <t>2024-08-03</t>
        </is>
      </c>
      <c r="AO39" t="n">
        <v>0</v>
      </c>
      <c r="AP39" t="n">
        <v/>
      </c>
      <c r="AQ39" t="n">
        <v/>
      </c>
      <c r="AR39" t="n">
        <v/>
      </c>
      <c r="AS39" t="n">
        <v>1</v>
      </c>
      <c r="AT39" t="n">
        <v/>
      </c>
      <c r="AU39" t="n">
        <v/>
      </c>
      <c r="AV39" t="n">
        <v/>
      </c>
      <c r="AW39" t="n">
        <v/>
      </c>
      <c r="AX39" t="inlineStr">
        <is>
          <t>[{"state": "Open", "timestamp": "2024-06-16T00:00:00"}, {"state": "Triage", "timestamp": ""}]</t>
        </is>
      </c>
      <c r="AY39" t="n">
        <v>4</v>
      </c>
      <c r="AZ39" t="n">
        <v>2</v>
      </c>
      <c r="BA39" t="n">
        <v>1</v>
      </c>
      <c r="BB39" t="n">
        <v>7.080045150357358</v>
      </c>
      <c r="BC39" t="n">
        <v>4.665295653793891</v>
      </c>
      <c r="BD39" t="n">
        <v>17.61070426377753</v>
      </c>
      <c r="BE39" t="n">
        <v>10.41337120126095</v>
      </c>
      <c r="BF39" t="n">
        <v>0</v>
      </c>
      <c r="BG39" t="n">
        <v>39.76941626918973</v>
      </c>
      <c r="BH39" t="n">
        <v>43.79352171768046</v>
      </c>
      <c r="BI39" t="n">
        <v/>
      </c>
      <c r="BJ39" t="n">
        <v/>
      </c>
      <c r="BK39" t="n">
        <v/>
      </c>
      <c r="BL39" t="n">
        <v>0</v>
      </c>
      <c r="BM39" t="n">
        <v>0</v>
      </c>
      <c r="BN39" t="n">
        <v>557.7707912708681</v>
      </c>
      <c r="BO39" t="n">
        <v/>
      </c>
      <c r="BP39" t="n">
        <v/>
      </c>
      <c r="BQ39" t="n">
        <v/>
      </c>
      <c r="BR39" t="n">
        <v/>
      </c>
      <c r="BS39" t="b">
        <v>0</v>
      </c>
      <c r="BT39" t="n">
        <v/>
      </c>
      <c r="BU39" t="n">
        <v>0</v>
      </c>
      <c r="BV39" t="n">
        <v>0</v>
      </c>
    </row>
    <row r="40">
      <c r="A40" t="n">
        <v>190892</v>
      </c>
      <c r="B40" t="inlineStr">
        <is>
          <t>حد و سقف اعتباری مشارکت مدنی ویژه &gt;کمبو از تاریخ صدور/تصویب&gt; اجباریه ولی ستاره نداره</t>
        </is>
      </c>
      <c r="C40" t="inlineStr">
        <is>
          <t>تکمیل توضیحات: حد و سقف اعتباری مشارکت مدنی ویژه &gt;کمبو از تاریخ ص...</t>
        </is>
      </c>
      <c r="D40" t="inlineStr">
        <is>
          <t>Medium</t>
        </is>
      </c>
      <c r="E40" t="inlineStr">
        <is>
          <t>P2</t>
        </is>
      </c>
      <c r="F40" t="inlineStr">
        <is>
          <t>Done</t>
        </is>
      </c>
      <c r="G40" t="inlineStr">
        <is>
          <t>Performance</t>
        </is>
      </c>
      <c r="H40" t="b">
        <v>0</v>
      </c>
      <c r="I40" t="b">
        <v>0</v>
      </c>
      <c r="J40" t="inlineStr">
        <is>
          <t>PRJ-001</t>
        </is>
      </c>
      <c r="K40" t="inlineStr">
        <is>
          <t>Dem System</t>
        </is>
      </c>
      <c r="L40" t="inlineStr">
        <is>
          <t>Team Alpha</t>
        </is>
      </c>
      <c r="M40" t="inlineStr">
        <is>
          <t>T01</t>
        </is>
      </c>
      <c r="N40" t="inlineStr">
        <is>
          <t>M09</t>
        </is>
      </c>
      <c r="O40" t="inlineStr">
        <is>
          <t>Dem\DemBiz\SP_88</t>
        </is>
      </c>
      <c r="P40" t="inlineStr">
        <is>
          <t>Sprint 24</t>
        </is>
      </c>
      <c r="Q40" t="inlineStr">
        <is>
          <t>S24</t>
        </is>
      </c>
      <c r="R40" t="inlineStr">
        <is>
          <t>Performance;Medium</t>
        </is>
      </c>
      <c r="S40" t="n">
        <v/>
      </c>
      <c r="T40" t="inlineStr">
        <is>
          <t>کامنت 0 مورد</t>
        </is>
      </c>
      <c r="U40" t="inlineStr">
        <is>
          <t>Fateme Akbari</t>
        </is>
      </c>
      <c r="V40" t="inlineStr">
        <is>
          <t>U511</t>
        </is>
      </c>
      <c r="W40" t="inlineStr">
        <is>
          <t>Fateme Akbari</t>
        </is>
      </c>
      <c r="X40" t="inlineStr">
        <is>
          <t>U511</t>
        </is>
      </c>
      <c r="Y40" t="inlineStr">
        <is>
          <t>Zahra Ebrahimi</t>
        </is>
      </c>
      <c r="Z40" t="inlineStr">
        <is>
          <t>U002</t>
        </is>
      </c>
      <c r="AA40" t="inlineStr">
        <is>
          <t>Mina Hosseini</t>
        </is>
      </c>
      <c r="AB40" t="inlineStr">
        <is>
          <t>U860</t>
        </is>
      </c>
      <c r="AC40" t="inlineStr">
        <is>
          <t>2024-01-26</t>
        </is>
      </c>
      <c r="AD40" t="inlineStr">
        <is>
          <t>2024-01-26 04:00:00</t>
        </is>
      </c>
      <c r="AE40" t="inlineStr">
        <is>
          <t>2024-01-26 17:00:00</t>
        </is>
      </c>
      <c r="AF40" t="inlineStr">
        <is>
          <t>2024-01-28 14:00:00</t>
        </is>
      </c>
      <c r="AG40" t="inlineStr">
        <is>
          <t>2024-01-28 14:00:00</t>
        </is>
      </c>
      <c r="AH40" t="inlineStr">
        <is>
          <t>2024-02-02 04:00:00</t>
        </is>
      </c>
      <c r="AI40" t="inlineStr">
        <is>
          <t>2024-02-02 14:00:00</t>
        </is>
      </c>
      <c r="AJ40" t="inlineStr">
        <is>
          <t>2024-02-02 23:00:00</t>
        </is>
      </c>
      <c r="AK40" t="inlineStr">
        <is>
          <t>2024-02-02 23:00:00</t>
        </is>
      </c>
      <c r="AL40" t="n">
        <v/>
      </c>
      <c r="AM40" t="inlineStr">
        <is>
          <t>2024-02-02 23:00:00</t>
        </is>
      </c>
      <c r="AN40" t="inlineStr">
        <is>
          <t>2024-02-14</t>
        </is>
      </c>
      <c r="AO40" t="n">
        <v>0</v>
      </c>
      <c r="AP40" t="n">
        <v/>
      </c>
      <c r="AQ40" t="n">
        <v/>
      </c>
      <c r="AR40" t="inlineStr">
        <is>
          <t>Resolved</t>
        </is>
      </c>
      <c r="AS40" t="n">
        <v>6</v>
      </c>
      <c r="AT40" t="n">
        <v>13</v>
      </c>
      <c r="AU40" t="n">
        <v>45</v>
      </c>
      <c r="AV40" t="n">
        <v>110</v>
      </c>
      <c r="AW40" t="n">
        <v>10</v>
      </c>
      <c r="AX40" t="inlineStr">
        <is>
          <t>[{"state": "Open", "timestamp": "2024-01-26T00:00:00"}, {"state": "Triage", "timestamp": "2024-01-26T04:00:00"}]</t>
        </is>
      </c>
      <c r="AY40" t="n">
        <v>0</v>
      </c>
      <c r="AZ40" t="n">
        <v>6</v>
      </c>
      <c r="BA40" t="n">
        <v>1</v>
      </c>
      <c r="BB40" t="n">
        <v>2.434562207863668</v>
      </c>
      <c r="BC40" t="n">
        <v>23.55292549885079</v>
      </c>
      <c r="BD40" t="n">
        <v>14.83388535417577</v>
      </c>
      <c r="BE40" t="n">
        <v>9.764714678846504</v>
      </c>
      <c r="BF40" t="n">
        <v>0</v>
      </c>
      <c r="BG40" t="n">
        <v>50.58608773973673</v>
      </c>
      <c r="BH40" t="n">
        <v>63.6183586153433</v>
      </c>
      <c r="BI40" t="n">
        <v/>
      </c>
      <c r="BJ40" t="n">
        <v/>
      </c>
      <c r="BK40" t="n">
        <v>17</v>
      </c>
      <c r="BL40" t="n">
        <v>68</v>
      </c>
      <c r="BM40" t="n">
        <v>110</v>
      </c>
      <c r="BN40" t="n">
        <v>699.7707912709723</v>
      </c>
      <c r="BO40" t="inlineStr">
        <is>
          <t>Testing</t>
        </is>
      </c>
      <c r="BP40" t="inlineStr">
        <is>
          <t>Duplicate</t>
        </is>
      </c>
      <c r="BQ40" t="n">
        <v/>
      </c>
      <c r="BR40" t="n">
        <v/>
      </c>
      <c r="BS40" t="b">
        <v>1</v>
      </c>
      <c r="BT40" t="n">
        <v>192406</v>
      </c>
      <c r="BU40" t="n">
        <v>1</v>
      </c>
      <c r="BV40" t="n">
        <v>0</v>
      </c>
    </row>
    <row r="41">
      <c r="A41" t="n">
        <v>192568</v>
      </c>
      <c r="B41" t="inlineStr">
        <is>
          <t>دکمه تایید و ارجاع مدیریت شعب در فرم بررسی علت برگشت به مدیریت شعب پیغام خطا می دهد</t>
        </is>
      </c>
      <c r="C41" t="inlineStr">
        <is>
          <t>تکمیل توضیحات: دکمه تایید و ارجاع مدیریت شعب در فرم بررسی علت برگ...</t>
        </is>
      </c>
      <c r="D41" t="inlineStr">
        <is>
          <t>Medium</t>
        </is>
      </c>
      <c r="E41" t="inlineStr">
        <is>
          <t>P3</t>
        </is>
      </c>
      <c r="F41" t="inlineStr">
        <is>
          <t>Active</t>
        </is>
      </c>
      <c r="G41" t="inlineStr">
        <is>
          <t>Security</t>
        </is>
      </c>
      <c r="H41" t="b">
        <v>1</v>
      </c>
      <c r="I41" t="b">
        <v>0</v>
      </c>
      <c r="J41" t="inlineStr">
        <is>
          <t>PRJ-001</t>
        </is>
      </c>
      <c r="K41" t="inlineStr">
        <is>
          <t>Dem System</t>
        </is>
      </c>
      <c r="L41" t="inlineStr">
        <is>
          <t>Team Gamma</t>
        </is>
      </c>
      <c r="M41" t="inlineStr">
        <is>
          <t>T03</t>
        </is>
      </c>
      <c r="N41" t="inlineStr">
        <is>
          <t>M09</t>
        </is>
      </c>
      <c r="O41" t="inlineStr">
        <is>
          <t>Dem\DemBiz\SP_88</t>
        </is>
      </c>
      <c r="P41" t="inlineStr">
        <is>
          <t>Sprint 26</t>
        </is>
      </c>
      <c r="Q41" t="inlineStr">
        <is>
          <t>S26</t>
        </is>
      </c>
      <c r="R41" t="inlineStr">
        <is>
          <t>Security;Medium</t>
        </is>
      </c>
      <c r="S41" t="n">
        <v/>
      </c>
      <c r="T41" t="inlineStr">
        <is>
          <t>کامنت 2 مورد</t>
        </is>
      </c>
      <c r="U41" t="inlineStr">
        <is>
          <t>Fateme Akbari</t>
        </is>
      </c>
      <c r="V41" t="inlineStr">
        <is>
          <t>U511</t>
        </is>
      </c>
      <c r="W41" t="inlineStr">
        <is>
          <t>Mohammad Safari</t>
        </is>
      </c>
      <c r="X41" t="inlineStr">
        <is>
          <t>U093</t>
        </is>
      </c>
      <c r="Y41" t="n">
        <v/>
      </c>
      <c r="Z41" t="n">
        <v/>
      </c>
      <c r="AA41" t="n">
        <v/>
      </c>
      <c r="AB41" t="n">
        <v/>
      </c>
      <c r="AC41" t="inlineStr">
        <is>
          <t>2024-02-18</t>
        </is>
      </c>
      <c r="AD41" t="inlineStr">
        <is>
          <t>2024-02-19 11:00:00</t>
        </is>
      </c>
      <c r="AE41" t="inlineStr">
        <is>
          <t>2024-02-20 02:00:00</t>
        </is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inlineStr">
        <is>
          <t>2024-02-20 02:00:00</t>
        </is>
      </c>
      <c r="AN41" t="inlineStr">
        <is>
          <t>2024-03-04</t>
        </is>
      </c>
      <c r="AO41" t="n">
        <v>0</v>
      </c>
      <c r="AP41" t="n">
        <v/>
      </c>
      <c r="AQ41" t="n">
        <v/>
      </c>
      <c r="AR41" t="inlineStr">
        <is>
          <t>Triage</t>
        </is>
      </c>
      <c r="AS41" t="n">
        <v>4</v>
      </c>
      <c r="AT41" t="n">
        <v>15</v>
      </c>
      <c r="AU41" t="n">
        <v/>
      </c>
      <c r="AV41" t="n">
        <v/>
      </c>
      <c r="AW41" t="n">
        <v/>
      </c>
      <c r="AX41" t="inlineStr">
        <is>
          <t>[{"state": "Open", "timestamp": "2024-02-18T00:00:00"}, {"state": "Triage", "timestamp": "2024-02-19T11:00:00"}]</t>
        </is>
      </c>
      <c r="AY41" t="n">
        <v>1</v>
      </c>
      <c r="AZ41" t="n">
        <v>6</v>
      </c>
      <c r="BA41" t="n">
        <v>1</v>
      </c>
      <c r="BB41" t="n">
        <v>5.449880345256343</v>
      </c>
      <c r="BC41" t="n">
        <v>2.401748678072941</v>
      </c>
      <c r="BD41" t="n">
        <v>16.16787814250455</v>
      </c>
      <c r="BE41" t="n">
        <v>14.51737015736484</v>
      </c>
      <c r="BF41" t="n">
        <v>0</v>
      </c>
      <c r="BG41" t="n">
        <v>38.53687732319867</v>
      </c>
      <c r="BH41" t="n">
        <v>39.84935610995126</v>
      </c>
      <c r="BI41" t="n">
        <v/>
      </c>
      <c r="BJ41" t="n">
        <v/>
      </c>
      <c r="BK41" t="n">
        <v>50</v>
      </c>
      <c r="BL41" t="n">
        <v>15</v>
      </c>
      <c r="BM41" t="n">
        <v>0</v>
      </c>
      <c r="BN41" t="n">
        <v>676.770791271088</v>
      </c>
      <c r="BO41" t="n">
        <v/>
      </c>
      <c r="BP41" t="n">
        <v/>
      </c>
      <c r="BQ41" t="n">
        <v/>
      </c>
      <c r="BR41" t="inlineStr">
        <is>
          <t>TC-3803</t>
        </is>
      </c>
      <c r="BS41" t="b">
        <v>0</v>
      </c>
      <c r="BT41" t="n">
        <v/>
      </c>
      <c r="BU41" t="n">
        <v>0</v>
      </c>
      <c r="BV41" t="n">
        <v>0</v>
      </c>
    </row>
    <row r="42">
      <c r="A42" t="n">
        <v>192406</v>
      </c>
      <c r="B42" t="inlineStr">
        <is>
          <t>تاریخچه کمیته اعتباری منطقه ، تغییرات پرونده را تکراری نمایش می دهد</t>
        </is>
      </c>
      <c r="C42" t="inlineStr">
        <is>
          <t>تکمیل توضیحات: تاریخچه کمیته اعتباری منطقه ، تغییرات پرونده را تک...</t>
        </is>
      </c>
      <c r="D42" t="inlineStr">
        <is>
          <t>High</t>
        </is>
      </c>
      <c r="E42" t="inlineStr">
        <is>
          <t>P3</t>
        </is>
      </c>
      <c r="F42" t="inlineStr">
        <is>
          <t>Closed</t>
        </is>
      </c>
      <c r="G42" t="inlineStr">
        <is>
          <t>Backend</t>
        </is>
      </c>
      <c r="H42" t="b">
        <v>0</v>
      </c>
      <c r="I42" t="b">
        <v>0</v>
      </c>
      <c r="J42" t="inlineStr">
        <is>
          <t>PRJ-001</t>
        </is>
      </c>
      <c r="K42" t="inlineStr">
        <is>
          <t>Dem System</t>
        </is>
      </c>
      <c r="L42" t="inlineStr">
        <is>
          <t>Team Gamma</t>
        </is>
      </c>
      <c r="M42" t="inlineStr">
        <is>
          <t>T03</t>
        </is>
      </c>
      <c r="N42" t="inlineStr">
        <is>
          <t>M09</t>
        </is>
      </c>
      <c r="O42" t="inlineStr">
        <is>
          <t>Dem\DemBiz\SP_88</t>
        </is>
      </c>
      <c r="P42" t="inlineStr">
        <is>
          <t>Sprint 24</t>
        </is>
      </c>
      <c r="Q42" t="inlineStr">
        <is>
          <t>S24</t>
        </is>
      </c>
      <c r="R42" t="inlineStr">
        <is>
          <t>Backend;High</t>
        </is>
      </c>
      <c r="S42" t="n">
        <v/>
      </c>
      <c r="T42" t="inlineStr">
        <is>
          <t>کامنت 2 مورد</t>
        </is>
      </c>
      <c r="U42" t="inlineStr">
        <is>
          <t>Zahra Ebrahimi</t>
        </is>
      </c>
      <c r="V42" t="inlineStr">
        <is>
          <t>U002</t>
        </is>
      </c>
      <c r="W42" t="inlineStr">
        <is>
          <t>Hassan Karimi</t>
        </is>
      </c>
      <c r="X42" t="inlineStr">
        <is>
          <t>U829</t>
        </is>
      </c>
      <c r="Y42" t="inlineStr">
        <is>
          <t>Mohammad Safari</t>
        </is>
      </c>
      <c r="Z42" t="inlineStr">
        <is>
          <t>U093</t>
        </is>
      </c>
      <c r="AA42" t="inlineStr">
        <is>
          <t>Zahra Ebrahimi</t>
        </is>
      </c>
      <c r="AB42" t="inlineStr">
        <is>
          <t>U002</t>
        </is>
      </c>
      <c r="AC42" t="inlineStr">
        <is>
          <t>2024-04-18</t>
        </is>
      </c>
      <c r="AD42" t="inlineStr">
        <is>
          <t>2024-04-18 12:00:00</t>
        </is>
      </c>
      <c r="AE42" t="inlineStr">
        <is>
          <t>2024-04-18 21:00:00</t>
        </is>
      </c>
      <c r="AF42" t="inlineStr">
        <is>
          <t>2024-04-21 10:00:00</t>
        </is>
      </c>
      <c r="AG42" t="inlineStr">
        <is>
          <t>2024-04-21 10:00:00</t>
        </is>
      </c>
      <c r="AH42" t="inlineStr">
        <is>
          <t>2024-04-23 01:00:00</t>
        </is>
      </c>
      <c r="AI42" t="inlineStr">
        <is>
          <t>2024-04-23 09:00:00</t>
        </is>
      </c>
      <c r="AJ42" t="inlineStr">
        <is>
          <t>2024-04-24 01:00:00</t>
        </is>
      </c>
      <c r="AK42" t="inlineStr">
        <is>
          <t>2024-04-24 03:00:00</t>
        </is>
      </c>
      <c r="AL42" t="inlineStr">
        <is>
          <t>2024-04-24 07:00:00</t>
        </is>
      </c>
      <c r="AM42" t="inlineStr">
        <is>
          <t>2024-04-24 07:00:00</t>
        </is>
      </c>
      <c r="AN42" t="inlineStr">
        <is>
          <t>2024-06-05</t>
        </is>
      </c>
      <c r="AO42" t="n">
        <v>0</v>
      </c>
      <c r="AP42" t="n">
        <v/>
      </c>
      <c r="AQ42" t="n">
        <v/>
      </c>
      <c r="AR42" t="inlineStr">
        <is>
          <t>Done</t>
        </is>
      </c>
      <c r="AS42" t="n">
        <v>9</v>
      </c>
      <c r="AT42" t="n">
        <v>9</v>
      </c>
      <c r="AU42" t="n">
        <v>61</v>
      </c>
      <c r="AV42" t="n">
        <v>39</v>
      </c>
      <c r="AW42" t="n">
        <v>8</v>
      </c>
      <c r="AX42" t="inlineStr">
        <is>
          <t>[{"state": "Open", "timestamp": "2024-04-18T00:00:00"}, {"state": "Triage", "timestamp": "2024-04-18T12:00:00"}]</t>
        </is>
      </c>
      <c r="AY42" t="n">
        <v>3</v>
      </c>
      <c r="AZ42" t="n">
        <v>11</v>
      </c>
      <c r="BA42" t="n">
        <v>1</v>
      </c>
      <c r="BB42" t="n">
        <v>6.629166501509118</v>
      </c>
      <c r="BC42" t="n">
        <v>19.15832270716595</v>
      </c>
      <c r="BD42" t="n">
        <v>5.999674165140476</v>
      </c>
      <c r="BE42" t="n">
        <v>1.681695705121868</v>
      </c>
      <c r="BF42" t="n">
        <v>0</v>
      </c>
      <c r="BG42" t="n">
        <v>33.46885907893741</v>
      </c>
      <c r="BH42" t="n">
        <v>34.90693608621648</v>
      </c>
      <c r="BI42" t="n">
        <v>151</v>
      </c>
      <c r="BJ42" t="n">
        <v>69</v>
      </c>
      <c r="BK42" t="n">
        <v>21</v>
      </c>
      <c r="BL42" t="n">
        <v>78</v>
      </c>
      <c r="BM42" t="n">
        <v>39</v>
      </c>
      <c r="BN42" t="n">
        <v>616.7707912711921</v>
      </c>
      <c r="BO42" t="inlineStr">
        <is>
          <t>Testing</t>
        </is>
      </c>
      <c r="BP42" t="inlineStr">
        <is>
          <t>By Design</t>
        </is>
      </c>
      <c r="BQ42" t="inlineStr">
        <is>
          <t>Completed</t>
        </is>
      </c>
      <c r="BR42" t="inlineStr">
        <is>
          <t>TC-5010</t>
        </is>
      </c>
      <c r="BS42" t="b">
        <v>0</v>
      </c>
      <c r="BT42" t="n">
        <v/>
      </c>
      <c r="BU42" t="n">
        <v>1</v>
      </c>
      <c r="BV42" t="n">
        <v>0</v>
      </c>
    </row>
    <row r="43">
      <c r="A43" t="n">
        <v>191499</v>
      </c>
      <c r="B43" t="inlineStr">
        <is>
          <t>وجود ردیف خالی در کمبو شرکت مادر در فرم ویرایش</t>
        </is>
      </c>
      <c r="C43" t="inlineStr">
        <is>
          <t>تکمیل توضیحات: وجود ردیف خالی در کمبو شرکت مادر در فرم ویرایش...</t>
        </is>
      </c>
      <c r="D43" t="inlineStr">
        <is>
          <t>Medium</t>
        </is>
      </c>
      <c r="E43" t="inlineStr">
        <is>
          <t>P2</t>
        </is>
      </c>
      <c r="F43" t="inlineStr">
        <is>
          <t>Closed</t>
        </is>
      </c>
      <c r="G43" t="inlineStr">
        <is>
          <t>Performance</t>
        </is>
      </c>
      <c r="H43" t="b">
        <v>1</v>
      </c>
      <c r="I43" t="b">
        <v>0</v>
      </c>
      <c r="J43" t="inlineStr">
        <is>
          <t>PRJ-001</t>
        </is>
      </c>
      <c r="K43" t="inlineStr">
        <is>
          <t>Dem System</t>
        </is>
      </c>
      <c r="L43" t="inlineStr">
        <is>
          <t>Team Delta</t>
        </is>
      </c>
      <c r="M43" t="inlineStr">
        <is>
          <t>T04</t>
        </is>
      </c>
      <c r="N43" t="inlineStr">
        <is>
          <t>M09</t>
        </is>
      </c>
      <c r="O43" t="inlineStr">
        <is>
          <t>Dem\DemBiz\SP_88</t>
        </is>
      </c>
      <c r="P43" t="inlineStr">
        <is>
          <t>Sprint 23</t>
        </is>
      </c>
      <c r="Q43" t="inlineStr">
        <is>
          <t>S23</t>
        </is>
      </c>
      <c r="R43" t="inlineStr">
        <is>
          <t>Performance;Medium</t>
        </is>
      </c>
      <c r="S43" t="inlineStr">
        <is>
          <t>EXT-191499</t>
        </is>
      </c>
      <c r="T43" t="inlineStr">
        <is>
          <t>کامنت 1 مورد</t>
        </is>
      </c>
      <c r="U43" t="inlineStr">
        <is>
          <t>Mina Hosseini</t>
        </is>
      </c>
      <c r="V43" t="inlineStr">
        <is>
          <t>U860</t>
        </is>
      </c>
      <c r="W43" t="inlineStr">
        <is>
          <t>Fateme Akbari</t>
        </is>
      </c>
      <c r="X43" t="inlineStr">
        <is>
          <t>U511</t>
        </is>
      </c>
      <c r="Y43" t="inlineStr">
        <is>
          <t>Reza Mohammadi</t>
        </is>
      </c>
      <c r="Z43" t="inlineStr">
        <is>
          <t>U493</t>
        </is>
      </c>
      <c r="AA43" t="inlineStr">
        <is>
          <t>Zahra Ebrahimi</t>
        </is>
      </c>
      <c r="AB43" t="inlineStr">
        <is>
          <t>U002</t>
        </is>
      </c>
      <c r="AC43" t="inlineStr">
        <is>
          <t>2024-01-24</t>
        </is>
      </c>
      <c r="AD43" t="inlineStr">
        <is>
          <t>2024-01-24 16:00:00</t>
        </is>
      </c>
      <c r="AE43" t="inlineStr">
        <is>
          <t>2024-01-24 22:00:00</t>
        </is>
      </c>
      <c r="AF43" t="inlineStr">
        <is>
          <t>2024-01-27 04:00:00</t>
        </is>
      </c>
      <c r="AG43" t="inlineStr">
        <is>
          <t>2024-01-27 04:00:00</t>
        </is>
      </c>
      <c r="AH43" t="inlineStr">
        <is>
          <t>2024-01-30 02:00:00</t>
        </is>
      </c>
      <c r="AI43" t="inlineStr">
        <is>
          <t>2024-01-31 12:00:00</t>
        </is>
      </c>
      <c r="AJ43" t="inlineStr">
        <is>
          <t>2024-01-31 20:00:00</t>
        </is>
      </c>
      <c r="AK43" t="inlineStr">
        <is>
          <t>2024-02-01 03:00:00</t>
        </is>
      </c>
      <c r="AL43" t="inlineStr">
        <is>
          <t>2024-02-01 07:00:00</t>
        </is>
      </c>
      <c r="AM43" t="inlineStr">
        <is>
          <t>2024-02-01 07:00:00</t>
        </is>
      </c>
      <c r="AN43" t="inlineStr">
        <is>
          <t>2024-02-10</t>
        </is>
      </c>
      <c r="AO43" t="n">
        <v>3</v>
      </c>
      <c r="AP43" t="inlineStr">
        <is>
          <t>2024-02-02 07:00:00</t>
        </is>
      </c>
      <c r="AQ43" t="inlineStr">
        <is>
          <t>2024-02-05 07:00:00</t>
        </is>
      </c>
      <c r="AR43" t="inlineStr">
        <is>
          <t>Done</t>
        </is>
      </c>
      <c r="AS43" t="n">
        <v>9</v>
      </c>
      <c r="AT43" t="n">
        <v>6</v>
      </c>
      <c r="AU43" t="n">
        <v>54</v>
      </c>
      <c r="AV43" t="n">
        <v>70</v>
      </c>
      <c r="AW43" t="n">
        <v>34</v>
      </c>
      <c r="AX43" t="inlineStr">
        <is>
          <t>[{"state": "Open", "timestamp": "2024-01-24T00:00:00"}, {"state": "Triage", "timestamp": "2024-01-24T16:00:00"}]</t>
        </is>
      </c>
      <c r="AY43" t="n">
        <v>0</v>
      </c>
      <c r="AZ43" t="n">
        <v>9</v>
      </c>
      <c r="BA43" t="n">
        <v>4</v>
      </c>
      <c r="BB43" t="n">
        <v>4.664006086995967</v>
      </c>
      <c r="BC43" t="n">
        <v>22.16314075359549</v>
      </c>
      <c r="BD43" t="n">
        <v>3.960071103704595</v>
      </c>
      <c r="BE43" t="n">
        <v>5.214447843883455</v>
      </c>
      <c r="BF43" t="n">
        <v>3.866391657319477</v>
      </c>
      <c r="BG43" t="n">
        <v>39.86805744549898</v>
      </c>
      <c r="BH43" t="n">
        <v>34.60497376560146</v>
      </c>
      <c r="BI43" t="n">
        <v>199</v>
      </c>
      <c r="BJ43" t="n">
        <v>123</v>
      </c>
      <c r="BK43" t="n">
        <v>22</v>
      </c>
      <c r="BL43" t="n">
        <v>94</v>
      </c>
      <c r="BM43" t="n">
        <v>70</v>
      </c>
      <c r="BN43" t="n">
        <v>701.7707912713079</v>
      </c>
      <c r="BO43" t="inlineStr">
        <is>
          <t>Config</t>
        </is>
      </c>
      <c r="BP43" t="inlineStr">
        <is>
          <t>Fixed</t>
        </is>
      </c>
      <c r="BQ43" t="inlineStr">
        <is>
          <t>Completed</t>
        </is>
      </c>
      <c r="BR43" t="inlineStr">
        <is>
          <t>TC-7216</t>
        </is>
      </c>
      <c r="BS43" t="b">
        <v>0</v>
      </c>
      <c r="BT43" t="n">
        <v/>
      </c>
      <c r="BU43" t="n">
        <v>1</v>
      </c>
      <c r="BV43" t="n">
        <v>2</v>
      </c>
    </row>
    <row r="44">
      <c r="A44" t="n">
        <v>192322</v>
      </c>
      <c r="B44" t="inlineStr">
        <is>
          <t>داپلیکیت شدن سند در یوزر صندوق</t>
        </is>
      </c>
      <c r="C44" t="inlineStr">
        <is>
          <t>تکمیل توضیحات: داپلیکیت شدن سند در یوزر صندوق...</t>
        </is>
      </c>
      <c r="D44" t="inlineStr">
        <is>
          <t>Critical</t>
        </is>
      </c>
      <c r="E44" t="inlineStr">
        <is>
          <t>P2</t>
        </is>
      </c>
      <c r="F44" t="inlineStr">
        <is>
          <t>Closed</t>
        </is>
      </c>
      <c r="G44" t="inlineStr">
        <is>
          <t>Data</t>
        </is>
      </c>
      <c r="H44" t="b">
        <v>0</v>
      </c>
      <c r="I44" t="b">
        <v>0</v>
      </c>
      <c r="J44" t="inlineStr">
        <is>
          <t>PRJ-001</t>
        </is>
      </c>
      <c r="K44" t="inlineStr">
        <is>
          <t>Dem System</t>
        </is>
      </c>
      <c r="L44" t="inlineStr">
        <is>
          <t>Team Gamma</t>
        </is>
      </c>
      <c r="M44" t="inlineStr">
        <is>
          <t>T03</t>
        </is>
      </c>
      <c r="N44" t="inlineStr">
        <is>
          <t>M09</t>
        </is>
      </c>
      <c r="O44" t="inlineStr">
        <is>
          <t>Dem\DemBiz\SP_88</t>
        </is>
      </c>
      <c r="P44" t="inlineStr">
        <is>
          <t>Sprint 26</t>
        </is>
      </c>
      <c r="Q44" t="inlineStr">
        <is>
          <t>S26</t>
        </is>
      </c>
      <c r="R44" t="inlineStr">
        <is>
          <t>Data;Critical</t>
        </is>
      </c>
      <c r="S44" t="inlineStr">
        <is>
          <t>EXT-192322</t>
        </is>
      </c>
      <c r="T44" t="inlineStr">
        <is>
          <t>کامنت 0 مورد</t>
        </is>
      </c>
      <c r="U44" t="inlineStr">
        <is>
          <t>Fateme Akbari</t>
        </is>
      </c>
      <c r="V44" t="inlineStr">
        <is>
          <t>U511</t>
        </is>
      </c>
      <c r="W44" t="inlineStr">
        <is>
          <t>Hassan Karimi</t>
        </is>
      </c>
      <c r="X44" t="inlineStr">
        <is>
          <t>U829</t>
        </is>
      </c>
      <c r="Y44" t="inlineStr">
        <is>
          <t>Fateme Akbari</t>
        </is>
      </c>
      <c r="Z44" t="inlineStr">
        <is>
          <t>U511</t>
        </is>
      </c>
      <c r="AA44" t="inlineStr">
        <is>
          <t>Mina Hosseini</t>
        </is>
      </c>
      <c r="AB44" t="inlineStr">
        <is>
          <t>U860</t>
        </is>
      </c>
      <c r="AC44" t="inlineStr">
        <is>
          <t>2024-03-08</t>
        </is>
      </c>
      <c r="AD44" t="inlineStr">
        <is>
          <t>2024-03-09 06:00:00</t>
        </is>
      </c>
      <c r="AE44" t="inlineStr">
        <is>
          <t>2024-03-09 16:00:00</t>
        </is>
      </c>
      <c r="AF44" t="inlineStr">
        <is>
          <t>2024-03-12 00:00:00</t>
        </is>
      </c>
      <c r="AG44" t="inlineStr">
        <is>
          <t>2024-03-12 00:00:00</t>
        </is>
      </c>
      <c r="AH44" t="inlineStr">
        <is>
          <t>2024-03-16 01:00:00</t>
        </is>
      </c>
      <c r="AI44" t="inlineStr">
        <is>
          <t>2024-03-17 16:00:00</t>
        </is>
      </c>
      <c r="AJ44" t="inlineStr">
        <is>
          <t>2024-03-18 15:00:00</t>
        </is>
      </c>
      <c r="AK44" t="inlineStr">
        <is>
          <t>2024-03-18 23:00:00</t>
        </is>
      </c>
      <c r="AL44" t="inlineStr">
        <is>
          <t>2024-03-19 09:00:00</t>
        </is>
      </c>
      <c r="AM44" t="inlineStr">
        <is>
          <t>2024-03-19 09:00:00</t>
        </is>
      </c>
      <c r="AN44" t="inlineStr">
        <is>
          <t>2024-03-27</t>
        </is>
      </c>
      <c r="AO44" t="n">
        <v>2</v>
      </c>
      <c r="AP44" t="inlineStr">
        <is>
          <t>2024-03-23 09:00:00</t>
        </is>
      </c>
      <c r="AQ44" t="inlineStr">
        <is>
          <t>2024-03-23 09:00:00</t>
        </is>
      </c>
      <c r="AR44" t="inlineStr">
        <is>
          <t>Done</t>
        </is>
      </c>
      <c r="AS44" t="n">
        <v>8</v>
      </c>
      <c r="AT44" t="n">
        <v>10</v>
      </c>
      <c r="AU44" t="n">
        <v>56</v>
      </c>
      <c r="AV44" t="n">
        <v>97</v>
      </c>
      <c r="AW44" t="n">
        <v>39</v>
      </c>
      <c r="AX44" t="inlineStr">
        <is>
          <t>[{"state": "Open", "timestamp": "2024-03-08T00:00:00"}, {"state": "Triage", "timestamp": "2024-03-09T06:00:00"}]</t>
        </is>
      </c>
      <c r="AY44" t="n">
        <v>3</v>
      </c>
      <c r="AZ44" t="n">
        <v>10</v>
      </c>
      <c r="BA44" t="n">
        <v>3</v>
      </c>
      <c r="BB44" t="n">
        <v>4.472379337670048</v>
      </c>
      <c r="BC44" t="n">
        <v>12.17510883300309</v>
      </c>
      <c r="BD44" t="n">
        <v>15.13698765699674</v>
      </c>
      <c r="BE44" t="n">
        <v>15.25617226114838</v>
      </c>
      <c r="BF44" t="n">
        <v>2.560916779155449</v>
      </c>
      <c r="BG44" t="n">
        <v>49.60156486797371</v>
      </c>
      <c r="BH44" t="n">
        <v>57.62192759228193</v>
      </c>
      <c r="BI44" t="n">
        <v>273</v>
      </c>
      <c r="BJ44" t="n">
        <v>177</v>
      </c>
      <c r="BK44" t="n">
        <v>40</v>
      </c>
      <c r="BL44" t="n">
        <v>105</v>
      </c>
      <c r="BM44" t="n">
        <v>97</v>
      </c>
      <c r="BN44" t="n">
        <v>657.770791271412</v>
      </c>
      <c r="BO44" t="inlineStr">
        <is>
          <t>Design</t>
        </is>
      </c>
      <c r="BP44" t="inlineStr">
        <is>
          <t>Fixed</t>
        </is>
      </c>
      <c r="BQ44" t="inlineStr">
        <is>
          <t>Completed</t>
        </is>
      </c>
      <c r="BR44" t="inlineStr">
        <is>
          <t>TC-4598</t>
        </is>
      </c>
      <c r="BS44" t="b">
        <v>0</v>
      </c>
      <c r="BT44" t="n">
        <v/>
      </c>
      <c r="BU44" t="n">
        <v>2</v>
      </c>
      <c r="BV44" t="n">
        <v>2</v>
      </c>
    </row>
    <row r="45">
      <c r="A45" t="n">
        <v>192350</v>
      </c>
      <c r="B45" t="inlineStr">
        <is>
          <t>بعداز حذف تعدادی سهامداراز لیست ، امکان ویرایش سهامدار موجود ، نمی باشد</t>
        </is>
      </c>
      <c r="C45" t="inlineStr">
        <is>
          <t>تکمیل توضیحات: بعداز حذف تعدادی سهامداراز لیست ، امکان ویرایش سها...</t>
        </is>
      </c>
      <c r="D45" t="inlineStr">
        <is>
          <t>Low</t>
        </is>
      </c>
      <c r="E45" t="inlineStr">
        <is>
          <t>P2</t>
        </is>
      </c>
      <c r="F45" t="inlineStr">
        <is>
          <t>In Progress</t>
        </is>
      </c>
      <c r="G45" t="inlineStr">
        <is>
          <t>Integration</t>
        </is>
      </c>
      <c r="H45" t="b">
        <v>0</v>
      </c>
      <c r="I45" t="b">
        <v>0</v>
      </c>
      <c r="J45" t="inlineStr">
        <is>
          <t>PRJ-001</t>
        </is>
      </c>
      <c r="K45" t="inlineStr">
        <is>
          <t>Dem System</t>
        </is>
      </c>
      <c r="L45" t="inlineStr">
        <is>
          <t>Team Gamma</t>
        </is>
      </c>
      <c r="M45" t="inlineStr">
        <is>
          <t>T03</t>
        </is>
      </c>
      <c r="N45" t="inlineStr">
        <is>
          <t>M09</t>
        </is>
      </c>
      <c r="O45" t="inlineStr">
        <is>
          <t>Dem\DemBiz\SP_88</t>
        </is>
      </c>
      <c r="P45" t="inlineStr">
        <is>
          <t>Sprint 25</t>
        </is>
      </c>
      <c r="Q45" t="inlineStr">
        <is>
          <t>S25</t>
        </is>
      </c>
      <c r="R45" t="inlineStr">
        <is>
          <t>Integration;Low</t>
        </is>
      </c>
      <c r="S45" t="inlineStr">
        <is>
          <t>EXT-192350</t>
        </is>
      </c>
      <c r="T45" t="inlineStr">
        <is>
          <t>کامنت 1 مورد</t>
        </is>
      </c>
      <c r="U45" t="inlineStr">
        <is>
          <t>Hassan Karimi</t>
        </is>
      </c>
      <c r="V45" t="inlineStr">
        <is>
          <t>U829</t>
        </is>
      </c>
      <c r="W45" t="inlineStr">
        <is>
          <t>Hassan Karimi</t>
        </is>
      </c>
      <c r="X45" t="inlineStr">
        <is>
          <t>U829</t>
        </is>
      </c>
      <c r="Y45" t="n">
        <v/>
      </c>
      <c r="Z45" t="n">
        <v/>
      </c>
      <c r="AA45" t="n">
        <v/>
      </c>
      <c r="AB45" t="n">
        <v/>
      </c>
      <c r="AC45" t="inlineStr">
        <is>
          <t>2024-05-28</t>
        </is>
      </c>
      <c r="AD45" t="inlineStr">
        <is>
          <t>2024-05-30 00:00:00</t>
        </is>
      </c>
      <c r="AE45" t="inlineStr">
        <is>
          <t>2024-05-30 18:00:00</t>
        </is>
      </c>
      <c r="AF45" t="inlineStr">
        <is>
          <t>2024-05-31 03:00:00</t>
        </is>
      </c>
      <c r="AG45" t="inlineStr">
        <is>
          <t>2024-05-31 03:00:00</t>
        </is>
      </c>
      <c r="AH45" t="n">
        <v/>
      </c>
      <c r="AI45" t="n">
        <v/>
      </c>
      <c r="AJ45" t="n">
        <v/>
      </c>
      <c r="AK45" t="n">
        <v/>
      </c>
      <c r="AL45" t="n">
        <v/>
      </c>
      <c r="AM45" t="inlineStr">
        <is>
          <t>2024-05-31 03:00:00</t>
        </is>
      </c>
      <c r="AN45" t="inlineStr">
        <is>
          <t>2024-07-21</t>
        </is>
      </c>
      <c r="AO45" t="n">
        <v>0</v>
      </c>
      <c r="AP45" t="n">
        <v/>
      </c>
      <c r="AQ45" t="n">
        <v/>
      </c>
      <c r="AR45" t="inlineStr">
        <is>
          <t>Active</t>
        </is>
      </c>
      <c r="AS45" t="n">
        <v>6</v>
      </c>
      <c r="AT45" t="n">
        <v>18</v>
      </c>
      <c r="AU45" t="n">
        <v>9</v>
      </c>
      <c r="AV45" t="n">
        <v/>
      </c>
      <c r="AW45" t="n">
        <v/>
      </c>
      <c r="AX45" t="inlineStr">
        <is>
          <t>[{"state": "Open", "timestamp": "2024-05-28T00:00:00"}, {"state": "Triage", "timestamp": "2024-05-30T00:00:00"}]</t>
        </is>
      </c>
      <c r="AY45" t="n">
        <v>1</v>
      </c>
      <c r="AZ45" t="n">
        <v>8</v>
      </c>
      <c r="BA45" t="n">
        <v>1</v>
      </c>
      <c r="BB45" t="n">
        <v>2.313892181753388</v>
      </c>
      <c r="BC45" t="n">
        <v>24.04249716219142</v>
      </c>
      <c r="BD45" t="n">
        <v>16.23327741571165</v>
      </c>
      <c r="BE45" t="n">
        <v>14.35395675836374</v>
      </c>
      <c r="BF45" t="n">
        <v>0</v>
      </c>
      <c r="BG45" t="n">
        <v>56.9436235180202</v>
      </c>
      <c r="BH45" t="n">
        <v>46.25110574216944</v>
      </c>
      <c r="BI45" t="n">
        <v/>
      </c>
      <c r="BJ45" t="n">
        <v/>
      </c>
      <c r="BK45" t="n">
        <v>66</v>
      </c>
      <c r="BL45" t="n">
        <v>27</v>
      </c>
      <c r="BM45" t="n">
        <v>0</v>
      </c>
      <c r="BN45" t="n">
        <v>576.7707912715277</v>
      </c>
      <c r="BO45" t="n">
        <v/>
      </c>
      <c r="BP45" t="n">
        <v/>
      </c>
      <c r="BQ45" t="n">
        <v/>
      </c>
      <c r="BR45" t="n">
        <v/>
      </c>
      <c r="BS45" t="b">
        <v>0</v>
      </c>
      <c r="BT45" t="n">
        <v/>
      </c>
      <c r="BU45" t="n">
        <v>0</v>
      </c>
      <c r="BV45" t="n">
        <v>0</v>
      </c>
    </row>
    <row r="46">
      <c r="A46" t="n">
        <v>192404</v>
      </c>
      <c r="B46" t="inlineStr">
        <is>
          <t>عدم تغییر پراگرس بار در کمیته اعتباری منطقه</t>
        </is>
      </c>
      <c r="C46" t="inlineStr">
        <is>
          <t>تکمیل توضیحات: عدم تغییر پراگرس بار در کمیته اعتباری منطقه...</t>
        </is>
      </c>
      <c r="D46" t="inlineStr">
        <is>
          <t>High</t>
        </is>
      </c>
      <c r="E46" t="inlineStr">
        <is>
          <t>P2</t>
        </is>
      </c>
      <c r="F46" t="inlineStr">
        <is>
          <t>Open</t>
        </is>
      </c>
      <c r="G46" t="inlineStr">
        <is>
          <t>UI</t>
        </is>
      </c>
      <c r="H46" t="b">
        <v>0</v>
      </c>
      <c r="I46" t="b">
        <v>0</v>
      </c>
      <c r="J46" t="inlineStr">
        <is>
          <t>PRJ-001</t>
        </is>
      </c>
      <c r="K46" t="inlineStr">
        <is>
          <t>Dem System</t>
        </is>
      </c>
      <c r="L46" t="inlineStr">
        <is>
          <t>Team Beta</t>
        </is>
      </c>
      <c r="M46" t="inlineStr">
        <is>
          <t>T02</t>
        </is>
      </c>
      <c r="N46" t="inlineStr">
        <is>
          <t>M09</t>
        </is>
      </c>
      <c r="O46" t="inlineStr">
        <is>
          <t>Dem\DemBiz\SP_88</t>
        </is>
      </c>
      <c r="P46" t="inlineStr">
        <is>
          <t>Sprint 24</t>
        </is>
      </c>
      <c r="Q46" t="inlineStr">
        <is>
          <t>S24</t>
        </is>
      </c>
      <c r="R46" t="inlineStr">
        <is>
          <t>UI;High</t>
        </is>
      </c>
      <c r="S46" t="inlineStr">
        <is>
          <t>EXT-192404</t>
        </is>
      </c>
      <c r="T46" t="inlineStr">
        <is>
          <t>کامنت 4 مورد</t>
        </is>
      </c>
      <c r="U46" t="inlineStr">
        <is>
          <t>Fateme Akbari</t>
        </is>
      </c>
      <c r="V46" t="inlineStr">
        <is>
          <t>U511</t>
        </is>
      </c>
      <c r="W46" t="inlineStr">
        <is>
          <t>Mohammad Safari</t>
        </is>
      </c>
      <c r="X46" t="inlineStr">
        <is>
          <t>U093</t>
        </is>
      </c>
      <c r="Y46" t="n">
        <v/>
      </c>
      <c r="Z46" t="n">
        <v/>
      </c>
      <c r="AA46" t="n">
        <v/>
      </c>
      <c r="AB46" t="n">
        <v/>
      </c>
      <c r="AC46" t="inlineStr">
        <is>
          <t>2024-03-21</t>
        </is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inlineStr">
        <is>
          <t>2024-03-21 00:00:00</t>
        </is>
      </c>
      <c r="AN46" t="inlineStr">
        <is>
          <t>2024-03-31</t>
        </is>
      </c>
      <c r="AO46" t="n">
        <v>0</v>
      </c>
      <c r="AP46" t="n">
        <v/>
      </c>
      <c r="AQ46" t="n">
        <v/>
      </c>
      <c r="AR46" t="n">
        <v/>
      </c>
      <c r="AS46" t="n">
        <v>3</v>
      </c>
      <c r="AT46" t="n">
        <v/>
      </c>
      <c r="AU46" t="n">
        <v/>
      </c>
      <c r="AV46" t="n">
        <v/>
      </c>
      <c r="AW46" t="n">
        <v/>
      </c>
      <c r="AX46" t="inlineStr">
        <is>
          <t>[{"state": "Open", "timestamp": "2024-03-21T00:00:00"}, {"state": "Triage", "timestamp": ""}]</t>
        </is>
      </c>
      <c r="AY46" t="n">
        <v>1</v>
      </c>
      <c r="AZ46" t="n">
        <v>3</v>
      </c>
      <c r="BA46" t="n">
        <v>1</v>
      </c>
      <c r="BB46" t="n">
        <v>1.198270758544244</v>
      </c>
      <c r="BC46" t="n">
        <v>2.189509747622928</v>
      </c>
      <c r="BD46" t="n">
        <v>19.81485026901313</v>
      </c>
      <c r="BE46" t="n">
        <v>7.834851291785694</v>
      </c>
      <c r="BF46" t="n">
        <v>0</v>
      </c>
      <c r="BG46" t="n">
        <v>31.037482066966</v>
      </c>
      <c r="BH46" t="n">
        <v>27.75395054408377</v>
      </c>
      <c r="BI46" t="n">
        <v/>
      </c>
      <c r="BJ46" t="n">
        <v/>
      </c>
      <c r="BK46" t="n">
        <v/>
      </c>
      <c r="BL46" t="n">
        <v>0</v>
      </c>
      <c r="BM46" t="n">
        <v>0</v>
      </c>
      <c r="BN46" t="n">
        <v>644.7707912716435</v>
      </c>
      <c r="BO46" t="n">
        <v/>
      </c>
      <c r="BP46" t="n">
        <v/>
      </c>
      <c r="BQ46" t="n">
        <v/>
      </c>
      <c r="BR46" t="n">
        <v/>
      </c>
      <c r="BS46" t="b">
        <v>0</v>
      </c>
      <c r="BT46" t="n">
        <v/>
      </c>
      <c r="BU46" t="n">
        <v>0</v>
      </c>
      <c r="BV46" t="n">
        <v>0</v>
      </c>
    </row>
    <row r="47">
      <c r="A47" t="n">
        <v>192543</v>
      </c>
      <c r="B47" t="inlineStr">
        <is>
          <t>بدون در نظر گرفتن مرجع تصمیم گیری در اداره کل ( صندوق شکوفایی) امضا شد</t>
        </is>
      </c>
      <c r="C47" t="inlineStr">
        <is>
          <t>تکمیل توضیحات: بدون در نظر گرفتن مرجع تصمیم گیری در اداره کل ( صن...</t>
        </is>
      </c>
      <c r="D47" t="inlineStr">
        <is>
          <t>Medium</t>
        </is>
      </c>
      <c r="E47" t="inlineStr">
        <is>
          <t>P0</t>
        </is>
      </c>
      <c r="F47" t="inlineStr">
        <is>
          <t>Closed</t>
        </is>
      </c>
      <c r="G47" t="inlineStr">
        <is>
          <t>Data</t>
        </is>
      </c>
      <c r="H47" t="b">
        <v>0</v>
      </c>
      <c r="I47" t="b">
        <v>0</v>
      </c>
      <c r="J47" t="inlineStr">
        <is>
          <t>PRJ-001</t>
        </is>
      </c>
      <c r="K47" t="inlineStr">
        <is>
          <t>Dem System</t>
        </is>
      </c>
      <c r="L47" t="inlineStr">
        <is>
          <t>Team Delta</t>
        </is>
      </c>
      <c r="M47" t="inlineStr">
        <is>
          <t>T04</t>
        </is>
      </c>
      <c r="N47" t="inlineStr">
        <is>
          <t>M09</t>
        </is>
      </c>
      <c r="O47" t="inlineStr">
        <is>
          <t>Dem\DemBiz\SP_88</t>
        </is>
      </c>
      <c r="P47" t="inlineStr">
        <is>
          <t>Sprint 23</t>
        </is>
      </c>
      <c r="Q47" t="inlineStr">
        <is>
          <t>S23</t>
        </is>
      </c>
      <c r="R47" t="inlineStr">
        <is>
          <t>Data;Medium</t>
        </is>
      </c>
      <c r="S47" t="inlineStr">
        <is>
          <t>EXT-192543</t>
        </is>
      </c>
      <c r="T47" t="inlineStr">
        <is>
          <t>کامنت 0 مورد</t>
        </is>
      </c>
      <c r="U47" t="inlineStr">
        <is>
          <t>Reza Mohammadi</t>
        </is>
      </c>
      <c r="V47" t="inlineStr">
        <is>
          <t>U493</t>
        </is>
      </c>
      <c r="W47" t="inlineStr">
        <is>
          <t>Mina Hosseini</t>
        </is>
      </c>
      <c r="X47" t="inlineStr">
        <is>
          <t>U860</t>
        </is>
      </c>
      <c r="Y47" t="inlineStr">
        <is>
          <t>Mohammad Safari</t>
        </is>
      </c>
      <c r="Z47" t="inlineStr">
        <is>
          <t>U093</t>
        </is>
      </c>
      <c r="AA47" t="inlineStr">
        <is>
          <t>Mohammad Safari</t>
        </is>
      </c>
      <c r="AB47" t="inlineStr">
        <is>
          <t>U093</t>
        </is>
      </c>
      <c r="AC47" t="inlineStr">
        <is>
          <t>2024-01-13</t>
        </is>
      </c>
      <c r="AD47" t="inlineStr">
        <is>
          <t>2024-01-14 14:00:00</t>
        </is>
      </c>
      <c r="AE47" t="inlineStr">
        <is>
          <t>2024-01-15 06:00:00</t>
        </is>
      </c>
      <c r="AF47" t="inlineStr">
        <is>
          <t>2024-01-18 00:00:00</t>
        </is>
      </c>
      <c r="AG47" t="inlineStr">
        <is>
          <t>2024-01-18 00:00:00</t>
        </is>
      </c>
      <c r="AH47" t="inlineStr">
        <is>
          <t>2024-01-22 21:00:00</t>
        </is>
      </c>
      <c r="AI47" t="inlineStr">
        <is>
          <t>2024-01-24 10:00:00</t>
        </is>
      </c>
      <c r="AJ47" t="inlineStr">
        <is>
          <t>2024-01-24 17:00:00</t>
        </is>
      </c>
      <c r="AK47" t="inlineStr">
        <is>
          <t>2024-01-24 18:00:00</t>
        </is>
      </c>
      <c r="AL47" t="inlineStr">
        <is>
          <t>2024-01-26 03:00:00</t>
        </is>
      </c>
      <c r="AM47" t="inlineStr">
        <is>
          <t>2024-01-26 03:00:00</t>
        </is>
      </c>
      <c r="AN47" t="inlineStr">
        <is>
          <t>2024-01-25</t>
        </is>
      </c>
      <c r="AO47" t="n">
        <v>1</v>
      </c>
      <c r="AP47" t="inlineStr">
        <is>
          <t>2024-01-28 03:00:00</t>
        </is>
      </c>
      <c r="AQ47" t="inlineStr">
        <is>
          <t>2024-01-28 03:00:00</t>
        </is>
      </c>
      <c r="AR47" t="inlineStr">
        <is>
          <t>Done</t>
        </is>
      </c>
      <c r="AS47" t="n">
        <v>10</v>
      </c>
      <c r="AT47" t="n">
        <v>16</v>
      </c>
      <c r="AU47" t="n">
        <v>66</v>
      </c>
      <c r="AV47" t="n">
        <v>117</v>
      </c>
      <c r="AW47" t="n">
        <v>37</v>
      </c>
      <c r="AX47" t="inlineStr">
        <is>
          <t>[{"state": "Open", "timestamp": "2024-01-13T00:00:00"}, {"state": "Triage", "timestamp": "2024-01-14T14:00:00"}]</t>
        </is>
      </c>
      <c r="AY47" t="n">
        <v>0</v>
      </c>
      <c r="AZ47" t="n">
        <v>10</v>
      </c>
      <c r="BA47" t="n">
        <v>2</v>
      </c>
      <c r="BB47" t="n">
        <v>7.229118184649951</v>
      </c>
      <c r="BC47" t="n">
        <v>2.456579361219362</v>
      </c>
      <c r="BD47" t="n">
        <v>8.546044699772816</v>
      </c>
      <c r="BE47" t="n">
        <v>10.30198896702305</v>
      </c>
      <c r="BF47" t="n">
        <v>6.408747448032146</v>
      </c>
      <c r="BG47" t="n">
        <v>34.94247866069733</v>
      </c>
      <c r="BH47" t="n">
        <v>33.37921726919046</v>
      </c>
      <c r="BI47" t="n">
        <v>315</v>
      </c>
      <c r="BJ47" t="n">
        <v>195</v>
      </c>
      <c r="BK47" t="n">
        <v>54</v>
      </c>
      <c r="BL47" t="n">
        <v>119</v>
      </c>
      <c r="BM47" t="n">
        <v>117</v>
      </c>
      <c r="BN47" t="n">
        <v>712.7707912717477</v>
      </c>
      <c r="BO47" t="inlineStr">
        <is>
          <t>Integration</t>
        </is>
      </c>
      <c r="BP47" t="inlineStr">
        <is>
          <t>Fixed</t>
        </is>
      </c>
      <c r="BQ47" t="inlineStr">
        <is>
          <t>Completed</t>
        </is>
      </c>
      <c r="BR47" t="n">
        <v/>
      </c>
      <c r="BS47" t="b">
        <v>0</v>
      </c>
      <c r="BT47" t="n">
        <v/>
      </c>
      <c r="BU47" t="n">
        <v>1</v>
      </c>
      <c r="BV47" t="n">
        <v>0</v>
      </c>
    </row>
    <row r="48">
      <c r="A48" t="n">
        <v>192155</v>
      </c>
      <c r="B48" t="inlineStr">
        <is>
          <t>فراخوانی اطلاعات مشتری در فرم شناسایی مجدد مشتری ،پیغام خطا می دهد</t>
        </is>
      </c>
      <c r="C48" t="inlineStr">
        <is>
          <t>تکمیل توضیحات: فراخوانی اطلاعات مشتری در فرم شناسایی مجدد مشتری ،...</t>
        </is>
      </c>
      <c r="D48" t="inlineStr">
        <is>
          <t>High</t>
        </is>
      </c>
      <c r="E48" t="inlineStr">
        <is>
          <t>P2</t>
        </is>
      </c>
      <c r="F48" t="inlineStr">
        <is>
          <t>Ready for Retest</t>
        </is>
      </c>
      <c r="G48" t="inlineStr">
        <is>
          <t>Integration</t>
        </is>
      </c>
      <c r="H48" t="b">
        <v>0</v>
      </c>
      <c r="I48" t="b">
        <v>1</v>
      </c>
      <c r="J48" t="inlineStr">
        <is>
          <t>PRJ-001</t>
        </is>
      </c>
      <c r="K48" t="inlineStr">
        <is>
          <t>Dem System</t>
        </is>
      </c>
      <c r="L48" t="inlineStr">
        <is>
          <t>Team Delta</t>
        </is>
      </c>
      <c r="M48" t="inlineStr">
        <is>
          <t>T04</t>
        </is>
      </c>
      <c r="N48" t="inlineStr">
        <is>
          <t>M09</t>
        </is>
      </c>
      <c r="O48" t="inlineStr">
        <is>
          <t>Dem\DemBiz\SP_88</t>
        </is>
      </c>
      <c r="P48" t="inlineStr">
        <is>
          <t>Sprint 27</t>
        </is>
      </c>
      <c r="Q48" t="inlineStr">
        <is>
          <t>S27</t>
        </is>
      </c>
      <c r="R48" t="inlineStr">
        <is>
          <t>Integration;High</t>
        </is>
      </c>
      <c r="S48" t="inlineStr">
        <is>
          <t>EXT-192155</t>
        </is>
      </c>
      <c r="T48" t="inlineStr">
        <is>
          <t>کامنت 0 مورد</t>
        </is>
      </c>
      <c r="U48" t="inlineStr">
        <is>
          <t>Ali Rezaei</t>
        </is>
      </c>
      <c r="V48" t="inlineStr">
        <is>
          <t>U374</t>
        </is>
      </c>
      <c r="W48" t="inlineStr">
        <is>
          <t>Mina Hosseini</t>
        </is>
      </c>
      <c r="X48" t="inlineStr">
        <is>
          <t>U860</t>
        </is>
      </c>
      <c r="Y48" t="n">
        <v/>
      </c>
      <c r="Z48" t="n">
        <v/>
      </c>
      <c r="AA48" t="n">
        <v/>
      </c>
      <c r="AB48" t="n">
        <v/>
      </c>
      <c r="AC48" t="inlineStr">
        <is>
          <t>2024-06-01</t>
        </is>
      </c>
      <c r="AD48" t="inlineStr">
        <is>
          <t>2024-06-01 05:00:00</t>
        </is>
      </c>
      <c r="AE48" t="inlineStr">
        <is>
          <t>2024-06-02 03:00:00</t>
        </is>
      </c>
      <c r="AF48" t="inlineStr">
        <is>
          <t>2024-06-03 11:00:00</t>
        </is>
      </c>
      <c r="AG48" t="inlineStr">
        <is>
          <t>2024-06-03 11:00:00</t>
        </is>
      </c>
      <c r="AH48" t="inlineStr">
        <is>
          <t>2024-06-05 22:00:00</t>
        </is>
      </c>
      <c r="AI48" t="n">
        <v/>
      </c>
      <c r="AJ48" t="n">
        <v/>
      </c>
      <c r="AK48" t="n">
        <v/>
      </c>
      <c r="AL48" t="n">
        <v/>
      </c>
      <c r="AM48" t="inlineStr">
        <is>
          <t>2024-06-05 22:00:00</t>
        </is>
      </c>
      <c r="AN48" t="inlineStr">
        <is>
          <t>2024-06-15</t>
        </is>
      </c>
      <c r="AO48" t="n">
        <v>0</v>
      </c>
      <c r="AP48" t="n">
        <v/>
      </c>
      <c r="AQ48" t="n">
        <v/>
      </c>
      <c r="AR48" t="inlineStr">
        <is>
          <t>In Progress</t>
        </is>
      </c>
      <c r="AS48" t="n">
        <v>7</v>
      </c>
      <c r="AT48" t="n">
        <v>22</v>
      </c>
      <c r="AU48" t="n">
        <v>32</v>
      </c>
      <c r="AV48" t="n">
        <v>59</v>
      </c>
      <c r="AW48" t="n">
        <v/>
      </c>
      <c r="AX48" t="inlineStr">
        <is>
          <t>[{"state": "Open", "timestamp": "2024-06-01T00:00:00"}, {"state": "Triage", "timestamp": "2024-06-01T05:00:00"}]</t>
        </is>
      </c>
      <c r="AY48" t="n">
        <v>1</v>
      </c>
      <c r="AZ48" t="n">
        <v>9</v>
      </c>
      <c r="BA48" t="n">
        <v>1</v>
      </c>
      <c r="BB48" t="n">
        <v>7.253135428724978</v>
      </c>
      <c r="BC48" t="n">
        <v>33.08142186572667</v>
      </c>
      <c r="BD48" t="n">
        <v>7.754352672959272</v>
      </c>
      <c r="BE48" t="n">
        <v>5.16071774471699</v>
      </c>
      <c r="BF48" t="n">
        <v>0</v>
      </c>
      <c r="BG48" t="n">
        <v>53.24962771212792</v>
      </c>
      <c r="BH48" t="n">
        <v>53.49277761114524</v>
      </c>
      <c r="BI48" t="n">
        <v/>
      </c>
      <c r="BJ48" t="n">
        <v/>
      </c>
      <c r="BK48" t="n">
        <v>27</v>
      </c>
      <c r="BL48" t="n">
        <v>54</v>
      </c>
      <c r="BM48" t="n">
        <v>59</v>
      </c>
      <c r="BN48" t="n">
        <v>572.7707912718519</v>
      </c>
      <c r="BO48" t="n">
        <v/>
      </c>
      <c r="BP48" t="n">
        <v/>
      </c>
      <c r="BQ48" t="n">
        <v/>
      </c>
      <c r="BR48" t="inlineStr">
        <is>
          <t>TC-1525</t>
        </is>
      </c>
      <c r="BS48" t="b">
        <v>0</v>
      </c>
      <c r="BT48" t="n">
        <v/>
      </c>
      <c r="BU48" t="n">
        <v>0</v>
      </c>
      <c r="BV48" t="n">
        <v>0</v>
      </c>
    </row>
    <row r="49">
      <c r="A49" t="n">
        <v>192159</v>
      </c>
      <c r="B49" t="inlineStr">
        <is>
          <t>خارج شدن سند از کارتابل کاربر، بعدازکلیک دکمه تایید در فرم ورود اطلاعات پیشنهاد</t>
        </is>
      </c>
      <c r="C49" t="inlineStr">
        <is>
          <t>تکمیل توضیحات: خارج شدن سند از کارتابل کاربر، بعدازکلیک دکمه تایی...</t>
        </is>
      </c>
      <c r="D49" t="inlineStr">
        <is>
          <t>Medium</t>
        </is>
      </c>
      <c r="E49" t="inlineStr">
        <is>
          <t>P2</t>
        </is>
      </c>
      <c r="F49" t="inlineStr">
        <is>
          <t>Closed</t>
        </is>
      </c>
      <c r="G49" t="inlineStr">
        <is>
          <t>Security</t>
        </is>
      </c>
      <c r="H49" t="b">
        <v>0</v>
      </c>
      <c r="I49" t="b">
        <v>1</v>
      </c>
      <c r="J49" t="inlineStr">
        <is>
          <t>PRJ-001</t>
        </is>
      </c>
      <c r="K49" t="inlineStr">
        <is>
          <t>Dem System</t>
        </is>
      </c>
      <c r="L49" t="inlineStr">
        <is>
          <t>Team Delta</t>
        </is>
      </c>
      <c r="M49" t="inlineStr">
        <is>
          <t>T04</t>
        </is>
      </c>
      <c r="N49" t="inlineStr">
        <is>
          <t>M09</t>
        </is>
      </c>
      <c r="O49" t="inlineStr">
        <is>
          <t>Dem\DemBiz\SP_88</t>
        </is>
      </c>
      <c r="P49" t="inlineStr">
        <is>
          <t>Sprint 26</t>
        </is>
      </c>
      <c r="Q49" t="inlineStr">
        <is>
          <t>S26</t>
        </is>
      </c>
      <c r="R49" t="inlineStr">
        <is>
          <t>Security;Medium</t>
        </is>
      </c>
      <c r="S49" t="inlineStr">
        <is>
          <t>EXT-192159</t>
        </is>
      </c>
      <c r="T49" t="inlineStr">
        <is>
          <t>کامنت 5 مورد</t>
        </is>
      </c>
      <c r="U49" t="inlineStr">
        <is>
          <t>Hassan Karimi</t>
        </is>
      </c>
      <c r="V49" t="inlineStr">
        <is>
          <t>U829</t>
        </is>
      </c>
      <c r="W49" t="inlineStr">
        <is>
          <t>Hassan Karimi</t>
        </is>
      </c>
      <c r="X49" t="inlineStr">
        <is>
          <t>U829</t>
        </is>
      </c>
      <c r="Y49" t="inlineStr">
        <is>
          <t>Hassan Karimi</t>
        </is>
      </c>
      <c r="Z49" t="inlineStr">
        <is>
          <t>U829</t>
        </is>
      </c>
      <c r="AA49" t="inlineStr">
        <is>
          <t>Hassan Karimi</t>
        </is>
      </c>
      <c r="AB49" t="inlineStr">
        <is>
          <t>U829</t>
        </is>
      </c>
      <c r="AC49" t="inlineStr">
        <is>
          <t>2024-05-25</t>
        </is>
      </c>
      <c r="AD49" t="inlineStr">
        <is>
          <t>2024-05-25 16:00:00</t>
        </is>
      </c>
      <c r="AE49" t="inlineStr">
        <is>
          <t>2024-05-26 11:00:00</t>
        </is>
      </c>
      <c r="AF49" t="inlineStr">
        <is>
          <t>2024-05-26 18:00:00</t>
        </is>
      </c>
      <c r="AG49" t="inlineStr">
        <is>
          <t>2024-05-26 18:00:00</t>
        </is>
      </c>
      <c r="AH49" t="inlineStr">
        <is>
          <t>2024-05-30 09:00:00</t>
        </is>
      </c>
      <c r="AI49" t="inlineStr">
        <is>
          <t>2024-05-30 18:00:00</t>
        </is>
      </c>
      <c r="AJ49" t="inlineStr">
        <is>
          <t>2024-05-31 09:00:00</t>
        </is>
      </c>
      <c r="AK49" t="inlineStr">
        <is>
          <t>2024-05-31 15:00:00</t>
        </is>
      </c>
      <c r="AL49" t="inlineStr">
        <is>
          <t>2024-06-01 08:00:00</t>
        </is>
      </c>
      <c r="AM49" t="inlineStr">
        <is>
          <t>2024-06-01 08:00:00</t>
        </is>
      </c>
      <c r="AN49" t="inlineStr">
        <is>
          <t>2024-06-14</t>
        </is>
      </c>
      <c r="AO49" t="n">
        <v>2</v>
      </c>
      <c r="AP49" t="inlineStr">
        <is>
          <t>2024-06-05 08:00:00</t>
        </is>
      </c>
      <c r="AQ49" t="inlineStr">
        <is>
          <t>2024-06-07 08:00:00</t>
        </is>
      </c>
      <c r="AR49" t="inlineStr">
        <is>
          <t>Done</t>
        </is>
      </c>
      <c r="AS49" t="n">
        <v>9</v>
      </c>
      <c r="AT49" t="n">
        <v>19</v>
      </c>
      <c r="AU49" t="n">
        <v>7</v>
      </c>
      <c r="AV49" t="n">
        <v>87</v>
      </c>
      <c r="AW49" t="n">
        <v>9</v>
      </c>
      <c r="AX49" t="inlineStr">
        <is>
          <t>[{"state": "Open", "timestamp": "2024-05-25T00:00:00"}, {"state": "Triage", "timestamp": "2024-05-25T16:00:00"}]</t>
        </is>
      </c>
      <c r="AY49" t="n">
        <v>4</v>
      </c>
      <c r="AZ49" t="n">
        <v>11</v>
      </c>
      <c r="BA49" t="n">
        <v>3</v>
      </c>
      <c r="BB49" t="n">
        <v>5.24826092954951</v>
      </c>
      <c r="BC49" t="n">
        <v>15.04743501503925</v>
      </c>
      <c r="BD49" t="n">
        <v>15.64005273446894</v>
      </c>
      <c r="BE49" t="n">
        <v>3.82181739585642</v>
      </c>
      <c r="BF49" t="n">
        <v>6.913345666477264</v>
      </c>
      <c r="BG49" t="n">
        <v>46.67091174139139</v>
      </c>
      <c r="BH49" t="n">
        <v>39.45772815505308</v>
      </c>
      <c r="BI49" t="n">
        <v>176</v>
      </c>
      <c r="BJ49" t="n">
        <v>134</v>
      </c>
      <c r="BK49" t="n">
        <v>35</v>
      </c>
      <c r="BL49" t="n">
        <v>35</v>
      </c>
      <c r="BM49" t="n">
        <v>87</v>
      </c>
      <c r="BN49" t="n">
        <v>579.7707912719676</v>
      </c>
      <c r="BO49" t="inlineStr">
        <is>
          <t>Data</t>
        </is>
      </c>
      <c r="BP49" t="inlineStr">
        <is>
          <t>Fixed</t>
        </is>
      </c>
      <c r="BQ49" t="inlineStr">
        <is>
          <t>Duplicate</t>
        </is>
      </c>
      <c r="BR49" t="n">
        <v/>
      </c>
      <c r="BS49" t="b">
        <v>1</v>
      </c>
      <c r="BT49" t="n">
        <v>192380</v>
      </c>
      <c r="BU49" t="n">
        <v>3</v>
      </c>
      <c r="BV49" t="n">
        <v>0</v>
      </c>
    </row>
    <row r="50">
      <c r="A50" t="n">
        <v>192162</v>
      </c>
      <c r="B50" t="inlineStr">
        <is>
          <t>با باز شدن فرم انتخاب پیشنهاد جهت اصلاح ، پیغام خطا می دهد</t>
        </is>
      </c>
      <c r="C50" t="inlineStr">
        <is>
          <t>تکمیل توضیحات: با باز شدن فرم انتخاب پیشنهاد جهت اصلاح ، پیغام خط...</t>
        </is>
      </c>
      <c r="D50" t="inlineStr">
        <is>
          <t>Medium</t>
        </is>
      </c>
      <c r="E50" t="inlineStr">
        <is>
          <t>P1</t>
        </is>
      </c>
      <c r="F50" t="inlineStr">
        <is>
          <t>Closed</t>
        </is>
      </c>
      <c r="G50" t="inlineStr">
        <is>
          <t>Data</t>
        </is>
      </c>
      <c r="H50" t="b">
        <v>0</v>
      </c>
      <c r="I50" t="b">
        <v>0</v>
      </c>
      <c r="J50" t="inlineStr">
        <is>
          <t>PRJ-001</t>
        </is>
      </c>
      <c r="K50" t="inlineStr">
        <is>
          <t>Dem System</t>
        </is>
      </c>
      <c r="L50" t="inlineStr">
        <is>
          <t>Team Delta</t>
        </is>
      </c>
      <c r="M50" t="inlineStr">
        <is>
          <t>T04</t>
        </is>
      </c>
      <c r="N50" t="inlineStr">
        <is>
          <t>M09</t>
        </is>
      </c>
      <c r="O50" t="inlineStr">
        <is>
          <t>Dem\DemBiz\SP_88</t>
        </is>
      </c>
      <c r="P50" t="inlineStr">
        <is>
          <t>Sprint 24</t>
        </is>
      </c>
      <c r="Q50" t="inlineStr">
        <is>
          <t>S24</t>
        </is>
      </c>
      <c r="R50" t="inlineStr">
        <is>
          <t>Data;Medium</t>
        </is>
      </c>
      <c r="S50" t="n">
        <v/>
      </c>
      <c r="T50" t="inlineStr">
        <is>
          <t>کامنت 3 مورد</t>
        </is>
      </c>
      <c r="U50" t="inlineStr">
        <is>
          <t>Zahra Ebrahimi</t>
        </is>
      </c>
      <c r="V50" t="inlineStr">
        <is>
          <t>U002</t>
        </is>
      </c>
      <c r="W50" t="inlineStr">
        <is>
          <t>Sara Ahmadi</t>
        </is>
      </c>
      <c r="X50" t="inlineStr">
        <is>
          <t>U091</t>
        </is>
      </c>
      <c r="Y50" t="inlineStr">
        <is>
          <t>Mohammad Safari</t>
        </is>
      </c>
      <c r="Z50" t="inlineStr">
        <is>
          <t>U093</t>
        </is>
      </c>
      <c r="AA50" t="inlineStr">
        <is>
          <t>Fateme Akbari</t>
        </is>
      </c>
      <c r="AB50" t="inlineStr">
        <is>
          <t>U511</t>
        </is>
      </c>
      <c r="AC50" t="inlineStr">
        <is>
          <t>2024-04-11</t>
        </is>
      </c>
      <c r="AD50" t="inlineStr">
        <is>
          <t>2024-04-11 09:00:00</t>
        </is>
      </c>
      <c r="AE50" t="inlineStr">
        <is>
          <t>2024-04-12 07:00:00</t>
        </is>
      </c>
      <c r="AF50" t="inlineStr">
        <is>
          <t>2024-04-13 23:00:00</t>
        </is>
      </c>
      <c r="AG50" t="inlineStr">
        <is>
          <t>2024-04-13 23:00:00</t>
        </is>
      </c>
      <c r="AH50" t="inlineStr">
        <is>
          <t>2024-04-16 17:00:00</t>
        </is>
      </c>
      <c r="AI50" t="inlineStr">
        <is>
          <t>2024-04-17 17:00:00</t>
        </is>
      </c>
      <c r="AJ50" t="inlineStr">
        <is>
          <t>2024-04-17 21:00:00</t>
        </is>
      </c>
      <c r="AK50" t="inlineStr">
        <is>
          <t>2024-04-17 22:00:00</t>
        </is>
      </c>
      <c r="AL50" t="inlineStr">
        <is>
          <t>2024-04-19 04:00:00</t>
        </is>
      </c>
      <c r="AM50" t="inlineStr">
        <is>
          <t>2024-04-19 04:00:00</t>
        </is>
      </c>
      <c r="AN50" t="inlineStr">
        <is>
          <t>2024-05-27</t>
        </is>
      </c>
      <c r="AO50" t="n">
        <v>0</v>
      </c>
      <c r="AP50" t="n">
        <v/>
      </c>
      <c r="AQ50" t="n">
        <v/>
      </c>
      <c r="AR50" t="inlineStr">
        <is>
          <t>Done</t>
        </is>
      </c>
      <c r="AS50" t="n">
        <v>8</v>
      </c>
      <c r="AT50" t="n">
        <v>22</v>
      </c>
      <c r="AU50" t="n">
        <v>40</v>
      </c>
      <c r="AV50" t="n">
        <v>66</v>
      </c>
      <c r="AW50" t="n">
        <v>24</v>
      </c>
      <c r="AX50" t="inlineStr">
        <is>
          <t>[{"state": "Open", "timestamp": "2024-04-11T00:00:00"}, {"state": "Triage", "timestamp": "2024-04-11T09:00:00"}]</t>
        </is>
      </c>
      <c r="AY50" t="n">
        <v>1</v>
      </c>
      <c r="AZ50" t="n">
        <v>10</v>
      </c>
      <c r="BA50" t="n">
        <v>1</v>
      </c>
      <c r="BB50" t="n">
        <v>3.042723432865256</v>
      </c>
      <c r="BC50" t="n">
        <v>5.955359993423507</v>
      </c>
      <c r="BD50" t="n">
        <v>7.145669034933848</v>
      </c>
      <c r="BE50" t="n">
        <v>7.955476074099733</v>
      </c>
      <c r="BF50" t="n">
        <v>0</v>
      </c>
      <c r="BG50" t="n">
        <v>24.09922853532234</v>
      </c>
      <c r="BH50" t="n">
        <v>18.52994730492213</v>
      </c>
      <c r="BI50" t="n">
        <v>196</v>
      </c>
      <c r="BJ50" t="n">
        <v>125</v>
      </c>
      <c r="BK50" t="n">
        <v>31</v>
      </c>
      <c r="BL50" t="n">
        <v>86</v>
      </c>
      <c r="BM50" t="n">
        <v>66</v>
      </c>
      <c r="BN50" t="n">
        <v>623.7707912720717</v>
      </c>
      <c r="BO50" t="inlineStr">
        <is>
          <t>Integration</t>
        </is>
      </c>
      <c r="BP50" t="inlineStr">
        <is>
          <t>Duplicate</t>
        </is>
      </c>
      <c r="BQ50" t="inlineStr">
        <is>
          <t>Completed</t>
        </is>
      </c>
      <c r="BR50" t="inlineStr">
        <is>
          <t>TC-2084</t>
        </is>
      </c>
      <c r="BS50" t="b">
        <v>1</v>
      </c>
      <c r="BT50" t="n">
        <v>191830</v>
      </c>
      <c r="BU50" t="n">
        <v>1</v>
      </c>
      <c r="BV50" t="n">
        <v>0</v>
      </c>
    </row>
    <row r="51">
      <c r="A51" t="n">
        <v>192167</v>
      </c>
      <c r="B51" t="inlineStr">
        <is>
          <t>عدم شناسایی کد ملی ، مشتری ثبت شده قدیمی</t>
        </is>
      </c>
      <c r="C51" t="inlineStr">
        <is>
          <t>تکمیل توضیحات: عدم شناسایی کد ملی ، مشتری ثبت شده قدیمی...</t>
        </is>
      </c>
      <c r="D51" t="inlineStr">
        <is>
          <t>High</t>
        </is>
      </c>
      <c r="E51" t="inlineStr">
        <is>
          <t>P2</t>
        </is>
      </c>
      <c r="F51" t="inlineStr">
        <is>
          <t>Closed</t>
        </is>
      </c>
      <c r="G51" t="inlineStr">
        <is>
          <t>UI</t>
        </is>
      </c>
      <c r="H51" t="b">
        <v>0</v>
      </c>
      <c r="I51" t="b">
        <v>0</v>
      </c>
      <c r="J51" t="inlineStr">
        <is>
          <t>PRJ-001</t>
        </is>
      </c>
      <c r="K51" t="inlineStr">
        <is>
          <t>Dem System</t>
        </is>
      </c>
      <c r="L51" t="inlineStr">
        <is>
          <t>Team Delta</t>
        </is>
      </c>
      <c r="M51" t="inlineStr">
        <is>
          <t>T04</t>
        </is>
      </c>
      <c r="N51" t="inlineStr">
        <is>
          <t>M09</t>
        </is>
      </c>
      <c r="O51" t="inlineStr">
        <is>
          <t>Dem\DemBiz\SP_88</t>
        </is>
      </c>
      <c r="P51" t="inlineStr">
        <is>
          <t>Sprint 24</t>
        </is>
      </c>
      <c r="Q51" t="inlineStr">
        <is>
          <t>S24</t>
        </is>
      </c>
      <c r="R51" t="inlineStr">
        <is>
          <t>UI;High</t>
        </is>
      </c>
      <c r="S51" t="n">
        <v/>
      </c>
      <c r="T51" t="inlineStr">
        <is>
          <t>کامنت 0 مورد</t>
        </is>
      </c>
      <c r="U51" t="inlineStr">
        <is>
          <t>Mina Hosseini</t>
        </is>
      </c>
      <c r="V51" t="inlineStr">
        <is>
          <t>U860</t>
        </is>
      </c>
      <c r="W51" t="inlineStr">
        <is>
          <t>Reza Mohammadi</t>
        </is>
      </c>
      <c r="X51" t="inlineStr">
        <is>
          <t>U493</t>
        </is>
      </c>
      <c r="Y51" t="inlineStr">
        <is>
          <t>Ali Rezaei</t>
        </is>
      </c>
      <c r="Z51" t="inlineStr">
        <is>
          <t>U374</t>
        </is>
      </c>
      <c r="AA51" t="inlineStr">
        <is>
          <t>Ali Rezaei</t>
        </is>
      </c>
      <c r="AB51" t="inlineStr">
        <is>
          <t>U374</t>
        </is>
      </c>
      <c r="AC51" t="inlineStr">
        <is>
          <t>2024-01-19</t>
        </is>
      </c>
      <c r="AD51" t="inlineStr">
        <is>
          <t>2024-01-20 11:00:00</t>
        </is>
      </c>
      <c r="AE51" t="inlineStr">
        <is>
          <t>2024-01-20 18:00:00</t>
        </is>
      </c>
      <c r="AF51" t="inlineStr">
        <is>
          <t>2024-01-23 12:00:00</t>
        </is>
      </c>
      <c r="AG51" t="inlineStr">
        <is>
          <t>2024-01-23 12:00:00</t>
        </is>
      </c>
      <c r="AH51" t="inlineStr">
        <is>
          <t>2024-01-25 05:00:00</t>
        </is>
      </c>
      <c r="AI51" t="inlineStr">
        <is>
          <t>2024-01-25 17:00:00</t>
        </is>
      </c>
      <c r="AJ51" t="inlineStr">
        <is>
          <t>2024-01-26 06:00:00</t>
        </is>
      </c>
      <c r="AK51" t="inlineStr">
        <is>
          <t>2024-01-26 08:00:00</t>
        </is>
      </c>
      <c r="AL51" t="inlineStr">
        <is>
          <t>2024-01-27 00:00:00</t>
        </is>
      </c>
      <c r="AM51" t="inlineStr">
        <is>
          <t>2024-01-27 00:00:00</t>
        </is>
      </c>
      <c r="AN51" t="inlineStr">
        <is>
          <t>2024-02-18</t>
        </is>
      </c>
      <c r="AO51" t="n">
        <v>2</v>
      </c>
      <c r="AP51" t="inlineStr">
        <is>
          <t>2024-01-30 00:00:00</t>
        </is>
      </c>
      <c r="AQ51" t="inlineStr">
        <is>
          <t>2024-02-02 00:00:00</t>
        </is>
      </c>
      <c r="AR51" t="inlineStr">
        <is>
          <t>Done</t>
        </is>
      </c>
      <c r="AS51" t="n">
        <v>8</v>
      </c>
      <c r="AT51" t="n">
        <v>7</v>
      </c>
      <c r="AU51" t="n">
        <v>66</v>
      </c>
      <c r="AV51" t="n">
        <v>41</v>
      </c>
      <c r="AW51" t="n">
        <v>12</v>
      </c>
      <c r="AX51" t="inlineStr">
        <is>
          <t>[{"state": "Open", "timestamp": "2024-01-19T00:00:00"}, {"state": "Triage", "timestamp": "2024-01-20T11:00:00"}]</t>
        </is>
      </c>
      <c r="AY51" t="n">
        <v>3</v>
      </c>
      <c r="AZ51" t="n">
        <v>9</v>
      </c>
      <c r="BA51" t="n">
        <v>3</v>
      </c>
      <c r="BB51" t="n">
        <v>3.119071809594957</v>
      </c>
      <c r="BC51" t="n">
        <v>21.36748714213737</v>
      </c>
      <c r="BD51" t="n">
        <v>18.64976784926951</v>
      </c>
      <c r="BE51" t="n">
        <v>6.300283420390793</v>
      </c>
      <c r="BF51" t="n">
        <v>9.479232805257446</v>
      </c>
      <c r="BG51" t="n">
        <v>58.91584302665008</v>
      </c>
      <c r="BH51" t="n">
        <v>62.82620686030564</v>
      </c>
      <c r="BI51" t="n">
        <v>192</v>
      </c>
      <c r="BJ51" t="n">
        <v>84</v>
      </c>
      <c r="BK51" t="n">
        <v>42</v>
      </c>
      <c r="BL51" t="n">
        <v>85</v>
      </c>
      <c r="BM51" t="n">
        <v>41</v>
      </c>
      <c r="BN51" t="n">
        <v>706.7707912721875</v>
      </c>
      <c r="BO51" t="inlineStr">
        <is>
          <t>Coding</t>
        </is>
      </c>
      <c r="BP51" t="inlineStr">
        <is>
          <t>Fixed</t>
        </is>
      </c>
      <c r="BQ51" t="inlineStr">
        <is>
          <t>Completed</t>
        </is>
      </c>
      <c r="BR51" t="inlineStr">
        <is>
          <t>TC-6155</t>
        </is>
      </c>
      <c r="BS51" t="b">
        <v>0</v>
      </c>
      <c r="BT51" t="n">
        <v/>
      </c>
      <c r="BU51" t="n">
        <v>2</v>
      </c>
      <c r="BV51" t="n">
        <v>0</v>
      </c>
    </row>
    <row r="52">
      <c r="A52" t="n">
        <v>192184</v>
      </c>
      <c r="B52" t="inlineStr">
        <is>
          <t>اصلاح متن پیغام در لینک کپی اطلاعات پیشنهادبا انتخاب چند رهگیری</t>
        </is>
      </c>
      <c r="C52" t="inlineStr">
        <is>
          <t>تکمیل توضیحات: اصلاح متن پیغام در لینک کپی اطلاعات پیشنهادبا انتخ...</t>
        </is>
      </c>
      <c r="D52" t="inlineStr">
        <is>
          <t>Low</t>
        </is>
      </c>
      <c r="E52" t="inlineStr">
        <is>
          <t>P3</t>
        </is>
      </c>
      <c r="F52" t="inlineStr">
        <is>
          <t>In Progress</t>
        </is>
      </c>
      <c r="G52" t="inlineStr">
        <is>
          <t>Integration</t>
        </is>
      </c>
      <c r="H52" t="b">
        <v>0</v>
      </c>
      <c r="I52" t="b">
        <v>0</v>
      </c>
      <c r="J52" t="inlineStr">
        <is>
          <t>PRJ-001</t>
        </is>
      </c>
      <c r="K52" t="inlineStr">
        <is>
          <t>Dem System</t>
        </is>
      </c>
      <c r="L52" t="inlineStr">
        <is>
          <t>Team Delta</t>
        </is>
      </c>
      <c r="M52" t="inlineStr">
        <is>
          <t>T04</t>
        </is>
      </c>
      <c r="N52" t="inlineStr">
        <is>
          <t>M09</t>
        </is>
      </c>
      <c r="O52" t="inlineStr">
        <is>
          <t>Dem\DemBiz\SP_88</t>
        </is>
      </c>
      <c r="P52" t="inlineStr">
        <is>
          <t>Sprint 25</t>
        </is>
      </c>
      <c r="Q52" t="inlineStr">
        <is>
          <t>S25</t>
        </is>
      </c>
      <c r="R52" t="inlineStr">
        <is>
          <t>Integration;Low</t>
        </is>
      </c>
      <c r="S52" t="n">
        <v/>
      </c>
      <c r="T52" t="inlineStr">
        <is>
          <t>کامنت 4 مورد</t>
        </is>
      </c>
      <c r="U52" t="inlineStr">
        <is>
          <t>Zahra Ebrahimi</t>
        </is>
      </c>
      <c r="V52" t="inlineStr">
        <is>
          <t>U002</t>
        </is>
      </c>
      <c r="W52" t="inlineStr">
        <is>
          <t>Mohammad Safari</t>
        </is>
      </c>
      <c r="X52" t="inlineStr">
        <is>
          <t>U093</t>
        </is>
      </c>
      <c r="Y52" t="n">
        <v/>
      </c>
      <c r="Z52" t="n">
        <v/>
      </c>
      <c r="AA52" t="n">
        <v/>
      </c>
      <c r="AB52" t="n">
        <v/>
      </c>
      <c r="AC52" t="inlineStr">
        <is>
          <t>2024-05-19</t>
        </is>
      </c>
      <c r="AD52" t="inlineStr">
        <is>
          <t>2024-05-20 22:00:00</t>
        </is>
      </c>
      <c r="AE52" t="inlineStr">
        <is>
          <t>2024-05-21 08:00:00</t>
        </is>
      </c>
      <c r="AF52" t="inlineStr">
        <is>
          <t>2024-05-24 05:00:00</t>
        </is>
      </c>
      <c r="AG52" t="inlineStr">
        <is>
          <t>2024-05-24 05:00:00</t>
        </is>
      </c>
      <c r="AH52" t="n">
        <v/>
      </c>
      <c r="AI52" t="n">
        <v/>
      </c>
      <c r="AJ52" t="n">
        <v/>
      </c>
      <c r="AK52" t="n">
        <v/>
      </c>
      <c r="AL52" t="n">
        <v/>
      </c>
      <c r="AM52" t="inlineStr">
        <is>
          <t>2024-05-24 05:00:00</t>
        </is>
      </c>
      <c r="AN52" t="inlineStr">
        <is>
          <t>2024-05-26</t>
        </is>
      </c>
      <c r="AO52" t="n">
        <v>0</v>
      </c>
      <c r="AP52" t="n">
        <v/>
      </c>
      <c r="AQ52" t="n">
        <v/>
      </c>
      <c r="AR52" t="inlineStr">
        <is>
          <t>Active</t>
        </is>
      </c>
      <c r="AS52" t="n">
        <v>5</v>
      </c>
      <c r="AT52" t="n">
        <v>10</v>
      </c>
      <c r="AU52" t="n">
        <v>69</v>
      </c>
      <c r="AV52" t="n">
        <v/>
      </c>
      <c r="AW52" t="n">
        <v/>
      </c>
      <c r="AX52" t="inlineStr">
        <is>
          <t>[{"state": "Open", "timestamp": "2024-05-19T00:00:00"}, {"state": "Triage", "timestamp": "2024-05-20T22:00:00"}]</t>
        </is>
      </c>
      <c r="AY52" t="n">
        <v>3</v>
      </c>
      <c r="AZ52" t="n">
        <v>6</v>
      </c>
      <c r="BA52" t="n">
        <v>1</v>
      </c>
      <c r="BB52" t="n">
        <v>5.944667591526796</v>
      </c>
      <c r="BC52" t="n">
        <v>31.02974857084583</v>
      </c>
      <c r="BD52" t="n">
        <v>17.23904866093873</v>
      </c>
      <c r="BE52" t="n">
        <v>9.754841677763082</v>
      </c>
      <c r="BF52" t="n">
        <v>0</v>
      </c>
      <c r="BG52" t="n">
        <v>63.96830650107444</v>
      </c>
      <c r="BH52" t="n">
        <v>55.85573916790053</v>
      </c>
      <c r="BI52" t="n">
        <v/>
      </c>
      <c r="BJ52" t="n">
        <v/>
      </c>
      <c r="BK52" t="n">
        <v>56</v>
      </c>
      <c r="BL52" t="n">
        <v>79</v>
      </c>
      <c r="BM52" t="n">
        <v>0</v>
      </c>
      <c r="BN52" t="n">
        <v>585.7707912722916</v>
      </c>
      <c r="BO52" t="n">
        <v/>
      </c>
      <c r="BP52" t="n">
        <v/>
      </c>
      <c r="BQ52" t="n">
        <v/>
      </c>
      <c r="BR52" t="inlineStr">
        <is>
          <t>TC-9179</t>
        </is>
      </c>
      <c r="BS52" t="b">
        <v>0</v>
      </c>
      <c r="BT52" t="n">
        <v/>
      </c>
      <c r="BU52" t="n">
        <v>0</v>
      </c>
      <c r="BV52" t="n">
        <v>0</v>
      </c>
    </row>
    <row r="53">
      <c r="A53" t="n">
        <v>192214</v>
      </c>
      <c r="B53" t="inlineStr">
        <is>
          <t>نکست شدن سند به فرم تکمیل اطلاعات ، بدون ثبت درخواست تسهیلاتی /غیر تسهیلاتی</t>
        </is>
      </c>
      <c r="C53" t="inlineStr">
        <is>
          <t>تکمیل توضیحات: نکست شدن سند به فرم تکمیل اطلاعات ، بدون ثبت درخوا...</t>
        </is>
      </c>
      <c r="D53" t="inlineStr">
        <is>
          <t>Low</t>
        </is>
      </c>
      <c r="E53" t="inlineStr">
        <is>
          <t>P1</t>
        </is>
      </c>
      <c r="F53" t="inlineStr">
        <is>
          <t>Ready for Retest</t>
        </is>
      </c>
      <c r="G53" t="inlineStr">
        <is>
          <t>Integration</t>
        </is>
      </c>
      <c r="H53" t="b">
        <v>0</v>
      </c>
      <c r="I53" t="b">
        <v>1</v>
      </c>
      <c r="J53" t="inlineStr">
        <is>
          <t>PRJ-001</t>
        </is>
      </c>
      <c r="K53" t="inlineStr">
        <is>
          <t>Dem System</t>
        </is>
      </c>
      <c r="L53" t="inlineStr">
        <is>
          <t>Team Alpha</t>
        </is>
      </c>
      <c r="M53" t="inlineStr">
        <is>
          <t>T01</t>
        </is>
      </c>
      <c r="N53" t="inlineStr">
        <is>
          <t>M09</t>
        </is>
      </c>
      <c r="O53" t="inlineStr">
        <is>
          <t>Dem\DemBiz\SP_88</t>
        </is>
      </c>
      <c r="P53" t="inlineStr">
        <is>
          <t>Sprint 25</t>
        </is>
      </c>
      <c r="Q53" t="inlineStr">
        <is>
          <t>S25</t>
        </is>
      </c>
      <c r="R53" t="inlineStr">
        <is>
          <t>Integration;Low</t>
        </is>
      </c>
      <c r="S53" t="inlineStr">
        <is>
          <t>EXT-192214</t>
        </is>
      </c>
      <c r="T53" t="inlineStr">
        <is>
          <t>کامنت 1 مورد</t>
        </is>
      </c>
      <c r="U53" t="inlineStr">
        <is>
          <t>Reza Mohammadi</t>
        </is>
      </c>
      <c r="V53" t="inlineStr">
        <is>
          <t>U493</t>
        </is>
      </c>
      <c r="W53" t="inlineStr">
        <is>
          <t>Reza Mohammadi</t>
        </is>
      </c>
      <c r="X53" t="inlineStr">
        <is>
          <t>U493</t>
        </is>
      </c>
      <c r="Y53" t="n">
        <v/>
      </c>
      <c r="Z53" t="n">
        <v/>
      </c>
      <c r="AA53" t="n">
        <v/>
      </c>
      <c r="AB53" t="n">
        <v/>
      </c>
      <c r="AC53" t="inlineStr">
        <is>
          <t>2024-06-19</t>
        </is>
      </c>
      <c r="AD53" t="inlineStr">
        <is>
          <t>2024-06-20 12:00:00</t>
        </is>
      </c>
      <c r="AE53" t="inlineStr">
        <is>
          <t>2024-06-20 22:00:00</t>
        </is>
      </c>
      <c r="AF53" t="inlineStr">
        <is>
          <t>2024-06-21 13:00:00</t>
        </is>
      </c>
      <c r="AG53" t="inlineStr">
        <is>
          <t>2024-06-21 13:00:00</t>
        </is>
      </c>
      <c r="AH53" t="inlineStr">
        <is>
          <t>2024-06-26 13:00:00</t>
        </is>
      </c>
      <c r="AI53" t="n">
        <v/>
      </c>
      <c r="AJ53" t="n">
        <v/>
      </c>
      <c r="AK53" t="n">
        <v/>
      </c>
      <c r="AL53" t="n">
        <v/>
      </c>
      <c r="AM53" t="inlineStr">
        <is>
          <t>2024-06-26 13:00:00</t>
        </is>
      </c>
      <c r="AN53" t="inlineStr">
        <is>
          <t>2024-07-04</t>
        </is>
      </c>
      <c r="AO53" t="n">
        <v>0</v>
      </c>
      <c r="AP53" t="n">
        <v/>
      </c>
      <c r="AQ53" t="n">
        <v/>
      </c>
      <c r="AR53" t="inlineStr">
        <is>
          <t>In Progress</t>
        </is>
      </c>
      <c r="AS53" t="n">
        <v>5</v>
      </c>
      <c r="AT53" t="n">
        <v>10</v>
      </c>
      <c r="AU53" t="n">
        <v>15</v>
      </c>
      <c r="AV53" t="n">
        <v>120</v>
      </c>
      <c r="AW53" t="n">
        <v/>
      </c>
      <c r="AX53" t="inlineStr">
        <is>
          <t>[{"state": "Open", "timestamp": "2024-06-19T00:00:00"}, {"state": "Triage", "timestamp": "2024-06-20T12:00:00"}]</t>
        </is>
      </c>
      <c r="AY53" t="n">
        <v>3</v>
      </c>
      <c r="AZ53" t="n">
        <v>6</v>
      </c>
      <c r="BA53" t="n">
        <v>1</v>
      </c>
      <c r="BB53" t="n">
        <v>7.228326949644328</v>
      </c>
      <c r="BC53" t="n">
        <v>9.417020072376884</v>
      </c>
      <c r="BD53" t="n">
        <v>8.865383533812858</v>
      </c>
      <c r="BE53" t="n">
        <v>2.166019554474773</v>
      </c>
      <c r="BF53" t="n">
        <v>0</v>
      </c>
      <c r="BG53" t="n">
        <v>27.67675011030884</v>
      </c>
      <c r="BH53" t="n">
        <v>29.02579608254059</v>
      </c>
      <c r="BI53" t="n">
        <v/>
      </c>
      <c r="BJ53" t="n">
        <v/>
      </c>
      <c r="BK53" t="n">
        <v>46</v>
      </c>
      <c r="BL53" t="n">
        <v>25</v>
      </c>
      <c r="BM53" t="n">
        <v>120</v>
      </c>
      <c r="BN53" t="n">
        <v>554.7707912723959</v>
      </c>
      <c r="BO53" t="n">
        <v/>
      </c>
      <c r="BP53" t="n">
        <v/>
      </c>
      <c r="BQ53" t="n">
        <v/>
      </c>
      <c r="BR53" t="inlineStr">
        <is>
          <t>TC-8517</t>
        </is>
      </c>
      <c r="BS53" t="b">
        <v>0</v>
      </c>
      <c r="BT53" t="n">
        <v/>
      </c>
      <c r="BU53" t="n">
        <v>0</v>
      </c>
      <c r="BV53" t="n">
        <v>0</v>
      </c>
    </row>
    <row r="54">
      <c r="A54" t="n">
        <v>192380</v>
      </c>
      <c r="B54" t="inlineStr">
        <is>
          <t>نمایشی بودن فرم ویرایش در عقد مشارکتی</t>
        </is>
      </c>
      <c r="C54" t="inlineStr">
        <is>
          <t>تکمیل توضیحات: نمایشی بودن فرم ویرایش در عقد مشارکتی...</t>
        </is>
      </c>
      <c r="D54" t="inlineStr">
        <is>
          <t>Low</t>
        </is>
      </c>
      <c r="E54" t="inlineStr">
        <is>
          <t>P1</t>
        </is>
      </c>
      <c r="F54" t="inlineStr">
        <is>
          <t>Closed</t>
        </is>
      </c>
      <c r="G54" t="inlineStr">
        <is>
          <t>Integration</t>
        </is>
      </c>
      <c r="H54" t="b">
        <v>0</v>
      </c>
      <c r="I54" t="b">
        <v>0</v>
      </c>
      <c r="J54" t="inlineStr">
        <is>
          <t>PRJ-001</t>
        </is>
      </c>
      <c r="K54" t="inlineStr">
        <is>
          <t>Dem System</t>
        </is>
      </c>
      <c r="L54" t="inlineStr">
        <is>
          <t>Team Gamma</t>
        </is>
      </c>
      <c r="M54" t="inlineStr">
        <is>
          <t>T03</t>
        </is>
      </c>
      <c r="N54" t="inlineStr">
        <is>
          <t>M09</t>
        </is>
      </c>
      <c r="O54" t="inlineStr">
        <is>
          <t>Dem\DemBiz\SP_88</t>
        </is>
      </c>
      <c r="P54" t="inlineStr">
        <is>
          <t>Sprint 27</t>
        </is>
      </c>
      <c r="Q54" t="inlineStr">
        <is>
          <t>S27</t>
        </is>
      </c>
      <c r="R54" t="inlineStr">
        <is>
          <t>Integration;Low</t>
        </is>
      </c>
      <c r="S54" t="inlineStr">
        <is>
          <t>EXT-192380</t>
        </is>
      </c>
      <c r="T54" t="inlineStr">
        <is>
          <t>کامنت 1 مورد</t>
        </is>
      </c>
      <c r="U54" t="inlineStr">
        <is>
          <t>Hassan Karimi</t>
        </is>
      </c>
      <c r="V54" t="inlineStr">
        <is>
          <t>U829</t>
        </is>
      </c>
      <c r="W54" t="inlineStr">
        <is>
          <t>Reza Mohammadi</t>
        </is>
      </c>
      <c r="X54" t="inlineStr">
        <is>
          <t>U493</t>
        </is>
      </c>
      <c r="Y54" t="inlineStr">
        <is>
          <t>Hassan Karimi</t>
        </is>
      </c>
      <c r="Z54" t="inlineStr">
        <is>
          <t>U829</t>
        </is>
      </c>
      <c r="AA54" t="inlineStr">
        <is>
          <t>Mohammad Safari</t>
        </is>
      </c>
      <c r="AB54" t="inlineStr">
        <is>
          <t>U093</t>
        </is>
      </c>
      <c r="AC54" t="inlineStr">
        <is>
          <t>2024-03-08</t>
        </is>
      </c>
      <c r="AD54" t="inlineStr">
        <is>
          <t>2024-03-08 08:00:00</t>
        </is>
      </c>
      <c r="AE54" t="inlineStr">
        <is>
          <t>2024-03-08 12:00:00</t>
        </is>
      </c>
      <c r="AF54" t="inlineStr">
        <is>
          <t>2024-03-11 12:00:00</t>
        </is>
      </c>
      <c r="AG54" t="inlineStr">
        <is>
          <t>2024-03-11 12:00:00</t>
        </is>
      </c>
      <c r="AH54" t="inlineStr">
        <is>
          <t>2024-03-12 15:00:00</t>
        </is>
      </c>
      <c r="AI54" t="inlineStr">
        <is>
          <t>2024-03-13 12:00:00</t>
        </is>
      </c>
      <c r="AJ54" t="inlineStr">
        <is>
          <t>2024-03-13 23:00:00</t>
        </is>
      </c>
      <c r="AK54" t="inlineStr">
        <is>
          <t>2024-03-14 03:00:00</t>
        </is>
      </c>
      <c r="AL54" t="inlineStr">
        <is>
          <t>2024-03-16 01:00:00</t>
        </is>
      </c>
      <c r="AM54" t="inlineStr">
        <is>
          <t>2024-03-16 01:00:00</t>
        </is>
      </c>
      <c r="AN54" t="inlineStr">
        <is>
          <t>2024-04-05</t>
        </is>
      </c>
      <c r="AO54" t="n">
        <v>1</v>
      </c>
      <c r="AP54" t="inlineStr">
        <is>
          <t>2024-03-21 01:00:00</t>
        </is>
      </c>
      <c r="AQ54" t="inlineStr">
        <is>
          <t>2024-03-21 01:00:00</t>
        </is>
      </c>
      <c r="AR54" t="inlineStr">
        <is>
          <t>Done</t>
        </is>
      </c>
      <c r="AS54" t="n">
        <v>9</v>
      </c>
      <c r="AT54" t="n">
        <v>4</v>
      </c>
      <c r="AU54" t="n">
        <v>72</v>
      </c>
      <c r="AV54" t="n">
        <v>27</v>
      </c>
      <c r="AW54" t="n">
        <v>21</v>
      </c>
      <c r="AX54" t="inlineStr">
        <is>
          <t>[{"state": "Open", "timestamp": "2024-03-08T00:00:00"}, {"state": "Triage", "timestamp": "2024-03-08T08:00:00"}]</t>
        </is>
      </c>
      <c r="AY54" t="n">
        <v>3</v>
      </c>
      <c r="AZ54" t="n">
        <v>9</v>
      </c>
      <c r="BA54" t="n">
        <v>2</v>
      </c>
      <c r="BB54" t="n">
        <v>7.15314818198838</v>
      </c>
      <c r="BC54" t="n">
        <v>25.29272855694101</v>
      </c>
      <c r="BD54" t="n">
        <v>15.1419858219342</v>
      </c>
      <c r="BE54" t="n">
        <v>15.6159221149925</v>
      </c>
      <c r="BF54" t="n">
        <v>1.922890188086708</v>
      </c>
      <c r="BG54" t="n">
        <v>65.1266748639428</v>
      </c>
      <c r="BH54" t="n">
        <v>51.62055062602697</v>
      </c>
      <c r="BI54" t="n">
        <v>193</v>
      </c>
      <c r="BJ54" t="n">
        <v>109</v>
      </c>
      <c r="BK54" t="n">
        <v>12</v>
      </c>
      <c r="BL54" t="n">
        <v>97</v>
      </c>
      <c r="BM54" t="n">
        <v>27</v>
      </c>
      <c r="BN54" t="n">
        <v>657.7707912725116</v>
      </c>
      <c r="BO54" t="inlineStr">
        <is>
          <t>Coding</t>
        </is>
      </c>
      <c r="BP54" t="inlineStr">
        <is>
          <t>Fixed</t>
        </is>
      </c>
      <c r="BQ54" t="inlineStr">
        <is>
          <t>By Design</t>
        </is>
      </c>
      <c r="BR54" t="inlineStr">
        <is>
          <t>TC-3287</t>
        </is>
      </c>
      <c r="BS54" t="b">
        <v>0</v>
      </c>
      <c r="BT54" t="n">
        <v/>
      </c>
      <c r="BU54" t="n">
        <v>3</v>
      </c>
      <c r="BV54" t="n">
        <v>1</v>
      </c>
    </row>
    <row r="55">
      <c r="A55" t="n">
        <v>192455</v>
      </c>
      <c r="B55" t="inlineStr">
        <is>
          <t>اتچ شدن فایل پی دی اف پیش نویس در فرم تکمیل اطلاعات</t>
        </is>
      </c>
      <c r="C55" t="inlineStr">
        <is>
          <t>تکمیل توضیحات: اتچ شدن فایل پی دی اف پیش نویس در فرم تکمیل اطلاعا...</t>
        </is>
      </c>
      <c r="D55" t="inlineStr">
        <is>
          <t>Low</t>
        </is>
      </c>
      <c r="E55" t="inlineStr">
        <is>
          <t>P2</t>
        </is>
      </c>
      <c r="F55" t="inlineStr">
        <is>
          <t>In Progress</t>
        </is>
      </c>
      <c r="G55" t="inlineStr">
        <is>
          <t>Security</t>
        </is>
      </c>
      <c r="H55" t="b">
        <v>0</v>
      </c>
      <c r="I55" t="b">
        <v>0</v>
      </c>
      <c r="J55" t="inlineStr">
        <is>
          <t>PRJ-001</t>
        </is>
      </c>
      <c r="K55" t="inlineStr">
        <is>
          <t>Dem System</t>
        </is>
      </c>
      <c r="L55" t="inlineStr">
        <is>
          <t>Team Delta</t>
        </is>
      </c>
      <c r="M55" t="inlineStr">
        <is>
          <t>T04</t>
        </is>
      </c>
      <c r="N55" t="inlineStr">
        <is>
          <t>M09</t>
        </is>
      </c>
      <c r="O55" t="inlineStr">
        <is>
          <t>Dem\DemBiz\SP_88</t>
        </is>
      </c>
      <c r="P55" t="inlineStr">
        <is>
          <t>Sprint 27</t>
        </is>
      </c>
      <c r="Q55" t="inlineStr">
        <is>
          <t>S27</t>
        </is>
      </c>
      <c r="R55" t="inlineStr">
        <is>
          <t>Security;Low</t>
        </is>
      </c>
      <c r="S55" t="n">
        <v/>
      </c>
      <c r="T55" t="inlineStr">
        <is>
          <t>کامنت 5 مورد</t>
        </is>
      </c>
      <c r="U55" t="inlineStr">
        <is>
          <t>Hassan Karimi</t>
        </is>
      </c>
      <c r="V55" t="inlineStr">
        <is>
          <t>U829</t>
        </is>
      </c>
      <c r="W55" t="inlineStr">
        <is>
          <t>Mina Hosseini</t>
        </is>
      </c>
      <c r="X55" t="inlineStr">
        <is>
          <t>U860</t>
        </is>
      </c>
      <c r="Y55" t="n">
        <v/>
      </c>
      <c r="Z55" t="n">
        <v/>
      </c>
      <c r="AA55" t="n">
        <v/>
      </c>
      <c r="AB55" t="n">
        <v/>
      </c>
      <c r="AC55" t="inlineStr">
        <is>
          <t>2024-05-09</t>
        </is>
      </c>
      <c r="AD55" t="inlineStr">
        <is>
          <t>2024-05-10 08:00:00</t>
        </is>
      </c>
      <c r="AE55" t="inlineStr">
        <is>
          <t>2024-05-10 17:00:00</t>
        </is>
      </c>
      <c r="AF55" t="inlineStr">
        <is>
          <t>2024-05-11 01:00:00</t>
        </is>
      </c>
      <c r="AG55" t="inlineStr">
        <is>
          <t>2024-05-11 01:00:00</t>
        </is>
      </c>
      <c r="AH55" t="n">
        <v/>
      </c>
      <c r="AI55" t="n">
        <v/>
      </c>
      <c r="AJ55" t="n">
        <v/>
      </c>
      <c r="AK55" t="n">
        <v/>
      </c>
      <c r="AL55" t="n">
        <v/>
      </c>
      <c r="AM55" t="inlineStr">
        <is>
          <t>2024-05-11 01:00:00</t>
        </is>
      </c>
      <c r="AN55" t="inlineStr">
        <is>
          <t>2024-05-21</t>
        </is>
      </c>
      <c r="AO55" t="n">
        <v>0</v>
      </c>
      <c r="AP55" t="n">
        <v/>
      </c>
      <c r="AQ55" t="n">
        <v/>
      </c>
      <c r="AR55" t="inlineStr">
        <is>
          <t>Active</t>
        </is>
      </c>
      <c r="AS55" t="n">
        <v>6</v>
      </c>
      <c r="AT55" t="n">
        <v>9</v>
      </c>
      <c r="AU55" t="n">
        <v>8</v>
      </c>
      <c r="AV55" t="n">
        <v/>
      </c>
      <c r="AW55" t="n">
        <v/>
      </c>
      <c r="AX55" t="inlineStr">
        <is>
          <t>[{"state": "Open", "timestamp": "2024-05-09T00:00:00"}, {"state": "Triage", "timestamp": "2024-05-10T08:00:00"}]</t>
        </is>
      </c>
      <c r="AY55" t="n">
        <v>4</v>
      </c>
      <c r="AZ55" t="n">
        <v>7</v>
      </c>
      <c r="BA55" t="n">
        <v>1</v>
      </c>
      <c r="BB55" t="n">
        <v>6.349066593932179</v>
      </c>
      <c r="BC55" t="n">
        <v>4.328551134756951</v>
      </c>
      <c r="BD55" t="n">
        <v>15.21358604465131</v>
      </c>
      <c r="BE55" t="n">
        <v>15.79316116719404</v>
      </c>
      <c r="BF55" t="n">
        <v>0</v>
      </c>
      <c r="BG55" t="n">
        <v>41.68436494053448</v>
      </c>
      <c r="BH55" t="n">
        <v>41.21266721431942</v>
      </c>
      <c r="BI55" t="n">
        <v/>
      </c>
      <c r="BJ55" t="n">
        <v/>
      </c>
      <c r="BK55" t="n">
        <v>41</v>
      </c>
      <c r="BL55" t="n">
        <v>17</v>
      </c>
      <c r="BM55" t="n">
        <v>0</v>
      </c>
      <c r="BN55" t="n">
        <v>595.7707912726157</v>
      </c>
      <c r="BO55" t="n">
        <v/>
      </c>
      <c r="BP55" t="n">
        <v/>
      </c>
      <c r="BQ55" t="n">
        <v/>
      </c>
      <c r="BR55" t="inlineStr">
        <is>
          <t>TC-9830</t>
        </is>
      </c>
      <c r="BS55" t="b">
        <v>0</v>
      </c>
      <c r="BT55" t="n">
        <v/>
      </c>
      <c r="BU55" t="n">
        <v>0</v>
      </c>
      <c r="BV55" t="n">
        <v>0</v>
      </c>
    </row>
    <row r="56">
      <c r="A56" t="n">
        <v>192261</v>
      </c>
      <c r="B56" t="inlineStr">
        <is>
          <t>کمبو شعبه اعتباری کد اول و دوم</t>
        </is>
      </c>
      <c r="C56" t="inlineStr">
        <is>
          <t>تکمیل توضیحات: کمبو شعبه اعتباری کد اول و دوم...</t>
        </is>
      </c>
      <c r="D56" t="inlineStr">
        <is>
          <t>Medium</t>
        </is>
      </c>
      <c r="E56" t="inlineStr">
        <is>
          <t>P3</t>
        </is>
      </c>
      <c r="F56" t="inlineStr">
        <is>
          <t>Active</t>
        </is>
      </c>
      <c r="G56" t="inlineStr">
        <is>
          <t>Data</t>
        </is>
      </c>
      <c r="H56" t="b">
        <v>1</v>
      </c>
      <c r="I56" t="b">
        <v>0</v>
      </c>
      <c r="J56" t="inlineStr">
        <is>
          <t>PRJ-001</t>
        </is>
      </c>
      <c r="K56" t="inlineStr">
        <is>
          <t>Dem System</t>
        </is>
      </c>
      <c r="L56" t="inlineStr">
        <is>
          <t>Team Gamma</t>
        </is>
      </c>
      <c r="M56" t="inlineStr">
        <is>
          <t>T03</t>
        </is>
      </c>
      <c r="N56" t="inlineStr">
        <is>
          <t>M09</t>
        </is>
      </c>
      <c r="O56" t="inlineStr">
        <is>
          <t>Dem\DemBiz\SP_88</t>
        </is>
      </c>
      <c r="P56" t="inlineStr">
        <is>
          <t>Sprint 23</t>
        </is>
      </c>
      <c r="Q56" t="inlineStr">
        <is>
          <t>S23</t>
        </is>
      </c>
      <c r="R56" t="inlineStr">
        <is>
          <t>Data;Medium</t>
        </is>
      </c>
      <c r="S56" t="n">
        <v/>
      </c>
      <c r="T56" t="inlineStr">
        <is>
          <t>کامنت 3 مورد</t>
        </is>
      </c>
      <c r="U56" t="inlineStr">
        <is>
          <t>Hassan Karimi</t>
        </is>
      </c>
      <c r="V56" t="inlineStr">
        <is>
          <t>U829</t>
        </is>
      </c>
      <c r="W56" t="inlineStr">
        <is>
          <t>Mina Hosseini</t>
        </is>
      </c>
      <c r="X56" t="inlineStr">
        <is>
          <t>U860</t>
        </is>
      </c>
      <c r="Y56" t="n">
        <v/>
      </c>
      <c r="Z56" t="n">
        <v/>
      </c>
      <c r="AA56" t="n">
        <v/>
      </c>
      <c r="AB56" t="n">
        <v/>
      </c>
      <c r="AC56" t="inlineStr">
        <is>
          <t>2024-06-11</t>
        </is>
      </c>
      <c r="AD56" t="inlineStr">
        <is>
          <t>2024-06-12 04:00:00</t>
        </is>
      </c>
      <c r="AE56" t="inlineStr">
        <is>
          <t>2024-06-12 13:00:00</t>
        </is>
      </c>
      <c r="AF56" t="n">
        <v/>
      </c>
      <c r="AG56" t="n">
        <v/>
      </c>
      <c r="AH56" t="n">
        <v/>
      </c>
      <c r="AI56" t="n">
        <v/>
      </c>
      <c r="AJ56" t="n">
        <v/>
      </c>
      <c r="AK56" t="n">
        <v/>
      </c>
      <c r="AL56" t="n">
        <v/>
      </c>
      <c r="AM56" t="inlineStr">
        <is>
          <t>2024-06-12 13:00:00</t>
        </is>
      </c>
      <c r="AN56" t="inlineStr">
        <is>
          <t>2024-06-20</t>
        </is>
      </c>
      <c r="AO56" t="n">
        <v>0</v>
      </c>
      <c r="AP56" t="n">
        <v/>
      </c>
      <c r="AQ56" t="n">
        <v/>
      </c>
      <c r="AR56" t="inlineStr">
        <is>
          <t>Triage</t>
        </is>
      </c>
      <c r="AS56" t="n">
        <v>4</v>
      </c>
      <c r="AT56" t="n">
        <v>9</v>
      </c>
      <c r="AU56" t="n">
        <v/>
      </c>
      <c r="AV56" t="n">
        <v/>
      </c>
      <c r="AW56" t="n">
        <v/>
      </c>
      <c r="AX56" t="inlineStr">
        <is>
          <t>[{"state": "Open", "timestamp": "2024-06-11T00:00:00"}, {"state": "Triage", "timestamp": "2024-06-12T04:00:00"}]</t>
        </is>
      </c>
      <c r="AY56" t="n">
        <v>2</v>
      </c>
      <c r="AZ56" t="n">
        <v>4</v>
      </c>
      <c r="BA56" t="n">
        <v>1</v>
      </c>
      <c r="BB56" t="n">
        <v>5.315237346157158</v>
      </c>
      <c r="BC56" t="n">
        <v>3.0155871255757</v>
      </c>
      <c r="BD56" t="n">
        <v>2.510915442300686</v>
      </c>
      <c r="BE56" t="n">
        <v>11.47242571029618</v>
      </c>
      <c r="BF56" t="n">
        <v>0</v>
      </c>
      <c r="BG56" t="n">
        <v>22.31416562432972</v>
      </c>
      <c r="BH56" t="n">
        <v>22.75048922166512</v>
      </c>
      <c r="BI56" t="n">
        <v/>
      </c>
      <c r="BJ56" t="n">
        <v/>
      </c>
      <c r="BK56" t="n">
        <v>37</v>
      </c>
      <c r="BL56" t="n">
        <v>9</v>
      </c>
      <c r="BM56" t="n">
        <v>0</v>
      </c>
      <c r="BN56" t="n">
        <v>562.7707912727316</v>
      </c>
      <c r="BO56" t="n">
        <v/>
      </c>
      <c r="BP56" t="n">
        <v/>
      </c>
      <c r="BQ56" t="n">
        <v/>
      </c>
      <c r="BR56" t="inlineStr">
        <is>
          <t>TC-8019</t>
        </is>
      </c>
      <c r="BS56" t="b">
        <v>0</v>
      </c>
      <c r="BT56" t="n">
        <v/>
      </c>
      <c r="BU56" t="n">
        <v>0</v>
      </c>
      <c r="BV56" t="n">
        <v>0</v>
      </c>
    </row>
    <row r="57">
      <c r="A57" t="n">
        <v>192255</v>
      </c>
      <c r="B57" t="inlineStr">
        <is>
          <t>اعمال پیشنهاد مرتبط در فرم تکمیل اطلاعات ، پیغام خطا می دهد</t>
        </is>
      </c>
      <c r="C57" t="inlineStr">
        <is>
          <t>تکمیل توضیحات: اعمال پیشنهاد مرتبط در فرم تکمیل اطلاعات ، پیغام خ...</t>
        </is>
      </c>
      <c r="D57" t="inlineStr">
        <is>
          <t>Low</t>
        </is>
      </c>
      <c r="E57" t="inlineStr">
        <is>
          <t>P1</t>
        </is>
      </c>
      <c r="F57" t="inlineStr">
        <is>
          <t>Done</t>
        </is>
      </c>
      <c r="G57" t="inlineStr">
        <is>
          <t>Security</t>
        </is>
      </c>
      <c r="H57" t="b">
        <v>0</v>
      </c>
      <c r="I57" t="b">
        <v>0</v>
      </c>
      <c r="J57" t="inlineStr">
        <is>
          <t>PRJ-001</t>
        </is>
      </c>
      <c r="K57" t="inlineStr">
        <is>
          <t>Dem System</t>
        </is>
      </c>
      <c r="L57" t="inlineStr">
        <is>
          <t>Team Gamma</t>
        </is>
      </c>
      <c r="M57" t="inlineStr">
        <is>
          <t>T03</t>
        </is>
      </c>
      <c r="N57" t="inlineStr">
        <is>
          <t>M09</t>
        </is>
      </c>
      <c r="O57" t="inlineStr">
        <is>
          <t>Dem\DemBiz\SP_88</t>
        </is>
      </c>
      <c r="P57" t="inlineStr">
        <is>
          <t>Sprint 23</t>
        </is>
      </c>
      <c r="Q57" t="inlineStr">
        <is>
          <t>S23</t>
        </is>
      </c>
      <c r="R57" t="inlineStr">
        <is>
          <t>Security;Low</t>
        </is>
      </c>
      <c r="S57" t="n">
        <v/>
      </c>
      <c r="T57" t="inlineStr">
        <is>
          <t>کامنت 4 مورد</t>
        </is>
      </c>
      <c r="U57" t="inlineStr">
        <is>
          <t>Reza Mohammadi</t>
        </is>
      </c>
      <c r="V57" t="inlineStr">
        <is>
          <t>U493</t>
        </is>
      </c>
      <c r="W57" t="inlineStr">
        <is>
          <t>Sara Ahmadi</t>
        </is>
      </c>
      <c r="X57" t="inlineStr">
        <is>
          <t>U091</t>
        </is>
      </c>
      <c r="Y57" t="inlineStr">
        <is>
          <t>Ali Rezaei</t>
        </is>
      </c>
      <c r="Z57" t="inlineStr">
        <is>
          <t>U374</t>
        </is>
      </c>
      <c r="AA57" t="inlineStr">
        <is>
          <t>Ali Rezaei</t>
        </is>
      </c>
      <c r="AB57" t="inlineStr">
        <is>
          <t>U374</t>
        </is>
      </c>
      <c r="AC57" t="inlineStr">
        <is>
          <t>2024-01-01</t>
        </is>
      </c>
      <c r="AD57" t="inlineStr">
        <is>
          <t>2024-01-01 22:00:00</t>
        </is>
      </c>
      <c r="AE57" t="inlineStr">
        <is>
          <t>2024-01-02 03:00:00</t>
        </is>
      </c>
      <c r="AF57" t="inlineStr">
        <is>
          <t>2024-01-03 14:00:00</t>
        </is>
      </c>
      <c r="AG57" t="inlineStr">
        <is>
          <t>2024-01-03 14:00:00</t>
        </is>
      </c>
      <c r="AH57" t="inlineStr">
        <is>
          <t>2024-01-04 18:00:00</t>
        </is>
      </c>
      <c r="AI57" t="inlineStr">
        <is>
          <t>2024-01-06 02:00:00</t>
        </is>
      </c>
      <c r="AJ57" t="inlineStr">
        <is>
          <t>2024-01-06 21:00:00</t>
        </is>
      </c>
      <c r="AK57" t="inlineStr">
        <is>
          <t>2024-01-06 21:00:00</t>
        </is>
      </c>
      <c r="AL57" t="n">
        <v/>
      </c>
      <c r="AM57" t="inlineStr">
        <is>
          <t>2024-01-06 21:00:00</t>
        </is>
      </c>
      <c r="AN57" t="inlineStr">
        <is>
          <t>2024-02-22</t>
        </is>
      </c>
      <c r="AO57" t="n">
        <v>0</v>
      </c>
      <c r="AP57" t="n">
        <v/>
      </c>
      <c r="AQ57" t="n">
        <v/>
      </c>
      <c r="AR57" t="inlineStr">
        <is>
          <t>Resolved</t>
        </is>
      </c>
      <c r="AS57" t="n">
        <v>9</v>
      </c>
      <c r="AT57" t="n">
        <v>5</v>
      </c>
      <c r="AU57" t="n">
        <v>35</v>
      </c>
      <c r="AV57" t="n">
        <v>28</v>
      </c>
      <c r="AW57" t="n">
        <v>32</v>
      </c>
      <c r="AX57" t="inlineStr">
        <is>
          <t>[{"state": "Open", "timestamp": "2024-01-01T00:00:00"}, {"state": "Triage", "timestamp": "2024-01-01T22:00:00"}]</t>
        </is>
      </c>
      <c r="AY57" t="n">
        <v>0</v>
      </c>
      <c r="AZ57" t="n">
        <v>9</v>
      </c>
      <c r="BA57" t="n">
        <v>1</v>
      </c>
      <c r="BB57" t="n">
        <v>1.131049737462866</v>
      </c>
      <c r="BC57" t="n">
        <v>21.72283063115777</v>
      </c>
      <c r="BD57" t="n">
        <v>18.09978168025155</v>
      </c>
      <c r="BE57" t="n">
        <v>9.041445495161806</v>
      </c>
      <c r="BF57" t="n">
        <v>0</v>
      </c>
      <c r="BG57" t="n">
        <v>49.995107544034</v>
      </c>
      <c r="BH57" t="n">
        <v>36.55112925887347</v>
      </c>
      <c r="BI57" t="n">
        <v/>
      </c>
      <c r="BJ57" t="n">
        <v/>
      </c>
      <c r="BK57" t="n">
        <v>27</v>
      </c>
      <c r="BL57" t="n">
        <v>72</v>
      </c>
      <c r="BM57" t="n">
        <v>28</v>
      </c>
      <c r="BN57" t="n">
        <v>724.7707912728357</v>
      </c>
      <c r="BO57" t="inlineStr">
        <is>
          <t>Testing</t>
        </is>
      </c>
      <c r="BP57" t="inlineStr">
        <is>
          <t>Fixed</t>
        </is>
      </c>
      <c r="BQ57" t="n">
        <v/>
      </c>
      <c r="BR57" t="n">
        <v/>
      </c>
      <c r="BS57" t="b">
        <v>0</v>
      </c>
      <c r="BT57" t="n">
        <v/>
      </c>
      <c r="BU57" t="n">
        <v>2</v>
      </c>
      <c r="BV57" t="n">
        <v>1</v>
      </c>
    </row>
    <row r="58">
      <c r="A58" t="n">
        <v>192256</v>
      </c>
      <c r="B58" t="inlineStr">
        <is>
          <t>وجود رکورد نال درکنار اسم مشتری در کمبو مشتری</t>
        </is>
      </c>
      <c r="C58" t="inlineStr">
        <is>
          <t>تکمیل توضیحات: وجود رکورد نال درکنار اسم مشتری در کمبو مشتری...</t>
        </is>
      </c>
      <c r="D58" t="inlineStr">
        <is>
          <t>Critical</t>
        </is>
      </c>
      <c r="E58" t="inlineStr">
        <is>
          <t>P2</t>
        </is>
      </c>
      <c r="F58" t="inlineStr">
        <is>
          <t>Closed</t>
        </is>
      </c>
      <c r="G58" t="inlineStr">
        <is>
          <t>Backend</t>
        </is>
      </c>
      <c r="H58" t="b">
        <v>1</v>
      </c>
      <c r="I58" t="b">
        <v>0</v>
      </c>
      <c r="J58" t="inlineStr">
        <is>
          <t>PRJ-001</t>
        </is>
      </c>
      <c r="K58" t="inlineStr">
        <is>
          <t>Dem System</t>
        </is>
      </c>
      <c r="L58" t="inlineStr">
        <is>
          <t>Team Alpha</t>
        </is>
      </c>
      <c r="M58" t="inlineStr">
        <is>
          <t>T01</t>
        </is>
      </c>
      <c r="N58" t="inlineStr">
        <is>
          <t>M09</t>
        </is>
      </c>
      <c r="O58" t="inlineStr">
        <is>
          <t>Dem\DemBiz\SP_88</t>
        </is>
      </c>
      <c r="P58" t="inlineStr">
        <is>
          <t>Sprint 27</t>
        </is>
      </c>
      <c r="Q58" t="inlineStr">
        <is>
          <t>S27</t>
        </is>
      </c>
      <c r="R58" t="inlineStr">
        <is>
          <t>Backend;Critical</t>
        </is>
      </c>
      <c r="S58" t="inlineStr">
        <is>
          <t>EXT-192256</t>
        </is>
      </c>
      <c r="T58" t="inlineStr">
        <is>
          <t>کامنت 1 مورد</t>
        </is>
      </c>
      <c r="U58" t="inlineStr">
        <is>
          <t>Reza Mohammadi</t>
        </is>
      </c>
      <c r="V58" t="inlineStr">
        <is>
          <t>U493</t>
        </is>
      </c>
      <c r="W58" t="inlineStr">
        <is>
          <t>Reza Mohammadi</t>
        </is>
      </c>
      <c r="X58" t="inlineStr">
        <is>
          <t>U493</t>
        </is>
      </c>
      <c r="Y58" t="inlineStr">
        <is>
          <t>Sara Ahmadi</t>
        </is>
      </c>
      <c r="Z58" t="inlineStr">
        <is>
          <t>U091</t>
        </is>
      </c>
      <c r="AA58" t="inlineStr">
        <is>
          <t>Fateme Akbari</t>
        </is>
      </c>
      <c r="AB58" t="inlineStr">
        <is>
          <t>U511</t>
        </is>
      </c>
      <c r="AC58" t="inlineStr">
        <is>
          <t>2024-04-19</t>
        </is>
      </c>
      <c r="AD58" t="inlineStr">
        <is>
          <t>2024-04-20 12:00:00</t>
        </is>
      </c>
      <c r="AE58" t="inlineStr">
        <is>
          <t>2024-04-20 13:00:00</t>
        </is>
      </c>
      <c r="AF58" t="inlineStr">
        <is>
          <t>2024-04-21 05:00:00</t>
        </is>
      </c>
      <c r="AG58" t="inlineStr">
        <is>
          <t>2024-04-21 05:00:00</t>
        </is>
      </c>
      <c r="AH58" t="inlineStr">
        <is>
          <t>2024-04-21 22:00:00</t>
        </is>
      </c>
      <c r="AI58" t="inlineStr">
        <is>
          <t>2024-04-23 22:00:00</t>
        </is>
      </c>
      <c r="AJ58" t="inlineStr">
        <is>
          <t>2024-04-24 04:00:00</t>
        </is>
      </c>
      <c r="AK58" t="inlineStr">
        <is>
          <t>2024-04-24 05:00:00</t>
        </is>
      </c>
      <c r="AL58" t="inlineStr">
        <is>
          <t>2024-04-25 05:00:00</t>
        </is>
      </c>
      <c r="AM58" t="inlineStr">
        <is>
          <t>2024-04-25 05:00:00</t>
        </is>
      </c>
      <c r="AN58" t="inlineStr">
        <is>
          <t>2024-06-02</t>
        </is>
      </c>
      <c r="AO58" t="n">
        <v>1</v>
      </c>
      <c r="AP58" t="inlineStr">
        <is>
          <t>2024-05-02 05:00:00</t>
        </is>
      </c>
      <c r="AQ58" t="inlineStr">
        <is>
          <t>2024-05-02 05:00:00</t>
        </is>
      </c>
      <c r="AR58" t="inlineStr">
        <is>
          <t>Done</t>
        </is>
      </c>
      <c r="AS58" t="n">
        <v>10</v>
      </c>
      <c r="AT58" t="n">
        <v>1</v>
      </c>
      <c r="AU58" t="n">
        <v>16</v>
      </c>
      <c r="AV58" t="n">
        <v>17</v>
      </c>
      <c r="AW58" t="n">
        <v>48</v>
      </c>
      <c r="AX58" t="inlineStr">
        <is>
          <t>[{"state": "Open", "timestamp": "2024-04-19T00:00:00"}, {"state": "Triage", "timestamp": "2024-04-20T12:00:00"}]</t>
        </is>
      </c>
      <c r="AY58" t="n">
        <v>3</v>
      </c>
      <c r="AZ58" t="n">
        <v>11</v>
      </c>
      <c r="BA58" t="n">
        <v>2</v>
      </c>
      <c r="BB58" t="n">
        <v>1.712215355709603</v>
      </c>
      <c r="BC58" t="n">
        <v>22.08476974279415</v>
      </c>
      <c r="BD58" t="n">
        <v>10.35242126273321</v>
      </c>
      <c r="BE58" t="n">
        <v>5.642914244294916</v>
      </c>
      <c r="BF58" t="n">
        <v>1.770104842767468</v>
      </c>
      <c r="BG58" t="n">
        <v>41.56242544829935</v>
      </c>
      <c r="BH58" t="n">
        <v>37.48775194461761</v>
      </c>
      <c r="BI58" t="n">
        <v>149</v>
      </c>
      <c r="BJ58" t="n">
        <v>96</v>
      </c>
      <c r="BK58" t="n">
        <v>37</v>
      </c>
      <c r="BL58" t="n">
        <v>65</v>
      </c>
      <c r="BM58" t="n">
        <v>17</v>
      </c>
      <c r="BN58" t="n">
        <v>615.7707912729398</v>
      </c>
      <c r="BO58" t="inlineStr">
        <is>
          <t>Config</t>
        </is>
      </c>
      <c r="BP58" t="inlineStr">
        <is>
          <t>Fixed</t>
        </is>
      </c>
      <c r="BQ58" t="inlineStr">
        <is>
          <t>Completed</t>
        </is>
      </c>
      <c r="BR58" t="inlineStr">
        <is>
          <t>TC-4593</t>
        </is>
      </c>
      <c r="BS58" t="b">
        <v>0</v>
      </c>
      <c r="BT58" t="n">
        <v/>
      </c>
      <c r="BU58" t="n">
        <v>1</v>
      </c>
      <c r="BV58" t="n">
        <v>1</v>
      </c>
    </row>
    <row r="59">
      <c r="A59" t="n">
        <v>192262</v>
      </c>
      <c r="B59" t="inlineStr">
        <is>
          <t>کمبو مالک مربوطه در تغییر املاک/ درج تغییرات شرکت ، رکورد نال نمایش میدهد</t>
        </is>
      </c>
      <c r="C59" t="inlineStr">
        <is>
          <t>تکمیل توضیحات: کمبو مالک مربوطه در تغییر املاک/ درج تغییرات شرکت ...</t>
        </is>
      </c>
      <c r="D59" t="inlineStr">
        <is>
          <t>High</t>
        </is>
      </c>
      <c r="E59" t="inlineStr">
        <is>
          <t>P3</t>
        </is>
      </c>
      <c r="F59" t="inlineStr">
        <is>
          <t>Done</t>
        </is>
      </c>
      <c r="G59" t="inlineStr">
        <is>
          <t>Backend</t>
        </is>
      </c>
      <c r="H59" t="b">
        <v>0</v>
      </c>
      <c r="I59" t="b">
        <v>0</v>
      </c>
      <c r="J59" t="inlineStr">
        <is>
          <t>PRJ-001</t>
        </is>
      </c>
      <c r="K59" t="inlineStr">
        <is>
          <t>Dem System</t>
        </is>
      </c>
      <c r="L59" t="inlineStr">
        <is>
          <t>Team Delta</t>
        </is>
      </c>
      <c r="M59" t="inlineStr">
        <is>
          <t>T04</t>
        </is>
      </c>
      <c r="N59" t="inlineStr">
        <is>
          <t>M09</t>
        </is>
      </c>
      <c r="O59" t="inlineStr">
        <is>
          <t>Dem\DemBiz\SP_88</t>
        </is>
      </c>
      <c r="P59" t="inlineStr">
        <is>
          <t>Sprint 27</t>
        </is>
      </c>
      <c r="Q59" t="inlineStr">
        <is>
          <t>S27</t>
        </is>
      </c>
      <c r="R59" t="inlineStr">
        <is>
          <t>Backend;High</t>
        </is>
      </c>
      <c r="S59" t="n">
        <v/>
      </c>
      <c r="T59" t="inlineStr">
        <is>
          <t>کامنت 2 مورد</t>
        </is>
      </c>
      <c r="U59" t="inlineStr">
        <is>
          <t>Zahra Ebrahimi</t>
        </is>
      </c>
      <c r="V59" t="inlineStr">
        <is>
          <t>U002</t>
        </is>
      </c>
      <c r="W59" t="inlineStr">
        <is>
          <t>Reza Mohammadi</t>
        </is>
      </c>
      <c r="X59" t="inlineStr">
        <is>
          <t>U493</t>
        </is>
      </c>
      <c r="Y59" t="inlineStr">
        <is>
          <t>Mina Hosseini</t>
        </is>
      </c>
      <c r="Z59" t="inlineStr">
        <is>
          <t>U860</t>
        </is>
      </c>
      <c r="AA59" t="inlineStr">
        <is>
          <t>Hassan Karimi</t>
        </is>
      </c>
      <c r="AB59" t="inlineStr">
        <is>
          <t>U829</t>
        </is>
      </c>
      <c r="AC59" t="inlineStr">
        <is>
          <t>2024-02-02</t>
        </is>
      </c>
      <c r="AD59" t="inlineStr">
        <is>
          <t>2024-02-02 03:00:00</t>
        </is>
      </c>
      <c r="AE59" t="inlineStr">
        <is>
          <t>2024-02-02 13:00:00</t>
        </is>
      </c>
      <c r="AF59" t="inlineStr">
        <is>
          <t>2024-02-04 13:00:00</t>
        </is>
      </c>
      <c r="AG59" t="inlineStr">
        <is>
          <t>2024-02-04 13:00:00</t>
        </is>
      </c>
      <c r="AH59" t="inlineStr">
        <is>
          <t>2024-02-09 02:00:00</t>
        </is>
      </c>
      <c r="AI59" t="inlineStr">
        <is>
          <t>2024-02-09 08:00:00</t>
        </is>
      </c>
      <c r="AJ59" t="inlineStr">
        <is>
          <t>2024-02-09 21:00:00</t>
        </is>
      </c>
      <c r="AK59" t="inlineStr">
        <is>
          <t>2024-02-09 21:00:00</t>
        </is>
      </c>
      <c r="AL59" t="n">
        <v/>
      </c>
      <c r="AM59" t="inlineStr">
        <is>
          <t>2024-02-09 21:00:00</t>
        </is>
      </c>
      <c r="AN59" t="inlineStr">
        <is>
          <t>2024-02-22</t>
        </is>
      </c>
      <c r="AO59" t="n">
        <v>0</v>
      </c>
      <c r="AP59" t="n">
        <v/>
      </c>
      <c r="AQ59" t="n">
        <v/>
      </c>
      <c r="AR59" t="inlineStr">
        <is>
          <t>Resolved</t>
        </is>
      </c>
      <c r="AS59" t="n">
        <v>6</v>
      </c>
      <c r="AT59" t="n">
        <v>10</v>
      </c>
      <c r="AU59" t="n">
        <v>48</v>
      </c>
      <c r="AV59" t="n">
        <v>109</v>
      </c>
      <c r="AW59" t="n">
        <v>6</v>
      </c>
      <c r="AX59" t="inlineStr">
        <is>
          <t>[{"state": "Open", "timestamp": "2024-02-02T00:00:00"}, {"state": "Triage", "timestamp": "2024-02-02T03:00:00"}]</t>
        </is>
      </c>
      <c r="AY59" t="n">
        <v>1</v>
      </c>
      <c r="AZ59" t="n">
        <v>7</v>
      </c>
      <c r="BA59" t="n">
        <v>1</v>
      </c>
      <c r="BB59" t="n">
        <v>7.239156413953094</v>
      </c>
      <c r="BC59" t="n">
        <v>25.85976615843005</v>
      </c>
      <c r="BD59" t="n">
        <v>16.61592058910096</v>
      </c>
      <c r="BE59" t="n">
        <v>13.20692529560423</v>
      </c>
      <c r="BF59" t="n">
        <v>0</v>
      </c>
      <c r="BG59" t="n">
        <v>62.92176845708834</v>
      </c>
      <c r="BH59" t="n">
        <v>49.11980342771492</v>
      </c>
      <c r="BI59" t="n">
        <v/>
      </c>
      <c r="BJ59" t="n">
        <v/>
      </c>
      <c r="BK59" t="n">
        <v>13</v>
      </c>
      <c r="BL59" t="n">
        <v>64</v>
      </c>
      <c r="BM59" t="n">
        <v>109</v>
      </c>
      <c r="BN59" t="n">
        <v>692.7707912730556</v>
      </c>
      <c r="BO59" t="inlineStr">
        <is>
          <t>Coding</t>
        </is>
      </c>
      <c r="BP59" t="inlineStr">
        <is>
          <t>Fixed</t>
        </is>
      </c>
      <c r="BQ59" t="n">
        <v/>
      </c>
      <c r="BR59" t="n">
        <v/>
      </c>
      <c r="BS59" t="b">
        <v>0</v>
      </c>
      <c r="BT59" t="n">
        <v/>
      </c>
      <c r="BU59" t="n">
        <v>3</v>
      </c>
      <c r="BV59" t="n">
        <v>0</v>
      </c>
    </row>
    <row r="60">
      <c r="A60" t="n">
        <v>192243</v>
      </c>
      <c r="B60" t="inlineStr">
        <is>
          <t>امکان ثبت خود فرد به عنوان شریک خودش در مشتریان حقیقی</t>
        </is>
      </c>
      <c r="C60" t="inlineStr">
        <is>
          <t>تکمیل توضیحات: امکان ثبت خود فرد به عنوان شریک خودش در مشتریان حق...</t>
        </is>
      </c>
      <c r="D60" t="inlineStr">
        <is>
          <t>Critical</t>
        </is>
      </c>
      <c r="E60" t="inlineStr">
        <is>
          <t>P1</t>
        </is>
      </c>
      <c r="F60" t="inlineStr">
        <is>
          <t>Done</t>
        </is>
      </c>
      <c r="G60" t="inlineStr">
        <is>
          <t>Data</t>
        </is>
      </c>
      <c r="H60" t="b">
        <v>0</v>
      </c>
      <c r="I60" t="b">
        <v>0</v>
      </c>
      <c r="J60" t="inlineStr">
        <is>
          <t>PRJ-001</t>
        </is>
      </c>
      <c r="K60" t="inlineStr">
        <is>
          <t>Dem System</t>
        </is>
      </c>
      <c r="L60" t="inlineStr">
        <is>
          <t>Team Beta</t>
        </is>
      </c>
      <c r="M60" t="inlineStr">
        <is>
          <t>T02</t>
        </is>
      </c>
      <c r="N60" t="inlineStr">
        <is>
          <t>M09</t>
        </is>
      </c>
      <c r="O60" t="inlineStr">
        <is>
          <t>Dem\DemBiz\SP_88</t>
        </is>
      </c>
      <c r="P60" t="inlineStr">
        <is>
          <t>Sprint 26</t>
        </is>
      </c>
      <c r="Q60" t="inlineStr">
        <is>
          <t>S26</t>
        </is>
      </c>
      <c r="R60" t="inlineStr">
        <is>
          <t>Data;Critical</t>
        </is>
      </c>
      <c r="S60" t="inlineStr">
        <is>
          <t>EXT-192243</t>
        </is>
      </c>
      <c r="T60" t="inlineStr">
        <is>
          <t>کامنت 4 مورد</t>
        </is>
      </c>
      <c r="U60" t="inlineStr">
        <is>
          <t>Sara Ahmadi</t>
        </is>
      </c>
      <c r="V60" t="inlineStr">
        <is>
          <t>U091</t>
        </is>
      </c>
      <c r="W60" t="inlineStr">
        <is>
          <t>Hassan Karimi</t>
        </is>
      </c>
      <c r="X60" t="inlineStr">
        <is>
          <t>U829</t>
        </is>
      </c>
      <c r="Y60" t="inlineStr">
        <is>
          <t>Ali Rezaei</t>
        </is>
      </c>
      <c r="Z60" t="inlineStr">
        <is>
          <t>U374</t>
        </is>
      </c>
      <c r="AA60" t="inlineStr">
        <is>
          <t>Zahra Ebrahimi</t>
        </is>
      </c>
      <c r="AB60" t="inlineStr">
        <is>
          <t>U002</t>
        </is>
      </c>
      <c r="AC60" t="inlineStr">
        <is>
          <t>2024-06-23</t>
        </is>
      </c>
      <c r="AD60" t="inlineStr">
        <is>
          <t>2024-06-23 16:00:00</t>
        </is>
      </c>
      <c r="AE60" t="inlineStr">
        <is>
          <t>2024-06-24 14:00:00</t>
        </is>
      </c>
      <c r="AF60" t="inlineStr">
        <is>
          <t>2024-06-25 05:00:00</t>
        </is>
      </c>
      <c r="AG60" t="inlineStr">
        <is>
          <t>2024-06-25 05:00:00</t>
        </is>
      </c>
      <c r="AH60" t="inlineStr">
        <is>
          <t>2024-06-27 10:00:00</t>
        </is>
      </c>
      <c r="AI60" t="inlineStr">
        <is>
          <t>2024-06-29 01:00:00</t>
        </is>
      </c>
      <c r="AJ60" t="inlineStr">
        <is>
          <t>2024-06-29 16:00:00</t>
        </is>
      </c>
      <c r="AK60" t="inlineStr">
        <is>
          <t>2024-06-29 16:00:00</t>
        </is>
      </c>
      <c r="AL60" t="n">
        <v/>
      </c>
      <c r="AM60" t="inlineStr">
        <is>
          <t>2024-06-29 16:00:00</t>
        </is>
      </c>
      <c r="AN60" t="inlineStr">
        <is>
          <t>2024-08-08</t>
        </is>
      </c>
      <c r="AO60" t="n">
        <v>0</v>
      </c>
      <c r="AP60" t="n">
        <v/>
      </c>
      <c r="AQ60" t="n">
        <v/>
      </c>
      <c r="AR60" t="inlineStr">
        <is>
          <t>Resolved</t>
        </is>
      </c>
      <c r="AS60" t="n">
        <v>8</v>
      </c>
      <c r="AT60" t="n">
        <v>22</v>
      </c>
      <c r="AU60" t="n">
        <v>15</v>
      </c>
      <c r="AV60" t="n">
        <v>53</v>
      </c>
      <c r="AW60" t="n">
        <v>39</v>
      </c>
      <c r="AX60" t="inlineStr">
        <is>
          <t>[{"state": "Open", "timestamp": "2024-06-23T00:00:00"}, {"state": "Triage", "timestamp": "2024-06-23T16:00:00"}]</t>
        </is>
      </c>
      <c r="AY60" t="n">
        <v>3</v>
      </c>
      <c r="AZ60" t="n">
        <v>9</v>
      </c>
      <c r="BA60" t="n">
        <v>1</v>
      </c>
      <c r="BB60" t="n">
        <v>5.048217947446925</v>
      </c>
      <c r="BC60" t="n">
        <v>29.3175620151838</v>
      </c>
      <c r="BD60" t="n">
        <v>6.74096722009693</v>
      </c>
      <c r="BE60" t="n">
        <v>11.27096758830819</v>
      </c>
      <c r="BF60" t="n">
        <v>0</v>
      </c>
      <c r="BG60" t="n">
        <v>52.37771477103584</v>
      </c>
      <c r="BH60" t="n">
        <v>38.65606201595236</v>
      </c>
      <c r="BI60" t="n">
        <v/>
      </c>
      <c r="BJ60" t="n">
        <v/>
      </c>
      <c r="BK60" t="n">
        <v>38</v>
      </c>
      <c r="BL60" t="n">
        <v>76</v>
      </c>
      <c r="BM60" t="n">
        <v>53</v>
      </c>
      <c r="BN60" t="n">
        <v>550.7707912731597</v>
      </c>
      <c r="BO60" t="inlineStr">
        <is>
          <t>Design</t>
        </is>
      </c>
      <c r="BP60" t="inlineStr">
        <is>
          <t>Won't Fix</t>
        </is>
      </c>
      <c r="BQ60" t="n">
        <v/>
      </c>
      <c r="BR60" t="inlineStr">
        <is>
          <t>TC-9085</t>
        </is>
      </c>
      <c r="BS60" t="b">
        <v>0</v>
      </c>
      <c r="BT60" t="n">
        <v/>
      </c>
      <c r="BU60" t="n">
        <v>1</v>
      </c>
      <c r="BV60" t="n">
        <v>1</v>
      </c>
    </row>
    <row r="61">
      <c r="A61" t="n">
        <v>192292</v>
      </c>
      <c r="B61" t="inlineStr">
        <is>
          <t>خالی بودن زیر بخش گزینه های ، منو سامانه</t>
        </is>
      </c>
      <c r="C61" t="inlineStr">
        <is>
          <t>تکمیل توضیحات: خالی بودن زیر بخش گزینه های ، منو سامانه...</t>
        </is>
      </c>
      <c r="D61" t="inlineStr">
        <is>
          <t>High</t>
        </is>
      </c>
      <c r="E61" t="inlineStr">
        <is>
          <t>P3</t>
        </is>
      </c>
      <c r="F61" t="inlineStr">
        <is>
          <t>Triage</t>
        </is>
      </c>
      <c r="G61" t="inlineStr">
        <is>
          <t>Security</t>
        </is>
      </c>
      <c r="H61" t="b">
        <v>0</v>
      </c>
      <c r="I61" t="b">
        <v>0</v>
      </c>
      <c r="J61" t="inlineStr">
        <is>
          <t>PRJ-001</t>
        </is>
      </c>
      <c r="K61" t="inlineStr">
        <is>
          <t>Dem System</t>
        </is>
      </c>
      <c r="L61" t="inlineStr">
        <is>
          <t>Team Alpha</t>
        </is>
      </c>
      <c r="M61" t="inlineStr">
        <is>
          <t>T01</t>
        </is>
      </c>
      <c r="N61" t="inlineStr">
        <is>
          <t>M09</t>
        </is>
      </c>
      <c r="O61" t="inlineStr">
        <is>
          <t>Dem\DemBiz\SP_88</t>
        </is>
      </c>
      <c r="P61" t="inlineStr">
        <is>
          <t>Sprint 25</t>
        </is>
      </c>
      <c r="Q61" t="inlineStr">
        <is>
          <t>S25</t>
        </is>
      </c>
      <c r="R61" t="inlineStr">
        <is>
          <t>Security;High</t>
        </is>
      </c>
      <c r="S61" t="n">
        <v/>
      </c>
      <c r="T61" t="inlineStr">
        <is>
          <t>کامنت 4 مورد</t>
        </is>
      </c>
      <c r="U61" t="inlineStr">
        <is>
          <t>Zahra Ebrahimi</t>
        </is>
      </c>
      <c r="V61" t="inlineStr">
        <is>
          <t>U002</t>
        </is>
      </c>
      <c r="W61" t="inlineStr">
        <is>
          <t>Mina Hosseini</t>
        </is>
      </c>
      <c r="X61" t="inlineStr">
        <is>
          <t>U860</t>
        </is>
      </c>
      <c r="Y61" t="n">
        <v/>
      </c>
      <c r="Z61" t="n">
        <v/>
      </c>
      <c r="AA61" t="n">
        <v/>
      </c>
      <c r="AB61" t="n">
        <v/>
      </c>
      <c r="AC61" t="inlineStr">
        <is>
          <t>2024-02-09</t>
        </is>
      </c>
      <c r="AD61" t="inlineStr">
        <is>
          <t>2024-02-09 16:00:00</t>
        </is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t="n">
        <v/>
      </c>
      <c r="AL61" t="n">
        <v/>
      </c>
      <c r="AM61" t="inlineStr">
        <is>
          <t>2024-02-09 16:00:00</t>
        </is>
      </c>
      <c r="AN61" t="inlineStr">
        <is>
          <t>2024-02-26</t>
        </is>
      </c>
      <c r="AO61" t="n">
        <v>0</v>
      </c>
      <c r="AP61" t="n">
        <v/>
      </c>
      <c r="AQ61" t="n">
        <v/>
      </c>
      <c r="AR61" t="inlineStr">
        <is>
          <t>Open</t>
        </is>
      </c>
      <c r="AS61" t="n">
        <v>1</v>
      </c>
      <c r="AT61" t="n">
        <v/>
      </c>
      <c r="AU61" t="n">
        <v/>
      </c>
      <c r="AV61" t="n">
        <v/>
      </c>
      <c r="AW61" t="n">
        <v/>
      </c>
      <c r="AX61" t="inlineStr">
        <is>
          <t>[{"state": "Open", "timestamp": "2024-02-09T00:00:00"}, {"state": "Triage", "timestamp": "2024-02-09T16:00:00"}]</t>
        </is>
      </c>
      <c r="AY61" t="n">
        <v>1</v>
      </c>
      <c r="AZ61" t="n">
        <v>3</v>
      </c>
      <c r="BA61" t="n">
        <v>1</v>
      </c>
      <c r="BB61" t="n">
        <v>0.5689778871247224</v>
      </c>
      <c r="BC61" t="n">
        <v>39.05823109903885</v>
      </c>
      <c r="BD61" t="n">
        <v>17.96270295567591</v>
      </c>
      <c r="BE61" t="n">
        <v>3.439254090173369</v>
      </c>
      <c r="BF61" t="n">
        <v>0</v>
      </c>
      <c r="BG61" t="n">
        <v>61.02916603201285</v>
      </c>
      <c r="BH61" t="n">
        <v>78.9702846549786</v>
      </c>
      <c r="BI61" t="n">
        <v/>
      </c>
      <c r="BJ61" t="n">
        <v/>
      </c>
      <c r="BK61" t="n">
        <v/>
      </c>
      <c r="BL61" t="n">
        <v>0</v>
      </c>
      <c r="BM61" t="n">
        <v>0</v>
      </c>
      <c r="BN61" t="n">
        <v>685.770791273264</v>
      </c>
      <c r="BO61" t="n">
        <v/>
      </c>
      <c r="BP61" t="n">
        <v/>
      </c>
      <c r="BQ61" t="n">
        <v/>
      </c>
      <c r="BR61" t="inlineStr">
        <is>
          <t>TC-1771</t>
        </is>
      </c>
      <c r="BS61" t="b">
        <v>0</v>
      </c>
      <c r="BT61" t="n">
        <v/>
      </c>
      <c r="BU61" t="n">
        <v>0</v>
      </c>
      <c r="BV61" t="n">
        <v>0</v>
      </c>
    </row>
    <row r="62">
      <c r="A62" t="n">
        <v>191516</v>
      </c>
      <c r="B62" t="inlineStr">
        <is>
          <t>در کمبو شماره شناسنامه و شماره ملی ، حروف هم می توان وارد کرد</t>
        </is>
      </c>
      <c r="C62" t="inlineStr">
        <is>
          <t>تکمیل توضیحات: در کمبو شماره شناسنامه و شماره ملی ، حروف هم می تو...</t>
        </is>
      </c>
      <c r="D62" t="inlineStr">
        <is>
          <t>Medium</t>
        </is>
      </c>
      <c r="E62" t="inlineStr">
        <is>
          <t>P2</t>
        </is>
      </c>
      <c r="F62" t="inlineStr">
        <is>
          <t>Done</t>
        </is>
      </c>
      <c r="G62" t="inlineStr">
        <is>
          <t>UI</t>
        </is>
      </c>
      <c r="H62" t="b">
        <v>0</v>
      </c>
      <c r="I62" t="b">
        <v>1</v>
      </c>
      <c r="J62" t="inlineStr">
        <is>
          <t>PRJ-001</t>
        </is>
      </c>
      <c r="K62" t="inlineStr">
        <is>
          <t>Dem System</t>
        </is>
      </c>
      <c r="L62" t="inlineStr">
        <is>
          <t>Team Beta</t>
        </is>
      </c>
      <c r="M62" t="inlineStr">
        <is>
          <t>T02</t>
        </is>
      </c>
      <c r="N62" t="inlineStr">
        <is>
          <t>M09</t>
        </is>
      </c>
      <c r="O62" t="inlineStr">
        <is>
          <t>Dem\DemBiz\SP_88</t>
        </is>
      </c>
      <c r="P62" t="inlineStr">
        <is>
          <t>Sprint 23</t>
        </is>
      </c>
      <c r="Q62" t="inlineStr">
        <is>
          <t>S23</t>
        </is>
      </c>
      <c r="R62" t="inlineStr">
        <is>
          <t>UI;Medium</t>
        </is>
      </c>
      <c r="S62" t="n">
        <v/>
      </c>
      <c r="T62" t="inlineStr">
        <is>
          <t>کامنت 3 مورد</t>
        </is>
      </c>
      <c r="U62" t="inlineStr">
        <is>
          <t>Mina Hosseini</t>
        </is>
      </c>
      <c r="V62" t="inlineStr">
        <is>
          <t>U860</t>
        </is>
      </c>
      <c r="W62" t="inlineStr">
        <is>
          <t>Reza Mohammadi</t>
        </is>
      </c>
      <c r="X62" t="inlineStr">
        <is>
          <t>U493</t>
        </is>
      </c>
      <c r="Y62" t="inlineStr">
        <is>
          <t>Hassan Karimi</t>
        </is>
      </c>
      <c r="Z62" t="inlineStr">
        <is>
          <t>U829</t>
        </is>
      </c>
      <c r="AA62" t="inlineStr">
        <is>
          <t>Mohammad Safari</t>
        </is>
      </c>
      <c r="AB62" t="inlineStr">
        <is>
          <t>U093</t>
        </is>
      </c>
      <c r="AC62" t="inlineStr">
        <is>
          <t>2024-02-15</t>
        </is>
      </c>
      <c r="AD62" t="inlineStr">
        <is>
          <t>2024-02-16 03:00:00</t>
        </is>
      </c>
      <c r="AE62" t="inlineStr">
        <is>
          <t>2024-02-16 04:00:00</t>
        </is>
      </c>
      <c r="AF62" t="inlineStr">
        <is>
          <t>2024-02-17 04:00:00</t>
        </is>
      </c>
      <c r="AG62" t="inlineStr">
        <is>
          <t>2024-02-17 04:00:00</t>
        </is>
      </c>
      <c r="AH62" t="inlineStr">
        <is>
          <t>2024-02-21 10:00:00</t>
        </is>
      </c>
      <c r="AI62" t="inlineStr">
        <is>
          <t>2024-02-22 11:00:00</t>
        </is>
      </c>
      <c r="AJ62" t="inlineStr">
        <is>
          <t>2024-02-23 02:00:00</t>
        </is>
      </c>
      <c r="AK62" t="inlineStr">
        <is>
          <t>2024-02-23 02:00:00</t>
        </is>
      </c>
      <c r="AL62" t="n">
        <v/>
      </c>
      <c r="AM62" t="inlineStr">
        <is>
          <t>2024-02-23 02:00:00</t>
        </is>
      </c>
      <c r="AN62" t="inlineStr">
        <is>
          <t>2024-04-13</t>
        </is>
      </c>
      <c r="AO62" t="n">
        <v>0</v>
      </c>
      <c r="AP62" t="n">
        <v/>
      </c>
      <c r="AQ62" t="n">
        <v/>
      </c>
      <c r="AR62" t="inlineStr">
        <is>
          <t>Resolved</t>
        </is>
      </c>
      <c r="AS62" t="n">
        <v>8</v>
      </c>
      <c r="AT62" t="n">
        <v>1</v>
      </c>
      <c r="AU62" t="n">
        <v>24</v>
      </c>
      <c r="AV62" t="n">
        <v>102</v>
      </c>
      <c r="AW62" t="n">
        <v>25</v>
      </c>
      <c r="AX62" t="inlineStr">
        <is>
          <t>[{"state": "Open", "timestamp": "2024-02-15T00:00:00"}, {"state": "Triage", "timestamp": "2024-02-16T03:00:00"}]</t>
        </is>
      </c>
      <c r="AY62" t="n">
        <v>1</v>
      </c>
      <c r="AZ62" t="n">
        <v>9</v>
      </c>
      <c r="BA62" t="n">
        <v>1</v>
      </c>
      <c r="BB62" t="n">
        <v>1.261036571495241</v>
      </c>
      <c r="BC62" t="n">
        <v>21.13571358374661</v>
      </c>
      <c r="BD62" t="n">
        <v>8.08943273531618</v>
      </c>
      <c r="BE62" t="n">
        <v>14.66390776740764</v>
      </c>
      <c r="BF62" t="n">
        <v>0</v>
      </c>
      <c r="BG62" t="n">
        <v>45.15009065796568</v>
      </c>
      <c r="BH62" t="n">
        <v>40.33764665530751</v>
      </c>
      <c r="BI62" t="n">
        <v/>
      </c>
      <c r="BJ62" t="n">
        <v/>
      </c>
      <c r="BK62" t="n">
        <v>28</v>
      </c>
      <c r="BL62" t="n">
        <v>50</v>
      </c>
      <c r="BM62" t="n">
        <v>102</v>
      </c>
      <c r="BN62" t="n">
        <v>679.7707912733797</v>
      </c>
      <c r="BO62" t="inlineStr">
        <is>
          <t>Integration</t>
        </is>
      </c>
      <c r="BP62" t="inlineStr">
        <is>
          <t>Fixed</t>
        </is>
      </c>
      <c r="BQ62" t="n">
        <v/>
      </c>
      <c r="BR62" t="n">
        <v/>
      </c>
      <c r="BS62" t="b">
        <v>0</v>
      </c>
      <c r="BT62" t="n">
        <v/>
      </c>
      <c r="BU62" t="n">
        <v>3</v>
      </c>
      <c r="BV62" t="n">
        <v>0</v>
      </c>
    </row>
    <row r="63">
      <c r="A63" t="n">
        <v>192531</v>
      </c>
      <c r="B63" t="inlineStr">
        <is>
          <t>بدون در نظر گرفتن مرجع تصویب ، با اظهار نظر ارجاع به مراجع بالاتر سند نکست می شود</t>
        </is>
      </c>
      <c r="C63" t="inlineStr">
        <is>
          <t>تکمیل توضیحات: بدون در نظر گرفتن مرجع تصویب ، با اظهار نظر ارجاع ...</t>
        </is>
      </c>
      <c r="D63" t="inlineStr">
        <is>
          <t>High</t>
        </is>
      </c>
      <c r="E63" t="inlineStr">
        <is>
          <t>P2</t>
        </is>
      </c>
      <c r="F63" t="inlineStr">
        <is>
          <t>Closed</t>
        </is>
      </c>
      <c r="G63" t="inlineStr">
        <is>
          <t>Integration</t>
        </is>
      </c>
      <c r="H63" t="b">
        <v>1</v>
      </c>
      <c r="I63" t="b">
        <v>0</v>
      </c>
      <c r="J63" t="inlineStr">
        <is>
          <t>PRJ-001</t>
        </is>
      </c>
      <c r="K63" t="inlineStr">
        <is>
          <t>Dem System</t>
        </is>
      </c>
      <c r="L63" t="inlineStr">
        <is>
          <t>Team Gamma</t>
        </is>
      </c>
      <c r="M63" t="inlineStr">
        <is>
          <t>T03</t>
        </is>
      </c>
      <c r="N63" t="inlineStr">
        <is>
          <t>M09</t>
        </is>
      </c>
      <c r="O63" t="inlineStr">
        <is>
          <t>Dem\DemBiz\SP_88</t>
        </is>
      </c>
      <c r="P63" t="inlineStr">
        <is>
          <t>Sprint 25</t>
        </is>
      </c>
      <c r="Q63" t="inlineStr">
        <is>
          <t>S25</t>
        </is>
      </c>
      <c r="R63" t="inlineStr">
        <is>
          <t>Integration;High</t>
        </is>
      </c>
      <c r="S63" t="n">
        <v/>
      </c>
      <c r="T63" t="inlineStr">
        <is>
          <t>کامنت 1 مورد</t>
        </is>
      </c>
      <c r="U63" t="inlineStr">
        <is>
          <t>Ali Rezaei</t>
        </is>
      </c>
      <c r="V63" t="inlineStr">
        <is>
          <t>U374</t>
        </is>
      </c>
      <c r="W63" t="inlineStr">
        <is>
          <t>Zahra Ebrahimi</t>
        </is>
      </c>
      <c r="X63" t="inlineStr">
        <is>
          <t>U002</t>
        </is>
      </c>
      <c r="Y63" t="inlineStr">
        <is>
          <t>Sara Ahmadi</t>
        </is>
      </c>
      <c r="Z63" t="inlineStr">
        <is>
          <t>U091</t>
        </is>
      </c>
      <c r="AA63" t="inlineStr">
        <is>
          <t>Reza Mohammadi</t>
        </is>
      </c>
      <c r="AB63" t="inlineStr">
        <is>
          <t>U493</t>
        </is>
      </c>
      <c r="AC63" t="inlineStr">
        <is>
          <t>2024-06-20</t>
        </is>
      </c>
      <c r="AD63" t="inlineStr">
        <is>
          <t>2024-06-22 00:00:00</t>
        </is>
      </c>
      <c r="AE63" t="inlineStr">
        <is>
          <t>2024-06-22 08:00:00</t>
        </is>
      </c>
      <c r="AF63" t="inlineStr">
        <is>
          <t>2024-06-23 20:00:00</t>
        </is>
      </c>
      <c r="AG63" t="inlineStr">
        <is>
          <t>2024-06-23 20:00:00</t>
        </is>
      </c>
      <c r="AH63" t="inlineStr">
        <is>
          <t>2024-06-25 00:00:00</t>
        </is>
      </c>
      <c r="AI63" t="inlineStr">
        <is>
          <t>2024-06-27 00:00:00</t>
        </is>
      </c>
      <c r="AJ63" t="inlineStr">
        <is>
          <t>2024-06-27 05:00:00</t>
        </is>
      </c>
      <c r="AK63" t="inlineStr">
        <is>
          <t>2024-06-27 12:00:00</t>
        </is>
      </c>
      <c r="AL63" t="inlineStr">
        <is>
          <t>2024-06-27 15:00:00</t>
        </is>
      </c>
      <c r="AM63" t="inlineStr">
        <is>
          <t>2024-06-27 15:00:00</t>
        </is>
      </c>
      <c r="AN63" t="inlineStr">
        <is>
          <t>2024-07-27</t>
        </is>
      </c>
      <c r="AO63" t="n">
        <v>1</v>
      </c>
      <c r="AP63" t="inlineStr">
        <is>
          <t>2024-07-01 15:00:00</t>
        </is>
      </c>
      <c r="AQ63" t="inlineStr">
        <is>
          <t>2024-07-01 15:00:00</t>
        </is>
      </c>
      <c r="AR63" t="inlineStr">
        <is>
          <t>Done</t>
        </is>
      </c>
      <c r="AS63" t="n">
        <v>9</v>
      </c>
      <c r="AT63" t="n">
        <v>8</v>
      </c>
      <c r="AU63" t="n">
        <v>36</v>
      </c>
      <c r="AV63" t="n">
        <v>28</v>
      </c>
      <c r="AW63" t="n">
        <v>48</v>
      </c>
      <c r="AX63" t="inlineStr">
        <is>
          <t>[{"state": "Open", "timestamp": "2024-06-20T00:00:00"}, {"state": "Triage", "timestamp": "2024-06-22T00:00:00"}]</t>
        </is>
      </c>
      <c r="AY63" t="n">
        <v>3</v>
      </c>
      <c r="AZ63" t="n">
        <v>11</v>
      </c>
      <c r="BA63" t="n">
        <v>2</v>
      </c>
      <c r="BB63" t="n">
        <v>5.476263268310419</v>
      </c>
      <c r="BC63" t="n">
        <v>13.59530244470859</v>
      </c>
      <c r="BD63" t="n">
        <v>0.711334203865818</v>
      </c>
      <c r="BE63" t="n">
        <v>13.33805864384754</v>
      </c>
      <c r="BF63" t="n">
        <v>3.642698610480755</v>
      </c>
      <c r="BG63" t="n">
        <v>36.76365717121312</v>
      </c>
      <c r="BH63" t="n">
        <v>43.59892790732479</v>
      </c>
      <c r="BI63" t="n">
        <v>183</v>
      </c>
      <c r="BJ63" t="n">
        <v>91</v>
      </c>
      <c r="BK63" t="n">
        <v>56</v>
      </c>
      <c r="BL63" t="n">
        <v>92</v>
      </c>
      <c r="BM63" t="n">
        <v>28</v>
      </c>
      <c r="BN63" t="n">
        <v>553.7707912734838</v>
      </c>
      <c r="BO63" t="inlineStr">
        <is>
          <t>Integration</t>
        </is>
      </c>
      <c r="BP63" t="inlineStr">
        <is>
          <t>Won't Fix</t>
        </is>
      </c>
      <c r="BQ63" t="inlineStr">
        <is>
          <t>Completed</t>
        </is>
      </c>
      <c r="BR63" t="inlineStr">
        <is>
          <t>TC-3621</t>
        </is>
      </c>
      <c r="BS63" t="b">
        <v>0</v>
      </c>
      <c r="BT63" t="n">
        <v/>
      </c>
      <c r="BU63" t="n">
        <v>3</v>
      </c>
      <c r="BV63" t="n">
        <v>0</v>
      </c>
    </row>
    <row r="64">
      <c r="A64" t="n">
        <v>192477</v>
      </c>
      <c r="B64" t="inlineStr">
        <is>
          <t>خطای دکمه امضا در کمیته اعتباری نفر دوم کمیته</t>
        </is>
      </c>
      <c r="C64" t="inlineStr">
        <is>
          <t>تکمیل توضیحات: خطای دکمه امضا در کمیته اعتباری نفر دوم کمیته...</t>
        </is>
      </c>
      <c r="D64" t="inlineStr">
        <is>
          <t>Low</t>
        </is>
      </c>
      <c r="E64" t="inlineStr">
        <is>
          <t>P2</t>
        </is>
      </c>
      <c r="F64" t="inlineStr">
        <is>
          <t>Active</t>
        </is>
      </c>
      <c r="G64" t="inlineStr">
        <is>
          <t>Integration</t>
        </is>
      </c>
      <c r="H64" t="b">
        <v>1</v>
      </c>
      <c r="I64" t="b">
        <v>0</v>
      </c>
      <c r="J64" t="inlineStr">
        <is>
          <t>PRJ-001</t>
        </is>
      </c>
      <c r="K64" t="inlineStr">
        <is>
          <t>Dem System</t>
        </is>
      </c>
      <c r="L64" t="inlineStr">
        <is>
          <t>Team Gamma</t>
        </is>
      </c>
      <c r="M64" t="inlineStr">
        <is>
          <t>T03</t>
        </is>
      </c>
      <c r="N64" t="inlineStr">
        <is>
          <t>M09</t>
        </is>
      </c>
      <c r="O64" t="inlineStr">
        <is>
          <t>Dem\DemBiz\SP_88</t>
        </is>
      </c>
      <c r="P64" t="inlineStr">
        <is>
          <t>Sprint 25</t>
        </is>
      </c>
      <c r="Q64" t="inlineStr">
        <is>
          <t>S25</t>
        </is>
      </c>
      <c r="R64" t="inlineStr">
        <is>
          <t>Integration;Low</t>
        </is>
      </c>
      <c r="S64" t="n">
        <v/>
      </c>
      <c r="T64" t="inlineStr">
        <is>
          <t>کامنت 4 مورد</t>
        </is>
      </c>
      <c r="U64" t="inlineStr">
        <is>
          <t>Hassan Karimi</t>
        </is>
      </c>
      <c r="V64" t="inlineStr">
        <is>
          <t>U829</t>
        </is>
      </c>
      <c r="W64" t="inlineStr">
        <is>
          <t>Sara Ahmadi</t>
        </is>
      </c>
      <c r="X64" t="inlineStr">
        <is>
          <t>U091</t>
        </is>
      </c>
      <c r="Y64" t="n">
        <v/>
      </c>
      <c r="Z64" t="n">
        <v/>
      </c>
      <c r="AA64" t="n">
        <v/>
      </c>
      <c r="AB64" t="n">
        <v/>
      </c>
      <c r="AC64" t="inlineStr">
        <is>
          <t>2024-04-27</t>
        </is>
      </c>
      <c r="AD64" t="inlineStr">
        <is>
          <t>2024-04-27 23:00:00</t>
        </is>
      </c>
      <c r="AE64" t="inlineStr">
        <is>
          <t>2024-04-28 09:00:00</t>
        </is>
      </c>
      <c r="AF64" t="n">
        <v/>
      </c>
      <c r="AG64" t="n">
        <v/>
      </c>
      <c r="AH64" t="n">
        <v/>
      </c>
      <c r="AI64" t="n">
        <v/>
      </c>
      <c r="AJ64" t="n">
        <v/>
      </c>
      <c r="AK64" t="n">
        <v/>
      </c>
      <c r="AL64" t="n">
        <v/>
      </c>
      <c r="AM64" t="inlineStr">
        <is>
          <t>2024-04-28 09:00:00</t>
        </is>
      </c>
      <c r="AN64" t="inlineStr">
        <is>
          <t>2024-06-25</t>
        </is>
      </c>
      <c r="AO64" t="n">
        <v>0</v>
      </c>
      <c r="AP64" t="n">
        <v/>
      </c>
      <c r="AQ64" t="n">
        <v/>
      </c>
      <c r="AR64" t="inlineStr">
        <is>
          <t>Triage</t>
        </is>
      </c>
      <c r="AS64" t="n">
        <v>2</v>
      </c>
      <c r="AT64" t="n">
        <v>10</v>
      </c>
      <c r="AU64" t="n">
        <v/>
      </c>
      <c r="AV64" t="n">
        <v/>
      </c>
      <c r="AW64" t="n">
        <v/>
      </c>
      <c r="AX64" t="inlineStr">
        <is>
          <t>[{"state": "Open", "timestamp": "2024-04-27T00:00:00"}, {"state": "Triage", "timestamp": "2024-04-27T23:00:00"}]</t>
        </is>
      </c>
      <c r="AY64" t="n">
        <v>4</v>
      </c>
      <c r="AZ64" t="n">
        <v>2</v>
      </c>
      <c r="BA64" t="n">
        <v>1</v>
      </c>
      <c r="BB64" t="n">
        <v>0.5379618788466402</v>
      </c>
      <c r="BC64" t="n">
        <v>32.01226159597944</v>
      </c>
      <c r="BD64" t="n">
        <v>18.15494854017564</v>
      </c>
      <c r="BE64" t="n">
        <v>15.24699869937886</v>
      </c>
      <c r="BF64" t="n">
        <v>0</v>
      </c>
      <c r="BG64" t="n">
        <v>65.95217071438059</v>
      </c>
      <c r="BH64" t="n">
        <v>56.24298186034726</v>
      </c>
      <c r="BI64" t="n">
        <v/>
      </c>
      <c r="BJ64" t="n">
        <v/>
      </c>
      <c r="BK64" t="n">
        <v>33</v>
      </c>
      <c r="BL64" t="n">
        <v>10</v>
      </c>
      <c r="BM64" t="n">
        <v>0</v>
      </c>
      <c r="BN64" t="n">
        <v>607.7707912735996</v>
      </c>
      <c r="BO64" t="n">
        <v/>
      </c>
      <c r="BP64" t="n">
        <v/>
      </c>
      <c r="BQ64" t="n">
        <v/>
      </c>
      <c r="BR64" t="n">
        <v/>
      </c>
      <c r="BS64" t="b">
        <v>0</v>
      </c>
      <c r="BT64" t="n">
        <v/>
      </c>
      <c r="BU64" t="n">
        <v>0</v>
      </c>
      <c r="BV64" t="n">
        <v>0</v>
      </c>
    </row>
    <row r="65">
      <c r="A65" t="n">
        <v>191517</v>
      </c>
      <c r="B65" t="inlineStr">
        <is>
          <t>عدم نمایش جزئیات نسخه جاری</t>
        </is>
      </c>
      <c r="C65" t="inlineStr">
        <is>
          <t>تکمیل توضیحات: عدم نمایش جزئیات نسخه جاری...</t>
        </is>
      </c>
      <c r="D65" t="inlineStr">
        <is>
          <t>Medium</t>
        </is>
      </c>
      <c r="E65" t="inlineStr">
        <is>
          <t>P2</t>
        </is>
      </c>
      <c r="F65" t="inlineStr">
        <is>
          <t>Resolved</t>
        </is>
      </c>
      <c r="G65" t="inlineStr">
        <is>
          <t>Data</t>
        </is>
      </c>
      <c r="H65" t="b">
        <v>0</v>
      </c>
      <c r="I65" t="b">
        <v>0</v>
      </c>
      <c r="J65" t="inlineStr">
        <is>
          <t>PRJ-001</t>
        </is>
      </c>
      <c r="K65" t="inlineStr">
        <is>
          <t>Dem System</t>
        </is>
      </c>
      <c r="L65" t="inlineStr">
        <is>
          <t>Team Alpha</t>
        </is>
      </c>
      <c r="M65" t="inlineStr">
        <is>
          <t>T01</t>
        </is>
      </c>
      <c r="N65" t="inlineStr">
        <is>
          <t>M09</t>
        </is>
      </c>
      <c r="O65" t="inlineStr">
        <is>
          <t>Dem\DemBiz\SP_88</t>
        </is>
      </c>
      <c r="P65" t="inlineStr">
        <is>
          <t>Sprint 27</t>
        </is>
      </c>
      <c r="Q65" t="inlineStr">
        <is>
          <t>S27</t>
        </is>
      </c>
      <c r="R65" t="inlineStr">
        <is>
          <t>Data;Medium</t>
        </is>
      </c>
      <c r="S65" t="n">
        <v/>
      </c>
      <c r="T65" t="inlineStr">
        <is>
          <t>کامنت 5 مورد</t>
        </is>
      </c>
      <c r="U65" t="inlineStr">
        <is>
          <t>Sara Ahmadi</t>
        </is>
      </c>
      <c r="V65" t="inlineStr">
        <is>
          <t>U091</t>
        </is>
      </c>
      <c r="W65" t="inlineStr">
        <is>
          <t>Fateme Akbari</t>
        </is>
      </c>
      <c r="X65" t="inlineStr">
        <is>
          <t>U511</t>
        </is>
      </c>
      <c r="Y65" t="inlineStr">
        <is>
          <t>Ali Rezaei</t>
        </is>
      </c>
      <c r="Z65" t="inlineStr">
        <is>
          <t>U374</t>
        </is>
      </c>
      <c r="AA65" t="inlineStr">
        <is>
          <t>Reza Mohammadi</t>
        </is>
      </c>
      <c r="AB65" t="inlineStr">
        <is>
          <t>U493</t>
        </is>
      </c>
      <c r="AC65" t="inlineStr">
        <is>
          <t>2024-02-28</t>
        </is>
      </c>
      <c r="AD65" t="inlineStr">
        <is>
          <t>2024-02-28 15:00:00</t>
        </is>
      </c>
      <c r="AE65" t="inlineStr">
        <is>
          <t>2024-02-28 16:00:00</t>
        </is>
      </c>
      <c r="AF65" t="inlineStr">
        <is>
          <t>2024-02-29 18:00:00</t>
        </is>
      </c>
      <c r="AG65" t="inlineStr">
        <is>
          <t>2024-02-29 18:00:00</t>
        </is>
      </c>
      <c r="AH65" t="inlineStr">
        <is>
          <t>2024-03-03 05:00:00</t>
        </is>
      </c>
      <c r="AI65" t="inlineStr">
        <is>
          <t>2024-03-04 06:00:00</t>
        </is>
      </c>
      <c r="AJ65" t="n">
        <v/>
      </c>
      <c r="AK65" t="n">
        <v/>
      </c>
      <c r="AL65" t="n">
        <v/>
      </c>
      <c r="AM65" t="inlineStr">
        <is>
          <t>2024-03-04 06:00:00</t>
        </is>
      </c>
      <c r="AN65" t="inlineStr">
        <is>
          <t>2024-03-23</t>
        </is>
      </c>
      <c r="AO65" t="n">
        <v>0</v>
      </c>
      <c r="AP65" t="n">
        <v/>
      </c>
      <c r="AQ65" t="n">
        <v/>
      </c>
      <c r="AR65" t="inlineStr">
        <is>
          <t>Ready for Retest</t>
        </is>
      </c>
      <c r="AS65" t="n">
        <v>5</v>
      </c>
      <c r="AT65" t="n">
        <v>1</v>
      </c>
      <c r="AU65" t="n">
        <v>26</v>
      </c>
      <c r="AV65" t="n">
        <v>59</v>
      </c>
      <c r="AW65" t="n">
        <v>25</v>
      </c>
      <c r="AX65" t="inlineStr">
        <is>
          <t>[{"state": "Open", "timestamp": "2024-02-28T00:00:00"}, {"state": "Triage", "timestamp": "2024-02-28T15:00:00"}]</t>
        </is>
      </c>
      <c r="AY65" t="n">
        <v>1</v>
      </c>
      <c r="AZ65" t="n">
        <v>7</v>
      </c>
      <c r="BA65" t="n">
        <v>1</v>
      </c>
      <c r="BB65" t="n">
        <v>1.70606038563124</v>
      </c>
      <c r="BC65" t="n">
        <v>11.56245779922089</v>
      </c>
      <c r="BD65" t="n">
        <v>2.280090197329605</v>
      </c>
      <c r="BE65" t="n">
        <v>11.8857926258254</v>
      </c>
      <c r="BF65" t="n">
        <v>0</v>
      </c>
      <c r="BG65" t="n">
        <v>27.43440100800714</v>
      </c>
      <c r="BH65" t="n">
        <v>30.42205208732885</v>
      </c>
      <c r="BI65" t="n">
        <v/>
      </c>
      <c r="BJ65" t="n">
        <v/>
      </c>
      <c r="BK65" t="n">
        <v>16</v>
      </c>
      <c r="BL65" t="n">
        <v>52</v>
      </c>
      <c r="BM65" t="n">
        <v>59</v>
      </c>
      <c r="BN65" t="n">
        <v>666.7707912737037</v>
      </c>
      <c r="BO65" t="inlineStr">
        <is>
          <t>Testing</t>
        </is>
      </c>
      <c r="BP65" t="inlineStr">
        <is>
          <t>Fixed</t>
        </is>
      </c>
      <c r="BQ65" t="n">
        <v/>
      </c>
      <c r="BR65" t="inlineStr">
        <is>
          <t>TC-2040</t>
        </is>
      </c>
      <c r="BS65" t="b">
        <v>0</v>
      </c>
      <c r="BT65" t="n">
        <v/>
      </c>
      <c r="BU65" t="n">
        <v>0</v>
      </c>
      <c r="BV65" t="n">
        <v>1</v>
      </c>
    </row>
    <row r="66">
      <c r="A66" t="n">
        <v>192542</v>
      </c>
      <c r="B66" t="inlineStr">
        <is>
          <t>دکمه تایید و ادامه در فرم انتخاب پیشنهاد جهت اصلاح پیغام متن پیشنهاد اصلاحی را می دهد</t>
        </is>
      </c>
      <c r="C66" t="inlineStr">
        <is>
          <t>تکمیل توضیحات: دکمه تایید و ادامه در فرم انتخاب پیشنهاد جهت اصلاح...</t>
        </is>
      </c>
      <c r="D66" t="inlineStr">
        <is>
          <t>High</t>
        </is>
      </c>
      <c r="E66" t="inlineStr">
        <is>
          <t>P1</t>
        </is>
      </c>
      <c r="F66" t="inlineStr">
        <is>
          <t>Closed</t>
        </is>
      </c>
      <c r="G66" t="inlineStr">
        <is>
          <t>Backend</t>
        </is>
      </c>
      <c r="H66" t="b">
        <v>0</v>
      </c>
      <c r="I66" t="b">
        <v>0</v>
      </c>
      <c r="J66" t="inlineStr">
        <is>
          <t>PRJ-001</t>
        </is>
      </c>
      <c r="K66" t="inlineStr">
        <is>
          <t>Dem System</t>
        </is>
      </c>
      <c r="L66" t="inlineStr">
        <is>
          <t>Team Alpha</t>
        </is>
      </c>
      <c r="M66" t="inlineStr">
        <is>
          <t>T01</t>
        </is>
      </c>
      <c r="N66" t="inlineStr">
        <is>
          <t>M09</t>
        </is>
      </c>
      <c r="O66" t="inlineStr">
        <is>
          <t>Dem\DemBiz\SP_88</t>
        </is>
      </c>
      <c r="P66" t="inlineStr">
        <is>
          <t>Sprint 26</t>
        </is>
      </c>
      <c r="Q66" t="inlineStr">
        <is>
          <t>S26</t>
        </is>
      </c>
      <c r="R66" t="inlineStr">
        <is>
          <t>Backend;High</t>
        </is>
      </c>
      <c r="S66" t="n">
        <v/>
      </c>
      <c r="T66" t="inlineStr">
        <is>
          <t>کامنت 5 مورد</t>
        </is>
      </c>
      <c r="U66" t="inlineStr">
        <is>
          <t>Ali Rezaei</t>
        </is>
      </c>
      <c r="V66" t="inlineStr">
        <is>
          <t>U374</t>
        </is>
      </c>
      <c r="W66" t="inlineStr">
        <is>
          <t>Zahra Ebrahimi</t>
        </is>
      </c>
      <c r="X66" t="inlineStr">
        <is>
          <t>U002</t>
        </is>
      </c>
      <c r="Y66" t="inlineStr">
        <is>
          <t>Reza Mohammadi</t>
        </is>
      </c>
      <c r="Z66" t="inlineStr">
        <is>
          <t>U493</t>
        </is>
      </c>
      <c r="AA66" t="inlineStr">
        <is>
          <t>Fateme Akbari</t>
        </is>
      </c>
      <c r="AB66" t="inlineStr">
        <is>
          <t>U511</t>
        </is>
      </c>
      <c r="AC66" t="inlineStr">
        <is>
          <t>2024-01-18</t>
        </is>
      </c>
      <c r="AD66" t="inlineStr">
        <is>
          <t>2024-01-18 18:00:00</t>
        </is>
      </c>
      <c r="AE66" t="inlineStr">
        <is>
          <t>2024-01-19 06:00:00</t>
        </is>
      </c>
      <c r="AF66" t="inlineStr">
        <is>
          <t>2024-01-22 01:00:00</t>
        </is>
      </c>
      <c r="AG66" t="inlineStr">
        <is>
          <t>2024-01-22 01:00:00</t>
        </is>
      </c>
      <c r="AH66" t="inlineStr">
        <is>
          <t>2024-01-24 12:00:00</t>
        </is>
      </c>
      <c r="AI66" t="inlineStr">
        <is>
          <t>2024-01-26 11:00:00</t>
        </is>
      </c>
      <c r="AJ66" t="inlineStr">
        <is>
          <t>2024-01-27 06:00:00</t>
        </is>
      </c>
      <c r="AK66" t="inlineStr">
        <is>
          <t>2024-01-27 12:00:00</t>
        </is>
      </c>
      <c r="AL66" t="inlineStr">
        <is>
          <t>2024-01-27 14:00:00</t>
        </is>
      </c>
      <c r="AM66" t="inlineStr">
        <is>
          <t>2024-01-27 14:00:00</t>
        </is>
      </c>
      <c r="AN66" t="inlineStr">
        <is>
          <t>2024-02-01</t>
        </is>
      </c>
      <c r="AO66" t="n">
        <v>2</v>
      </c>
      <c r="AP66" t="inlineStr">
        <is>
          <t>2024-01-30 14:00:00</t>
        </is>
      </c>
      <c r="AQ66" t="inlineStr">
        <is>
          <t>2024-02-03 14:00:00</t>
        </is>
      </c>
      <c r="AR66" t="inlineStr">
        <is>
          <t>Done</t>
        </is>
      </c>
      <c r="AS66" t="n">
        <v>9</v>
      </c>
      <c r="AT66" t="n">
        <v>12</v>
      </c>
      <c r="AU66" t="n">
        <v>67</v>
      </c>
      <c r="AV66" t="n">
        <v>59</v>
      </c>
      <c r="AW66" t="n">
        <v>47</v>
      </c>
      <c r="AX66" t="inlineStr">
        <is>
          <t>[{"state": "Open", "timestamp": "2024-01-18T00:00:00"}, {"state": "Triage", "timestamp": "2024-01-18T18:00:00"}]</t>
        </is>
      </c>
      <c r="AY66" t="n">
        <v>1</v>
      </c>
      <c r="AZ66" t="n">
        <v>10</v>
      </c>
      <c r="BA66" t="n">
        <v>3</v>
      </c>
      <c r="BB66" t="n">
        <v>4.615503420249396</v>
      </c>
      <c r="BC66" t="n">
        <v>18.11988540751981</v>
      </c>
      <c r="BD66" t="n">
        <v>6.72661593301309</v>
      </c>
      <c r="BE66" t="n">
        <v>10.20122793903685</v>
      </c>
      <c r="BF66" t="n">
        <v>0.7862427968219787</v>
      </c>
      <c r="BG66" t="n">
        <v>40.44947549664113</v>
      </c>
      <c r="BH66" t="n">
        <v>46.76512376193187</v>
      </c>
      <c r="BI66" t="n">
        <v>230</v>
      </c>
      <c r="BJ66" t="n">
        <v>133</v>
      </c>
      <c r="BK66" t="n">
        <v>30</v>
      </c>
      <c r="BL66" t="n">
        <v>126</v>
      </c>
      <c r="BM66" t="n">
        <v>59</v>
      </c>
      <c r="BN66" t="n">
        <v>707.7707912738078</v>
      </c>
      <c r="BO66" t="inlineStr">
        <is>
          <t>Data</t>
        </is>
      </c>
      <c r="BP66" t="inlineStr">
        <is>
          <t>Fixed</t>
        </is>
      </c>
      <c r="BQ66" t="inlineStr">
        <is>
          <t>Completed</t>
        </is>
      </c>
      <c r="BR66" t="inlineStr">
        <is>
          <t>TC-8668</t>
        </is>
      </c>
      <c r="BS66" t="b">
        <v>0</v>
      </c>
      <c r="BT66" t="n">
        <v/>
      </c>
      <c r="BU66" t="n">
        <v>3</v>
      </c>
      <c r="BV66" t="n">
        <v>0</v>
      </c>
    </row>
    <row r="67">
      <c r="A67" t="n">
        <v>191545</v>
      </c>
      <c r="B67" t="inlineStr">
        <is>
          <t>بعداز ذخیره، درصد سهام و تعداد سهام در لینک سهامداران تغییر می کند</t>
        </is>
      </c>
      <c r="C67" t="inlineStr">
        <is>
          <t>تکمیل توضیحات: بعداز ذخیره، درصد سهام و تعداد سهام در لینک سهامدا...</t>
        </is>
      </c>
      <c r="D67" t="inlineStr">
        <is>
          <t>Medium</t>
        </is>
      </c>
      <c r="E67" t="inlineStr">
        <is>
          <t>P3</t>
        </is>
      </c>
      <c r="F67" t="inlineStr">
        <is>
          <t>Closed</t>
        </is>
      </c>
      <c r="G67" t="inlineStr">
        <is>
          <t>Backend</t>
        </is>
      </c>
      <c r="H67" t="b">
        <v>1</v>
      </c>
      <c r="I67" t="b">
        <v>0</v>
      </c>
      <c r="J67" t="inlineStr">
        <is>
          <t>PRJ-001</t>
        </is>
      </c>
      <c r="K67" t="inlineStr">
        <is>
          <t>Dem System</t>
        </is>
      </c>
      <c r="L67" t="inlineStr">
        <is>
          <t>Team Beta</t>
        </is>
      </c>
      <c r="M67" t="inlineStr">
        <is>
          <t>T02</t>
        </is>
      </c>
      <c r="N67" t="inlineStr">
        <is>
          <t>M09</t>
        </is>
      </c>
      <c r="O67" t="inlineStr">
        <is>
          <t>Dem\DemBiz\SP_88</t>
        </is>
      </c>
      <c r="P67" t="inlineStr">
        <is>
          <t>Sprint 24</t>
        </is>
      </c>
      <c r="Q67" t="inlineStr">
        <is>
          <t>S24</t>
        </is>
      </c>
      <c r="R67" t="inlineStr">
        <is>
          <t>Backend;Medium</t>
        </is>
      </c>
      <c r="S67" t="n">
        <v/>
      </c>
      <c r="T67" t="inlineStr">
        <is>
          <t>کامنت 1 مورد</t>
        </is>
      </c>
      <c r="U67" t="inlineStr">
        <is>
          <t>Sara Ahmadi</t>
        </is>
      </c>
      <c r="V67" t="inlineStr">
        <is>
          <t>U091</t>
        </is>
      </c>
      <c r="W67" t="inlineStr">
        <is>
          <t>Zahra Ebrahimi</t>
        </is>
      </c>
      <c r="X67" t="inlineStr">
        <is>
          <t>U002</t>
        </is>
      </c>
      <c r="Y67" t="inlineStr">
        <is>
          <t>Mohammad Safari</t>
        </is>
      </c>
      <c r="Z67" t="inlineStr">
        <is>
          <t>U093</t>
        </is>
      </c>
      <c r="AA67" t="inlineStr">
        <is>
          <t>Reza Mohammadi</t>
        </is>
      </c>
      <c r="AB67" t="inlineStr">
        <is>
          <t>U493</t>
        </is>
      </c>
      <c r="AC67" t="inlineStr">
        <is>
          <t>2024-03-08</t>
        </is>
      </c>
      <c r="AD67" t="inlineStr">
        <is>
          <t>2024-03-08 03:00:00</t>
        </is>
      </c>
      <c r="AE67" t="inlineStr">
        <is>
          <t>2024-03-08 07:00:00</t>
        </is>
      </c>
      <c r="AF67" t="inlineStr">
        <is>
          <t>2024-03-10 16:00:00</t>
        </is>
      </c>
      <c r="AG67" t="inlineStr">
        <is>
          <t>2024-03-10 16:00:00</t>
        </is>
      </c>
      <c r="AH67" t="inlineStr">
        <is>
          <t>2024-03-12 20:00:00</t>
        </is>
      </c>
      <c r="AI67" t="inlineStr">
        <is>
          <t>2024-03-13 20:00:00</t>
        </is>
      </c>
      <c r="AJ67" t="inlineStr">
        <is>
          <t>2024-03-14 11:00:00</t>
        </is>
      </c>
      <c r="AK67" t="inlineStr">
        <is>
          <t>2024-03-14 13:00:00</t>
        </is>
      </c>
      <c r="AL67" t="inlineStr">
        <is>
          <t>2024-03-15 14:00:00</t>
        </is>
      </c>
      <c r="AM67" t="inlineStr">
        <is>
          <t>2024-03-15 14:00:00</t>
        </is>
      </c>
      <c r="AN67" t="inlineStr">
        <is>
          <t>2024-04-20</t>
        </is>
      </c>
      <c r="AO67" t="n">
        <v>1</v>
      </c>
      <c r="AP67" t="inlineStr">
        <is>
          <t>2024-03-20 14:00:00</t>
        </is>
      </c>
      <c r="AQ67" t="inlineStr">
        <is>
          <t>2024-03-20 14:00:00</t>
        </is>
      </c>
      <c r="AR67" t="inlineStr">
        <is>
          <t>Done</t>
        </is>
      </c>
      <c r="AS67" t="n">
        <v>8</v>
      </c>
      <c r="AT67" t="n">
        <v>4</v>
      </c>
      <c r="AU67" t="n">
        <v>57</v>
      </c>
      <c r="AV67" t="n">
        <v>52</v>
      </c>
      <c r="AW67" t="n">
        <v>24</v>
      </c>
      <c r="AX67" t="inlineStr">
        <is>
          <t>[{"state": "Open", "timestamp": "2024-03-08T00:00:00"}, {"state": "Triage", "timestamp": "2024-03-08T03:00:00"}]</t>
        </is>
      </c>
      <c r="AY67" t="n">
        <v>3</v>
      </c>
      <c r="AZ67" t="n">
        <v>8</v>
      </c>
      <c r="BA67" t="n">
        <v>2</v>
      </c>
      <c r="BB67" t="n">
        <v>5.6892139826952</v>
      </c>
      <c r="BC67" t="n">
        <v>4.059798872348372</v>
      </c>
      <c r="BD67" t="n">
        <v>19.02620835749069</v>
      </c>
      <c r="BE67" t="n">
        <v>7.273645544359283</v>
      </c>
      <c r="BF67" t="n">
        <v>7.994103989090426</v>
      </c>
      <c r="BG67" t="n">
        <v>44.04297074598397</v>
      </c>
      <c r="BH67" t="n">
        <v>46.5702992988484</v>
      </c>
      <c r="BI67" t="n">
        <v>182</v>
      </c>
      <c r="BJ67" t="n">
        <v>118</v>
      </c>
      <c r="BK67" t="n">
        <v>7</v>
      </c>
      <c r="BL67" t="n">
        <v>85</v>
      </c>
      <c r="BM67" t="n">
        <v>52</v>
      </c>
      <c r="BN67" t="n">
        <v>657.7707912739236</v>
      </c>
      <c r="BO67" t="inlineStr">
        <is>
          <t>Testing</t>
        </is>
      </c>
      <c r="BP67" t="inlineStr">
        <is>
          <t>Fixed</t>
        </is>
      </c>
      <c r="BQ67" t="inlineStr">
        <is>
          <t>Completed</t>
        </is>
      </c>
      <c r="BR67" t="inlineStr">
        <is>
          <t>TC-1188</t>
        </is>
      </c>
      <c r="BS67" t="b">
        <v>0</v>
      </c>
      <c r="BT67" t="n">
        <v/>
      </c>
      <c r="BU67" t="n">
        <v>2</v>
      </c>
      <c r="BV67" t="n">
        <v>1</v>
      </c>
    </row>
    <row r="68">
      <c r="A68" t="n">
        <v>191555</v>
      </c>
      <c r="B68" t="inlineStr">
        <is>
          <t>ستاره دار نبودن ، فیلد های اجباری در فرم ثبت و ویرایش شخص حقوقی / حقیقی</t>
        </is>
      </c>
      <c r="C68" t="inlineStr">
        <is>
          <t>تکمیل توضیحات: ستاره دار نبودن ، فیلد های اجباری در فرم ثبت و ویر...</t>
        </is>
      </c>
      <c r="D68" t="inlineStr">
        <is>
          <t>High</t>
        </is>
      </c>
      <c r="E68" t="inlineStr">
        <is>
          <t>P2</t>
        </is>
      </c>
      <c r="F68" t="inlineStr">
        <is>
          <t>Done</t>
        </is>
      </c>
      <c r="G68" t="inlineStr">
        <is>
          <t>Integration</t>
        </is>
      </c>
      <c r="H68" t="b">
        <v>1</v>
      </c>
      <c r="I68" t="b">
        <v>0</v>
      </c>
      <c r="J68" t="inlineStr">
        <is>
          <t>PRJ-001</t>
        </is>
      </c>
      <c r="K68" t="inlineStr">
        <is>
          <t>Dem System</t>
        </is>
      </c>
      <c r="L68" t="inlineStr">
        <is>
          <t>Team Delta</t>
        </is>
      </c>
      <c r="M68" t="inlineStr">
        <is>
          <t>T04</t>
        </is>
      </c>
      <c r="N68" t="inlineStr">
        <is>
          <t>M09</t>
        </is>
      </c>
      <c r="O68" t="inlineStr">
        <is>
          <t>Dem\DemBiz\SP_88</t>
        </is>
      </c>
      <c r="P68" t="inlineStr">
        <is>
          <t>Sprint 26</t>
        </is>
      </c>
      <c r="Q68" t="inlineStr">
        <is>
          <t>S26</t>
        </is>
      </c>
      <c r="R68" t="inlineStr">
        <is>
          <t>Integration;High</t>
        </is>
      </c>
      <c r="S68" t="inlineStr">
        <is>
          <t>EXT-191555</t>
        </is>
      </c>
      <c r="T68" t="inlineStr">
        <is>
          <t>کامنت 5 مورد</t>
        </is>
      </c>
      <c r="U68" t="inlineStr">
        <is>
          <t>Fateme Akbari</t>
        </is>
      </c>
      <c r="V68" t="inlineStr">
        <is>
          <t>U511</t>
        </is>
      </c>
      <c r="W68" t="inlineStr">
        <is>
          <t>Fateme Akbari</t>
        </is>
      </c>
      <c r="X68" t="inlineStr">
        <is>
          <t>U511</t>
        </is>
      </c>
      <c r="Y68" t="inlineStr">
        <is>
          <t>Mina Hosseini</t>
        </is>
      </c>
      <c r="Z68" t="inlineStr">
        <is>
          <t>U860</t>
        </is>
      </c>
      <c r="AA68" t="inlineStr">
        <is>
          <t>Zahra Ebrahimi</t>
        </is>
      </c>
      <c r="AB68" t="inlineStr">
        <is>
          <t>U002</t>
        </is>
      </c>
      <c r="AC68" t="inlineStr">
        <is>
          <t>2024-01-12</t>
        </is>
      </c>
      <c r="AD68" t="inlineStr">
        <is>
          <t>2024-01-13 22:00:00</t>
        </is>
      </c>
      <c r="AE68" t="inlineStr">
        <is>
          <t>2024-01-14 12:00:00</t>
        </is>
      </c>
      <c r="AF68" t="inlineStr">
        <is>
          <t>2024-01-14 14:00:00</t>
        </is>
      </c>
      <c r="AG68" t="inlineStr">
        <is>
          <t>2024-01-14 14:00:00</t>
        </is>
      </c>
      <c r="AH68" t="inlineStr">
        <is>
          <t>2024-01-17 16:00:00</t>
        </is>
      </c>
      <c r="AI68" t="inlineStr">
        <is>
          <t>2024-01-19 06:00:00</t>
        </is>
      </c>
      <c r="AJ68" t="inlineStr">
        <is>
          <t>2024-01-20 05:00:00</t>
        </is>
      </c>
      <c r="AK68" t="inlineStr">
        <is>
          <t>2024-01-20 05:00:00</t>
        </is>
      </c>
      <c r="AL68" t="n">
        <v/>
      </c>
      <c r="AM68" t="inlineStr">
        <is>
          <t>2024-01-20 05:00:00</t>
        </is>
      </c>
      <c r="AN68" t="inlineStr">
        <is>
          <t>2024-03-05</t>
        </is>
      </c>
      <c r="AO68" t="n">
        <v>0</v>
      </c>
      <c r="AP68" t="n">
        <v/>
      </c>
      <c r="AQ68" t="n">
        <v/>
      </c>
      <c r="AR68" t="inlineStr">
        <is>
          <t>Resolved</t>
        </is>
      </c>
      <c r="AS68" t="n">
        <v>9</v>
      </c>
      <c r="AT68" t="n">
        <v>14</v>
      </c>
      <c r="AU68" t="n">
        <v>2</v>
      </c>
      <c r="AV68" t="n">
        <v>74</v>
      </c>
      <c r="AW68" t="n">
        <v>38</v>
      </c>
      <c r="AX68" t="inlineStr">
        <is>
          <t>[{"state": "Open", "timestamp": "2024-01-12T00:00:00"}, {"state": "Triage", "timestamp": "2024-01-13T22:00:00"}]</t>
        </is>
      </c>
      <c r="AY68" t="n">
        <v>1</v>
      </c>
      <c r="AZ68" t="n">
        <v>9</v>
      </c>
      <c r="BA68" t="n">
        <v>1</v>
      </c>
      <c r="BB68" t="n">
        <v>5.389709446269504</v>
      </c>
      <c r="BC68" t="n">
        <v>1.988678993202843</v>
      </c>
      <c r="BD68" t="n">
        <v>19.03683936528234</v>
      </c>
      <c r="BE68" t="n">
        <v>14.9909272503102</v>
      </c>
      <c r="BF68" t="n">
        <v>0</v>
      </c>
      <c r="BG68" t="n">
        <v>41.40615505506489</v>
      </c>
      <c r="BH68" t="n">
        <v>40.70000260857604</v>
      </c>
      <c r="BI68" t="n">
        <v/>
      </c>
      <c r="BJ68" t="n">
        <v/>
      </c>
      <c r="BK68" t="n">
        <v>60</v>
      </c>
      <c r="BL68" t="n">
        <v>54</v>
      </c>
      <c r="BM68" t="n">
        <v>74</v>
      </c>
      <c r="BN68" t="n">
        <v>713.7707912740278</v>
      </c>
      <c r="BO68" t="inlineStr">
        <is>
          <t>Data</t>
        </is>
      </c>
      <c r="BP68" t="inlineStr">
        <is>
          <t>Duplicate</t>
        </is>
      </c>
      <c r="BQ68" t="n">
        <v/>
      </c>
      <c r="BR68" t="n">
        <v/>
      </c>
      <c r="BS68" t="b">
        <v>1</v>
      </c>
      <c r="BT68" t="n">
        <v>191765</v>
      </c>
      <c r="BU68" t="n">
        <v>1</v>
      </c>
      <c r="BV68" t="n">
        <v>1</v>
      </c>
    </row>
    <row r="69">
      <c r="A69" t="n">
        <v>192503</v>
      </c>
      <c r="B69" t="inlineStr">
        <is>
          <t>در تمامی گزارشات در صورتی که جداول دیتایی نداشتند ، نمایش داده نشوند</t>
        </is>
      </c>
      <c r="C69" t="inlineStr">
        <is>
          <t>تکمیل توضیحات: در تمامی گزارشات در صورتی که جداول دیتایی نداشتند ...</t>
        </is>
      </c>
      <c r="D69" t="inlineStr">
        <is>
          <t>Low</t>
        </is>
      </c>
      <c r="E69" t="inlineStr">
        <is>
          <t>P1</t>
        </is>
      </c>
      <c r="F69" t="inlineStr">
        <is>
          <t>Closed</t>
        </is>
      </c>
      <c r="G69" t="inlineStr">
        <is>
          <t>Data</t>
        </is>
      </c>
      <c r="H69" t="b">
        <v>0</v>
      </c>
      <c r="I69" t="b">
        <v>0</v>
      </c>
      <c r="J69" t="inlineStr">
        <is>
          <t>PRJ-001</t>
        </is>
      </c>
      <c r="K69" t="inlineStr">
        <is>
          <t>Dem System</t>
        </is>
      </c>
      <c r="L69" t="inlineStr">
        <is>
          <t>Team Beta</t>
        </is>
      </c>
      <c r="M69" t="inlineStr">
        <is>
          <t>T02</t>
        </is>
      </c>
      <c r="N69" t="inlineStr">
        <is>
          <t>M09</t>
        </is>
      </c>
      <c r="O69" t="inlineStr">
        <is>
          <t>Dem\DemBiz\SP_88</t>
        </is>
      </c>
      <c r="P69" t="inlineStr">
        <is>
          <t>Sprint 26</t>
        </is>
      </c>
      <c r="Q69" t="inlineStr">
        <is>
          <t>S26</t>
        </is>
      </c>
      <c r="R69" t="inlineStr">
        <is>
          <t>Data;Low</t>
        </is>
      </c>
      <c r="S69" t="inlineStr">
        <is>
          <t>EXT-192503</t>
        </is>
      </c>
      <c r="T69" t="inlineStr">
        <is>
          <t>کامنت 2 مورد</t>
        </is>
      </c>
      <c r="U69" t="inlineStr">
        <is>
          <t>Fateme Akbari</t>
        </is>
      </c>
      <c r="V69" t="inlineStr">
        <is>
          <t>U511</t>
        </is>
      </c>
      <c r="W69" t="inlineStr">
        <is>
          <t>Mohammad Safari</t>
        </is>
      </c>
      <c r="X69" t="inlineStr">
        <is>
          <t>U093</t>
        </is>
      </c>
      <c r="Y69" t="inlineStr">
        <is>
          <t>Ali Rezaei</t>
        </is>
      </c>
      <c r="Z69" t="inlineStr">
        <is>
          <t>U374</t>
        </is>
      </c>
      <c r="AA69" t="inlineStr">
        <is>
          <t>Fateme Akbari</t>
        </is>
      </c>
      <c r="AB69" t="inlineStr">
        <is>
          <t>U511</t>
        </is>
      </c>
      <c r="AC69" t="inlineStr">
        <is>
          <t>2024-06-20</t>
        </is>
      </c>
      <c r="AD69" t="inlineStr">
        <is>
          <t>2024-06-20 13:00:00</t>
        </is>
      </c>
      <c r="AE69" t="inlineStr">
        <is>
          <t>2024-06-21 01:00:00</t>
        </is>
      </c>
      <c r="AF69" t="inlineStr">
        <is>
          <t>2024-06-23 10:00:00</t>
        </is>
      </c>
      <c r="AG69" t="inlineStr">
        <is>
          <t>2024-06-23 10:00:00</t>
        </is>
      </c>
      <c r="AH69" t="inlineStr">
        <is>
          <t>2024-06-24 02:00:00</t>
        </is>
      </c>
      <c r="AI69" t="inlineStr">
        <is>
          <t>2024-06-26 00:00:00</t>
        </is>
      </c>
      <c r="AJ69" t="inlineStr">
        <is>
          <t>2024-06-26 12:00:00</t>
        </is>
      </c>
      <c r="AK69" t="inlineStr">
        <is>
          <t>2024-06-26 18:00:00</t>
        </is>
      </c>
      <c r="AL69" t="inlineStr">
        <is>
          <t>2024-06-28 13:00:00</t>
        </is>
      </c>
      <c r="AM69" t="inlineStr">
        <is>
          <t>2024-06-28 13:00:00</t>
        </is>
      </c>
      <c r="AN69" t="inlineStr">
        <is>
          <t>2024-07-04</t>
        </is>
      </c>
      <c r="AO69" t="n">
        <v>2</v>
      </c>
      <c r="AP69" t="inlineStr">
        <is>
          <t>2024-07-07 13:00:00</t>
        </is>
      </c>
      <c r="AQ69" t="inlineStr">
        <is>
          <t>2024-07-09 13:00:00</t>
        </is>
      </c>
      <c r="AR69" t="inlineStr">
        <is>
          <t>Done</t>
        </is>
      </c>
      <c r="AS69" t="n">
        <v>7</v>
      </c>
      <c r="AT69" t="n">
        <v>12</v>
      </c>
      <c r="AU69" t="n">
        <v>57</v>
      </c>
      <c r="AV69" t="n">
        <v>16</v>
      </c>
      <c r="AW69" t="n">
        <v>46</v>
      </c>
      <c r="AX69" t="inlineStr">
        <is>
          <t>[{"state": "Open", "timestamp": "2024-06-20T00:00:00"}, {"state": "Triage", "timestamp": "2024-06-20T13:00:00"}]</t>
        </is>
      </c>
      <c r="AY69" t="n">
        <v>1</v>
      </c>
      <c r="AZ69" t="n">
        <v>7</v>
      </c>
      <c r="BA69" t="n">
        <v>3</v>
      </c>
      <c r="BB69" t="n">
        <v>2.182019820954198</v>
      </c>
      <c r="BC69" t="n">
        <v>38.54328817243908</v>
      </c>
      <c r="BD69" t="n">
        <v>11.68203881840408</v>
      </c>
      <c r="BE69" t="n">
        <v>13.99095834250613</v>
      </c>
      <c r="BF69" t="n">
        <v>1.635180638977438</v>
      </c>
      <c r="BG69" t="n">
        <v>68.0334857932809</v>
      </c>
      <c r="BH69" t="n">
        <v>64.43482384433464</v>
      </c>
      <c r="BI69" t="n">
        <v>205</v>
      </c>
      <c r="BJ69" t="n">
        <v>123</v>
      </c>
      <c r="BK69" t="n">
        <v>25</v>
      </c>
      <c r="BL69" t="n">
        <v>115</v>
      </c>
      <c r="BM69" t="n">
        <v>16</v>
      </c>
      <c r="BN69" t="n">
        <v>553.7707912741434</v>
      </c>
      <c r="BO69" t="inlineStr">
        <is>
          <t>Testing</t>
        </is>
      </c>
      <c r="BP69" t="inlineStr">
        <is>
          <t>By Design</t>
        </is>
      </c>
      <c r="BQ69" t="inlineStr">
        <is>
          <t>Cannot Reproduce</t>
        </is>
      </c>
      <c r="BR69" t="inlineStr">
        <is>
          <t>TC-9797</t>
        </is>
      </c>
      <c r="BS69" t="b">
        <v>0</v>
      </c>
      <c r="BT69" t="n">
        <v/>
      </c>
      <c r="BU69" t="n">
        <v>2</v>
      </c>
      <c r="BV69" t="n">
        <v>1</v>
      </c>
    </row>
    <row r="70">
      <c r="A70" t="n">
        <v>192540</v>
      </c>
      <c r="B70" t="inlineStr">
        <is>
          <t>تکرار چرخه امضا بین اعضای کمیته اول و دوم و عدم ارسال به نفر سوم</t>
        </is>
      </c>
      <c r="C70" t="inlineStr">
        <is>
          <t>تکمیل توضیحات: تکرار چرخه امضا بین اعضای کمیته اول و دوم و عدم ار...</t>
        </is>
      </c>
      <c r="D70" t="inlineStr">
        <is>
          <t>Critical</t>
        </is>
      </c>
      <c r="E70" t="inlineStr">
        <is>
          <t>P0</t>
        </is>
      </c>
      <c r="F70" t="inlineStr">
        <is>
          <t>In Progress</t>
        </is>
      </c>
      <c r="G70" t="inlineStr">
        <is>
          <t>Security</t>
        </is>
      </c>
      <c r="H70" t="b">
        <v>1</v>
      </c>
      <c r="I70" t="b">
        <v>0</v>
      </c>
      <c r="J70" t="inlineStr">
        <is>
          <t>PRJ-001</t>
        </is>
      </c>
      <c r="K70" t="inlineStr">
        <is>
          <t>Dem System</t>
        </is>
      </c>
      <c r="L70" t="inlineStr">
        <is>
          <t>Team Alpha</t>
        </is>
      </c>
      <c r="M70" t="inlineStr">
        <is>
          <t>T01</t>
        </is>
      </c>
      <c r="N70" t="inlineStr">
        <is>
          <t>M09</t>
        </is>
      </c>
      <c r="O70" t="inlineStr">
        <is>
          <t>Dem\DemBiz\SP_88</t>
        </is>
      </c>
      <c r="P70" t="inlineStr">
        <is>
          <t>Sprint 25</t>
        </is>
      </c>
      <c r="Q70" t="inlineStr">
        <is>
          <t>S25</t>
        </is>
      </c>
      <c r="R70" t="inlineStr">
        <is>
          <t>Security;Critical</t>
        </is>
      </c>
      <c r="S70" t="n">
        <v/>
      </c>
      <c r="T70" t="inlineStr">
        <is>
          <t>کامنت 3 مورد</t>
        </is>
      </c>
      <c r="U70" t="inlineStr">
        <is>
          <t>Mohammad Safari</t>
        </is>
      </c>
      <c r="V70" t="inlineStr">
        <is>
          <t>U093</t>
        </is>
      </c>
      <c r="W70" t="inlineStr">
        <is>
          <t>Mohammad Safari</t>
        </is>
      </c>
      <c r="X70" t="inlineStr">
        <is>
          <t>U093</t>
        </is>
      </c>
      <c r="Y70" t="n">
        <v/>
      </c>
      <c r="Z70" t="n">
        <v/>
      </c>
      <c r="AA70" t="n">
        <v/>
      </c>
      <c r="AB70" t="n">
        <v/>
      </c>
      <c r="AC70" t="inlineStr">
        <is>
          <t>2024-06-19</t>
        </is>
      </c>
      <c r="AD70" t="inlineStr">
        <is>
          <t>2024-06-20 03:00:00</t>
        </is>
      </c>
      <c r="AE70" t="inlineStr">
        <is>
          <t>2024-06-20 14:00:00</t>
        </is>
      </c>
      <c r="AF70" t="inlineStr">
        <is>
          <t>2024-06-22 19:00:00</t>
        </is>
      </c>
      <c r="AG70" t="inlineStr">
        <is>
          <t>2024-06-22 19:00:00</t>
        </is>
      </c>
      <c r="AH70" t="n">
        <v/>
      </c>
      <c r="AI70" t="n">
        <v/>
      </c>
      <c r="AJ70" t="n">
        <v/>
      </c>
      <c r="AK70" t="n">
        <v/>
      </c>
      <c r="AL70" t="n">
        <v/>
      </c>
      <c r="AM70" t="inlineStr">
        <is>
          <t>2024-06-22 19:00:00</t>
        </is>
      </c>
      <c r="AN70" t="inlineStr">
        <is>
          <t>2024-08-09</t>
        </is>
      </c>
      <c r="AO70" t="n">
        <v>0</v>
      </c>
      <c r="AP70" t="n">
        <v/>
      </c>
      <c r="AQ70" t="n">
        <v/>
      </c>
      <c r="AR70" t="inlineStr">
        <is>
          <t>Active</t>
        </is>
      </c>
      <c r="AS70" t="n">
        <v>6</v>
      </c>
      <c r="AT70" t="n">
        <v>11</v>
      </c>
      <c r="AU70" t="n">
        <v>53</v>
      </c>
      <c r="AV70" t="n">
        <v/>
      </c>
      <c r="AW70" t="n">
        <v/>
      </c>
      <c r="AX70" t="inlineStr">
        <is>
          <t>[{"state": "Open", "timestamp": "2024-06-19T00:00:00"}, {"state": "Triage", "timestamp": "2024-06-20T03:00:00"}]</t>
        </is>
      </c>
      <c r="AY70" t="n">
        <v>3</v>
      </c>
      <c r="AZ70" t="n">
        <v>8</v>
      </c>
      <c r="BA70" t="n">
        <v>1</v>
      </c>
      <c r="BB70" t="n">
        <v>5.841344160106519</v>
      </c>
      <c r="BC70" t="n">
        <v>33.60322469997602</v>
      </c>
      <c r="BD70" t="n">
        <v>12.82082563731108</v>
      </c>
      <c r="BE70" t="n">
        <v>1.678280051592841</v>
      </c>
      <c r="BF70" t="n">
        <v>0</v>
      </c>
      <c r="BG70" t="n">
        <v>53.94367454898647</v>
      </c>
      <c r="BH70" t="n">
        <v>49.05211392280918</v>
      </c>
      <c r="BI70" t="n">
        <v/>
      </c>
      <c r="BJ70" t="n">
        <v/>
      </c>
      <c r="BK70" t="n">
        <v>38</v>
      </c>
      <c r="BL70" t="n">
        <v>64</v>
      </c>
      <c r="BM70" t="n">
        <v>0</v>
      </c>
      <c r="BN70" t="n">
        <v>554.7707912742477</v>
      </c>
      <c r="BO70" t="n">
        <v/>
      </c>
      <c r="BP70" t="n">
        <v/>
      </c>
      <c r="BQ70" t="n">
        <v/>
      </c>
      <c r="BR70" t="n">
        <v/>
      </c>
      <c r="BS70" t="b">
        <v>0</v>
      </c>
      <c r="BT70" t="n">
        <v/>
      </c>
      <c r="BU70" t="n">
        <v>0</v>
      </c>
      <c r="BV70" t="n">
        <v>0</v>
      </c>
    </row>
    <row r="71">
      <c r="A71" t="n">
        <v>186773</v>
      </c>
      <c r="B71" t="inlineStr">
        <is>
          <t>لینک ویرایش عقد ، در فرم درخواست، دیتا راذخیره نمیکند وخالی نمایش می هد</t>
        </is>
      </c>
      <c r="C71" t="inlineStr">
        <is>
          <t>تکمیل توضیحات: لینک ویرایش عقد ، در فرم درخواست، دیتا راذخیره نمی...</t>
        </is>
      </c>
      <c r="D71" t="inlineStr">
        <is>
          <t>Low</t>
        </is>
      </c>
      <c r="E71" t="inlineStr">
        <is>
          <t>P2</t>
        </is>
      </c>
      <c r="F71" t="inlineStr">
        <is>
          <t>In Progress</t>
        </is>
      </c>
      <c r="G71" t="inlineStr">
        <is>
          <t>Backend</t>
        </is>
      </c>
      <c r="H71" t="b">
        <v>0</v>
      </c>
      <c r="I71" t="b">
        <v>0</v>
      </c>
      <c r="J71" t="inlineStr">
        <is>
          <t>PRJ-001</t>
        </is>
      </c>
      <c r="K71" t="inlineStr">
        <is>
          <t>Dem System</t>
        </is>
      </c>
      <c r="L71" t="inlineStr">
        <is>
          <t>Team Beta</t>
        </is>
      </c>
      <c r="M71" t="inlineStr">
        <is>
          <t>T02</t>
        </is>
      </c>
      <c r="N71" t="inlineStr">
        <is>
          <t>M09</t>
        </is>
      </c>
      <c r="O71" t="inlineStr">
        <is>
          <t>Dem\DemBiz\SP_88</t>
        </is>
      </c>
      <c r="P71" t="inlineStr">
        <is>
          <t>Sprint 26</t>
        </is>
      </c>
      <c r="Q71" t="inlineStr">
        <is>
          <t>S26</t>
        </is>
      </c>
      <c r="R71" t="inlineStr">
        <is>
          <t>Backend;Low</t>
        </is>
      </c>
      <c r="S71" t="inlineStr">
        <is>
          <t>EXT-186773</t>
        </is>
      </c>
      <c r="T71" t="inlineStr">
        <is>
          <t>کامنت 5 مورد</t>
        </is>
      </c>
      <c r="U71" t="inlineStr">
        <is>
          <t>Fateme Akbari</t>
        </is>
      </c>
      <c r="V71" t="inlineStr">
        <is>
          <t>U511</t>
        </is>
      </c>
      <c r="W71" t="inlineStr">
        <is>
          <t>Sara Ahmadi</t>
        </is>
      </c>
      <c r="X71" t="inlineStr">
        <is>
          <t>U091</t>
        </is>
      </c>
      <c r="Y71" t="n">
        <v/>
      </c>
      <c r="Z71" t="n">
        <v/>
      </c>
      <c r="AA71" t="n">
        <v/>
      </c>
      <c r="AB71" t="n">
        <v/>
      </c>
      <c r="AC71" t="inlineStr">
        <is>
          <t>2024-03-16</t>
        </is>
      </c>
      <c r="AD71" t="inlineStr">
        <is>
          <t>2024-03-17 12:00:00</t>
        </is>
      </c>
      <c r="AE71" t="inlineStr">
        <is>
          <t>2024-03-17 17:00:00</t>
        </is>
      </c>
      <c r="AF71" t="inlineStr">
        <is>
          <t>2024-03-18 19:00:00</t>
        </is>
      </c>
      <c r="AG71" t="inlineStr">
        <is>
          <t>2024-03-18 19:00:00</t>
        </is>
      </c>
      <c r="AH71" t="n">
        <v/>
      </c>
      <c r="AI71" t="n">
        <v/>
      </c>
      <c r="AJ71" t="n">
        <v/>
      </c>
      <c r="AK71" t="n">
        <v/>
      </c>
      <c r="AL71" t="n">
        <v/>
      </c>
      <c r="AM71" t="inlineStr">
        <is>
          <t>2024-03-18 19:00:00</t>
        </is>
      </c>
      <c r="AN71" t="inlineStr">
        <is>
          <t>2024-04-18</t>
        </is>
      </c>
      <c r="AO71" t="n">
        <v>0</v>
      </c>
      <c r="AP71" t="n">
        <v/>
      </c>
      <c r="AQ71" t="n">
        <v/>
      </c>
      <c r="AR71" t="inlineStr">
        <is>
          <t>Active</t>
        </is>
      </c>
      <c r="AS71" t="n">
        <v>4</v>
      </c>
      <c r="AT71" t="n">
        <v>5</v>
      </c>
      <c r="AU71" t="n">
        <v>26</v>
      </c>
      <c r="AV71" t="n">
        <v/>
      </c>
      <c r="AW71" t="n">
        <v/>
      </c>
      <c r="AX71" t="inlineStr">
        <is>
          <t>[{"state": "Open", "timestamp": "2024-03-16T00:00:00"}, {"state": "Triage", "timestamp": "2024-03-17T12:00:00"}]</t>
        </is>
      </c>
      <c r="AY71" t="n">
        <v>3</v>
      </c>
      <c r="AZ71" t="n">
        <v>5</v>
      </c>
      <c r="BA71" t="n">
        <v>1</v>
      </c>
      <c r="BB71" t="n">
        <v>2.279368156226</v>
      </c>
      <c r="BC71" t="n">
        <v>28.14299403765422</v>
      </c>
      <c r="BD71" t="n">
        <v>9.244687678577236</v>
      </c>
      <c r="BE71" t="n">
        <v>1.39550461745878</v>
      </c>
      <c r="BF71" t="n">
        <v>0</v>
      </c>
      <c r="BG71" t="n">
        <v>41.06255448991624</v>
      </c>
      <c r="BH71" t="n">
        <v>51.64509282432631</v>
      </c>
      <c r="BI71" t="n">
        <v/>
      </c>
      <c r="BJ71" t="n">
        <v/>
      </c>
      <c r="BK71" t="n">
        <v>41</v>
      </c>
      <c r="BL71" t="n">
        <v>31</v>
      </c>
      <c r="BM71" t="n">
        <v>0</v>
      </c>
      <c r="BN71" t="n">
        <v>649.7707912743634</v>
      </c>
      <c r="BO71" t="n">
        <v/>
      </c>
      <c r="BP71" t="n">
        <v/>
      </c>
      <c r="BQ71" t="n">
        <v/>
      </c>
      <c r="BR71" t="n">
        <v/>
      </c>
      <c r="BS71" t="b">
        <v>0</v>
      </c>
      <c r="BT71" t="n">
        <v/>
      </c>
      <c r="BU71" t="n">
        <v>0</v>
      </c>
      <c r="BV71" t="n">
        <v>0</v>
      </c>
    </row>
    <row r="72">
      <c r="A72" t="n">
        <v>192537</v>
      </c>
      <c r="B72" t="inlineStr">
        <is>
          <t>با بازگشت سند از مشاهده/ ابلاغیه به کارشناس منطقه،گزارشات پیغام خطا در فرایند می دهد</t>
        </is>
      </c>
      <c r="C72" t="inlineStr">
        <is>
          <t>تکمیل توضیحات: با بازگشت سند از مشاهده/ ابلاغیه به کارشناس منطقه،...</t>
        </is>
      </c>
      <c r="D72" t="inlineStr">
        <is>
          <t>Low</t>
        </is>
      </c>
      <c r="E72" t="inlineStr">
        <is>
          <t>P2</t>
        </is>
      </c>
      <c r="F72" t="inlineStr">
        <is>
          <t>Closed</t>
        </is>
      </c>
      <c r="G72" t="inlineStr">
        <is>
          <t>Security</t>
        </is>
      </c>
      <c r="H72" t="b">
        <v>0</v>
      </c>
      <c r="I72" t="b">
        <v>0</v>
      </c>
      <c r="J72" t="inlineStr">
        <is>
          <t>PRJ-001</t>
        </is>
      </c>
      <c r="K72" t="inlineStr">
        <is>
          <t>Dem System</t>
        </is>
      </c>
      <c r="L72" t="inlineStr">
        <is>
          <t>Team Alpha</t>
        </is>
      </c>
      <c r="M72" t="inlineStr">
        <is>
          <t>T01</t>
        </is>
      </c>
      <c r="N72" t="inlineStr">
        <is>
          <t>M09</t>
        </is>
      </c>
      <c r="O72" t="inlineStr">
        <is>
          <t>Dem\DemBiz\SP_88</t>
        </is>
      </c>
      <c r="P72" t="inlineStr">
        <is>
          <t>Sprint 23</t>
        </is>
      </c>
      <c r="Q72" t="inlineStr">
        <is>
          <t>S23</t>
        </is>
      </c>
      <c r="R72" t="inlineStr">
        <is>
          <t>Security;Low</t>
        </is>
      </c>
      <c r="S72" t="inlineStr">
        <is>
          <t>EXT-192537</t>
        </is>
      </c>
      <c r="T72" t="inlineStr">
        <is>
          <t>کامنت 5 مورد</t>
        </is>
      </c>
      <c r="U72" t="inlineStr">
        <is>
          <t>Zahra Ebrahimi</t>
        </is>
      </c>
      <c r="V72" t="inlineStr">
        <is>
          <t>U002</t>
        </is>
      </c>
      <c r="W72" t="inlineStr">
        <is>
          <t>Zahra Ebrahimi</t>
        </is>
      </c>
      <c r="X72" t="inlineStr">
        <is>
          <t>U002</t>
        </is>
      </c>
      <c r="Y72" t="inlineStr">
        <is>
          <t>Sara Ahmadi</t>
        </is>
      </c>
      <c r="Z72" t="inlineStr">
        <is>
          <t>U091</t>
        </is>
      </c>
      <c r="AA72" t="inlineStr">
        <is>
          <t>Zahra Ebrahimi</t>
        </is>
      </c>
      <c r="AB72" t="inlineStr">
        <is>
          <t>U002</t>
        </is>
      </c>
      <c r="AC72" t="inlineStr">
        <is>
          <t>2024-06-19</t>
        </is>
      </c>
      <c r="AD72" t="inlineStr">
        <is>
          <t>2024-06-20 01:00:00</t>
        </is>
      </c>
      <c r="AE72" t="inlineStr">
        <is>
          <t>2024-06-20 23:00:00</t>
        </is>
      </c>
      <c r="AF72" t="inlineStr">
        <is>
          <t>2024-06-21 23:00:00</t>
        </is>
      </c>
      <c r="AG72" t="inlineStr">
        <is>
          <t>2024-06-21 23:00:00</t>
        </is>
      </c>
      <c r="AH72" t="inlineStr">
        <is>
          <t>2024-06-25 13:00:00</t>
        </is>
      </c>
      <c r="AI72" t="inlineStr">
        <is>
          <t>2024-06-27 05:00:00</t>
        </is>
      </c>
      <c r="AJ72" t="inlineStr">
        <is>
          <t>2024-06-27 16:00:00</t>
        </is>
      </c>
      <c r="AK72" t="inlineStr">
        <is>
          <t>2024-06-27 23:00:00</t>
        </is>
      </c>
      <c r="AL72" t="inlineStr">
        <is>
          <t>2024-06-29 11:00:00</t>
        </is>
      </c>
      <c r="AM72" t="inlineStr">
        <is>
          <t>2024-06-29 11:00:00</t>
        </is>
      </c>
      <c r="AN72" t="inlineStr">
        <is>
          <t>2024-08-18</t>
        </is>
      </c>
      <c r="AO72" t="n">
        <v>0</v>
      </c>
      <c r="AP72" t="n">
        <v/>
      </c>
      <c r="AQ72" t="n">
        <v/>
      </c>
      <c r="AR72" t="inlineStr">
        <is>
          <t>Done</t>
        </is>
      </c>
      <c r="AS72" t="n">
        <v>8</v>
      </c>
      <c r="AT72" t="n">
        <v>22</v>
      </c>
      <c r="AU72" t="n">
        <v>24</v>
      </c>
      <c r="AV72" t="n">
        <v>86</v>
      </c>
      <c r="AW72" t="n">
        <v>40</v>
      </c>
      <c r="AX72" t="inlineStr">
        <is>
          <t>[{"state": "Open", "timestamp": "2024-06-19T00:00:00"}, {"state": "Triage", "timestamp": "2024-06-20T01:00:00"}]</t>
        </is>
      </c>
      <c r="AY72" t="n">
        <v>0</v>
      </c>
      <c r="AZ72" t="n">
        <v>8</v>
      </c>
      <c r="BA72" t="n">
        <v>1</v>
      </c>
      <c r="BB72" t="n">
        <v>2.940497736194508</v>
      </c>
      <c r="BC72" t="n">
        <v>16.94916483215653</v>
      </c>
      <c r="BD72" t="n">
        <v>6.217610048112259</v>
      </c>
      <c r="BE72" t="n">
        <v>6.646950503170744</v>
      </c>
      <c r="BF72" t="n">
        <v>0</v>
      </c>
      <c r="BG72" t="n">
        <v>32.75422311963404</v>
      </c>
      <c r="BH72" t="n">
        <v>39.25173222985038</v>
      </c>
      <c r="BI72" t="n">
        <v>251</v>
      </c>
      <c r="BJ72" t="n">
        <v>180</v>
      </c>
      <c r="BK72" t="n">
        <v>47</v>
      </c>
      <c r="BL72" t="n">
        <v>86</v>
      </c>
      <c r="BM72" t="n">
        <v>86</v>
      </c>
      <c r="BN72" t="n">
        <v>554.7707912744676</v>
      </c>
      <c r="BO72" t="inlineStr">
        <is>
          <t>Testing</t>
        </is>
      </c>
      <c r="BP72" t="inlineStr">
        <is>
          <t>Fixed</t>
        </is>
      </c>
      <c r="BQ72" t="inlineStr">
        <is>
          <t>Completed</t>
        </is>
      </c>
      <c r="BR72" t="inlineStr">
        <is>
          <t>TC-5808</t>
        </is>
      </c>
      <c r="BS72" t="b">
        <v>0</v>
      </c>
      <c r="BT72" t="n">
        <v/>
      </c>
      <c r="BU72" t="n">
        <v>2</v>
      </c>
      <c r="BV72" t="n">
        <v>1</v>
      </c>
    </row>
    <row r="73">
      <c r="A73" t="n">
        <v>192523</v>
      </c>
      <c r="B73" t="inlineStr">
        <is>
          <t>ارور هنگام کلیک روی دکمه ذخیره بیرونی پس از ویرایش درخواست</t>
        </is>
      </c>
      <c r="C73" t="inlineStr">
        <is>
          <t>تکمیل توضیحات: ارور هنگام کلیک روی دکمه ذخیره بیرونی پس از ویرایش...</t>
        </is>
      </c>
      <c r="D73" t="inlineStr">
        <is>
          <t>High</t>
        </is>
      </c>
      <c r="E73" t="inlineStr">
        <is>
          <t>P0</t>
        </is>
      </c>
      <c r="F73" t="inlineStr">
        <is>
          <t>Closed</t>
        </is>
      </c>
      <c r="G73" t="inlineStr">
        <is>
          <t>Backend</t>
        </is>
      </c>
      <c r="H73" t="b">
        <v>1</v>
      </c>
      <c r="I73" t="b">
        <v>1</v>
      </c>
      <c r="J73" t="inlineStr">
        <is>
          <t>PRJ-001</t>
        </is>
      </c>
      <c r="K73" t="inlineStr">
        <is>
          <t>Dem System</t>
        </is>
      </c>
      <c r="L73" t="inlineStr">
        <is>
          <t>Team Beta</t>
        </is>
      </c>
      <c r="M73" t="inlineStr">
        <is>
          <t>T02</t>
        </is>
      </c>
      <c r="N73" t="inlineStr">
        <is>
          <t>M09</t>
        </is>
      </c>
      <c r="O73" t="inlineStr">
        <is>
          <t>Dem\DemBiz\SP_88</t>
        </is>
      </c>
      <c r="P73" t="inlineStr">
        <is>
          <t>Sprint 25</t>
        </is>
      </c>
      <c r="Q73" t="inlineStr">
        <is>
          <t>S25</t>
        </is>
      </c>
      <c r="R73" t="inlineStr">
        <is>
          <t>Backend;High</t>
        </is>
      </c>
      <c r="S73" t="n">
        <v/>
      </c>
      <c r="T73" t="inlineStr">
        <is>
          <t>کامنت 2 مورد</t>
        </is>
      </c>
      <c r="U73" t="inlineStr">
        <is>
          <t>Fateme Akbari</t>
        </is>
      </c>
      <c r="V73" t="inlineStr">
        <is>
          <t>U511</t>
        </is>
      </c>
      <c r="W73" t="inlineStr">
        <is>
          <t>Reza Mohammadi</t>
        </is>
      </c>
      <c r="X73" t="inlineStr">
        <is>
          <t>U493</t>
        </is>
      </c>
      <c r="Y73" t="inlineStr">
        <is>
          <t>Reza Mohammadi</t>
        </is>
      </c>
      <c r="Z73" t="inlineStr">
        <is>
          <t>U493</t>
        </is>
      </c>
      <c r="AA73" t="inlineStr">
        <is>
          <t>Hassan Karimi</t>
        </is>
      </c>
      <c r="AB73" t="inlineStr">
        <is>
          <t>U829</t>
        </is>
      </c>
      <c r="AC73" t="inlineStr">
        <is>
          <t>2024-03-18</t>
        </is>
      </c>
      <c r="AD73" t="inlineStr">
        <is>
          <t>2024-03-18 19:00:00</t>
        </is>
      </c>
      <c r="AE73" t="inlineStr">
        <is>
          <t>2024-03-19 02:00:00</t>
        </is>
      </c>
      <c r="AF73" t="inlineStr">
        <is>
          <t>2024-03-21 11:00:00</t>
        </is>
      </c>
      <c r="AG73" t="inlineStr">
        <is>
          <t>2024-03-21 11:00:00</t>
        </is>
      </c>
      <c r="AH73" t="inlineStr">
        <is>
          <t>2024-03-25 23:00:00</t>
        </is>
      </c>
      <c r="AI73" t="inlineStr">
        <is>
          <t>2024-03-27 16:00:00</t>
        </is>
      </c>
      <c r="AJ73" t="inlineStr">
        <is>
          <t>2024-03-28 13:00:00</t>
        </is>
      </c>
      <c r="AK73" t="inlineStr">
        <is>
          <t>2024-03-28 19:00:00</t>
        </is>
      </c>
      <c r="AL73" t="inlineStr">
        <is>
          <t>2024-03-30 01:00:00</t>
        </is>
      </c>
      <c r="AM73" t="inlineStr">
        <is>
          <t>2024-03-30 01:00:00</t>
        </is>
      </c>
      <c r="AN73" t="inlineStr">
        <is>
          <t>2024-04-22</t>
        </is>
      </c>
      <c r="AO73" t="n">
        <v>3</v>
      </c>
      <c r="AP73" t="inlineStr">
        <is>
          <t>2024-04-03 01:00:00</t>
        </is>
      </c>
      <c r="AQ73" t="inlineStr">
        <is>
          <t>2024-04-07 01:00:00</t>
        </is>
      </c>
      <c r="AR73" t="inlineStr">
        <is>
          <t>Done</t>
        </is>
      </c>
      <c r="AS73" t="n">
        <v>8</v>
      </c>
      <c r="AT73" t="n">
        <v>7</v>
      </c>
      <c r="AU73" t="n">
        <v>57</v>
      </c>
      <c r="AV73" t="n">
        <v>108</v>
      </c>
      <c r="AW73" t="n">
        <v>41</v>
      </c>
      <c r="AX73" t="inlineStr">
        <is>
          <t>[{"state": "Open", "timestamp": "2024-03-18T00:00:00"}, {"state": "Triage", "timestamp": "2024-03-18T19:00:00"}]</t>
        </is>
      </c>
      <c r="AY73" t="n">
        <v>4</v>
      </c>
      <c r="AZ73" t="n">
        <v>8</v>
      </c>
      <c r="BA73" t="n">
        <v>4</v>
      </c>
      <c r="BB73" t="n">
        <v>6.098685538385181</v>
      </c>
      <c r="BC73" t="n">
        <v>7.758478482762985</v>
      </c>
      <c r="BD73" t="n">
        <v>6.908958634713361</v>
      </c>
      <c r="BE73" t="n">
        <v>13.15829996172749</v>
      </c>
      <c r="BF73" t="n">
        <v>8.306329444416111</v>
      </c>
      <c r="BG73" t="n">
        <v>42.23075206200514</v>
      </c>
      <c r="BH73" t="n">
        <v>54.01381376191576</v>
      </c>
      <c r="BI73" t="n">
        <v>289</v>
      </c>
      <c r="BJ73" t="n">
        <v>206</v>
      </c>
      <c r="BK73" t="n">
        <v>26</v>
      </c>
      <c r="BL73" t="n">
        <v>105</v>
      </c>
      <c r="BM73" t="n">
        <v>108</v>
      </c>
      <c r="BN73" t="n">
        <v>647.7707912746528</v>
      </c>
      <c r="BO73" t="inlineStr">
        <is>
          <t>Testing</t>
        </is>
      </c>
      <c r="BP73" t="inlineStr">
        <is>
          <t>Fixed</t>
        </is>
      </c>
      <c r="BQ73" t="inlineStr">
        <is>
          <t>Completed</t>
        </is>
      </c>
      <c r="BR73" t="inlineStr">
        <is>
          <t>TC-8433</t>
        </is>
      </c>
      <c r="BS73" t="b">
        <v>0</v>
      </c>
      <c r="BT73" t="n">
        <v/>
      </c>
      <c r="BU73" t="n">
        <v>1</v>
      </c>
      <c r="BV73" t="n">
        <v>1</v>
      </c>
    </row>
    <row r="74">
      <c r="A74" t="n">
        <v>190843</v>
      </c>
      <c r="B74" t="inlineStr">
        <is>
          <t>عقد رفاهی-کارت اعتباری&gt;فیلد "نرخ سود" اجباری نیست ولی در صفحه درخواست با کلیک روی دکمه "اتمام ثبت عقود درخواست و بازگشت به پیشنهاد"&gt;به ارور اجباری بودنش میخوریم</t>
        </is>
      </c>
      <c r="C74" t="inlineStr">
        <is>
          <t>تکمیل توضیحات: عقد رفاهی-کارت اعتباری&gt;فیلد "نرخ سود" اجباری نیست ...</t>
        </is>
      </c>
      <c r="D74" t="inlineStr">
        <is>
          <t>Critical</t>
        </is>
      </c>
      <c r="E74" t="inlineStr">
        <is>
          <t>P2</t>
        </is>
      </c>
      <c r="F74" t="inlineStr">
        <is>
          <t>Closed</t>
        </is>
      </c>
      <c r="G74" t="inlineStr">
        <is>
          <t>Backend</t>
        </is>
      </c>
      <c r="H74" t="b">
        <v>1</v>
      </c>
      <c r="I74" t="b">
        <v>0</v>
      </c>
      <c r="J74" t="inlineStr">
        <is>
          <t>PRJ-001</t>
        </is>
      </c>
      <c r="K74" t="inlineStr">
        <is>
          <t>Dem System</t>
        </is>
      </c>
      <c r="L74" t="inlineStr">
        <is>
          <t>Team Alpha</t>
        </is>
      </c>
      <c r="M74" t="inlineStr">
        <is>
          <t>T01</t>
        </is>
      </c>
      <c r="N74" t="inlineStr">
        <is>
          <t>M09</t>
        </is>
      </c>
      <c r="O74" t="inlineStr">
        <is>
          <t>Dem\DemBiz\SP_88</t>
        </is>
      </c>
      <c r="P74" t="inlineStr">
        <is>
          <t>Sprint 23</t>
        </is>
      </c>
      <c r="Q74" t="inlineStr">
        <is>
          <t>S23</t>
        </is>
      </c>
      <c r="R74" t="inlineStr">
        <is>
          <t>Backend;Critical</t>
        </is>
      </c>
      <c r="S74" t="n">
        <v/>
      </c>
      <c r="T74" t="inlineStr">
        <is>
          <t>کامنت 3 مورد</t>
        </is>
      </c>
      <c r="U74" t="inlineStr">
        <is>
          <t>Reza Mohammadi</t>
        </is>
      </c>
      <c r="V74" t="inlineStr">
        <is>
          <t>U493</t>
        </is>
      </c>
      <c r="W74" t="inlineStr">
        <is>
          <t>Mina Hosseini</t>
        </is>
      </c>
      <c r="X74" t="inlineStr">
        <is>
          <t>U860</t>
        </is>
      </c>
      <c r="Y74" t="inlineStr">
        <is>
          <t>Zahra Ebrahimi</t>
        </is>
      </c>
      <c r="Z74" t="inlineStr">
        <is>
          <t>U002</t>
        </is>
      </c>
      <c r="AA74" t="inlineStr">
        <is>
          <t>Ali Rezaei</t>
        </is>
      </c>
      <c r="AB74" t="inlineStr">
        <is>
          <t>U374</t>
        </is>
      </c>
      <c r="AC74" t="inlineStr">
        <is>
          <t>2024-05-01</t>
        </is>
      </c>
      <c r="AD74" t="inlineStr">
        <is>
          <t>2024-05-03 00:00:00</t>
        </is>
      </c>
      <c r="AE74" t="inlineStr">
        <is>
          <t>2024-05-03 06:00:00</t>
        </is>
      </c>
      <c r="AF74" t="inlineStr">
        <is>
          <t>2024-05-03 18:00:00</t>
        </is>
      </c>
      <c r="AG74" t="inlineStr">
        <is>
          <t>2024-05-03 18:00:00</t>
        </is>
      </c>
      <c r="AH74" t="inlineStr">
        <is>
          <t>2024-05-05 14:00:00</t>
        </is>
      </c>
      <c r="AI74" t="inlineStr">
        <is>
          <t>2024-05-07 02:00:00</t>
        </is>
      </c>
      <c r="AJ74" t="inlineStr">
        <is>
          <t>2024-05-08 01:00:00</t>
        </is>
      </c>
      <c r="AK74" t="inlineStr">
        <is>
          <t>2024-05-08 07:00:00</t>
        </is>
      </c>
      <c r="AL74" t="inlineStr">
        <is>
          <t>2024-05-08 13:00:00</t>
        </is>
      </c>
      <c r="AM74" t="inlineStr">
        <is>
          <t>2024-05-08 13:00:00</t>
        </is>
      </c>
      <c r="AN74" t="inlineStr">
        <is>
          <t>2024-06-29</t>
        </is>
      </c>
      <c r="AO74" t="n">
        <v>1</v>
      </c>
      <c r="AP74" t="inlineStr">
        <is>
          <t>2024-05-13 13:00:00</t>
        </is>
      </c>
      <c r="AQ74" t="inlineStr">
        <is>
          <t>2024-05-13 13:00:00</t>
        </is>
      </c>
      <c r="AR74" t="inlineStr">
        <is>
          <t>Done</t>
        </is>
      </c>
      <c r="AS74" t="n">
        <v>7</v>
      </c>
      <c r="AT74" t="n">
        <v>6</v>
      </c>
      <c r="AU74" t="n">
        <v>12</v>
      </c>
      <c r="AV74" t="n">
        <v>44</v>
      </c>
      <c r="AW74" t="n">
        <v>36</v>
      </c>
      <c r="AX74" t="inlineStr">
        <is>
          <t>[{"state": "Open", "timestamp": "2024-05-01T00:00:00"}, {"state": "Triage", "timestamp": "2024-05-03T00:00:00"}]</t>
        </is>
      </c>
      <c r="AY74" t="n">
        <v>4</v>
      </c>
      <c r="AZ74" t="n">
        <v>7</v>
      </c>
      <c r="BA74" t="n">
        <v>2</v>
      </c>
      <c r="BB74" t="n">
        <v>5.37224674285411</v>
      </c>
      <c r="BC74" t="n">
        <v>7.101044664172356</v>
      </c>
      <c r="BD74" t="n">
        <v>13.61410989350225</v>
      </c>
      <c r="BE74" t="n">
        <v>15.80914193972417</v>
      </c>
      <c r="BF74" t="n">
        <v>8.062012797930613</v>
      </c>
      <c r="BG74" t="n">
        <v>49.9585560381835</v>
      </c>
      <c r="BH74" t="n">
        <v>38.69681510966437</v>
      </c>
      <c r="BI74" t="n">
        <v>181</v>
      </c>
      <c r="BJ74" t="n">
        <v>115</v>
      </c>
      <c r="BK74" t="n">
        <v>54</v>
      </c>
      <c r="BL74" t="n">
        <v>54</v>
      </c>
      <c r="BM74" t="n">
        <v>44</v>
      </c>
      <c r="BN74" t="n">
        <v>603.7707912747685</v>
      </c>
      <c r="BO74" t="inlineStr">
        <is>
          <t>Data</t>
        </is>
      </c>
      <c r="BP74" t="inlineStr">
        <is>
          <t>By Design</t>
        </is>
      </c>
      <c r="BQ74" t="inlineStr">
        <is>
          <t>Completed</t>
        </is>
      </c>
      <c r="BR74" t="inlineStr">
        <is>
          <t>TC-5315</t>
        </is>
      </c>
      <c r="BS74" t="b">
        <v>0</v>
      </c>
      <c r="BT74" t="n">
        <v/>
      </c>
      <c r="BU74" t="n">
        <v>1</v>
      </c>
      <c r="BV74" t="n">
        <v>2</v>
      </c>
    </row>
    <row r="75">
      <c r="A75" t="n">
        <v>191645</v>
      </c>
      <c r="B75" t="inlineStr">
        <is>
          <t>در فرم ثبت اطلاعات شرکا، فیلد کد ملی اجباری نیست و منجر به عدم اضافه شدن شخص به لیست می‌شود</t>
        </is>
      </c>
      <c r="C75" t="inlineStr">
        <is>
          <t>تکمیل توضیحات: در فرم ثبت اطلاعات شرکا، فیلد کد ملی اجباری نیست و...</t>
        </is>
      </c>
      <c r="D75" t="inlineStr">
        <is>
          <t>Low</t>
        </is>
      </c>
      <c r="E75" t="inlineStr">
        <is>
          <t>P1</t>
        </is>
      </c>
      <c r="F75" t="inlineStr">
        <is>
          <t>Closed</t>
        </is>
      </c>
      <c r="G75" t="inlineStr">
        <is>
          <t>Performance</t>
        </is>
      </c>
      <c r="H75" t="b">
        <v>0</v>
      </c>
      <c r="I75" t="b">
        <v>0</v>
      </c>
      <c r="J75" t="inlineStr">
        <is>
          <t>PRJ-001</t>
        </is>
      </c>
      <c r="K75" t="inlineStr">
        <is>
          <t>Dem System</t>
        </is>
      </c>
      <c r="L75" t="inlineStr">
        <is>
          <t>Team Alpha</t>
        </is>
      </c>
      <c r="M75" t="inlineStr">
        <is>
          <t>T01</t>
        </is>
      </c>
      <c r="N75" t="inlineStr">
        <is>
          <t>M09</t>
        </is>
      </c>
      <c r="O75" t="inlineStr">
        <is>
          <t>Dem\DemBiz\SP_88</t>
        </is>
      </c>
      <c r="P75" t="inlineStr">
        <is>
          <t>Sprint 24</t>
        </is>
      </c>
      <c r="Q75" t="inlineStr">
        <is>
          <t>S24</t>
        </is>
      </c>
      <c r="R75" t="inlineStr">
        <is>
          <t>Performance;Low</t>
        </is>
      </c>
      <c r="S75" t="n">
        <v/>
      </c>
      <c r="T75" t="inlineStr">
        <is>
          <t>کامنت 4 مورد</t>
        </is>
      </c>
      <c r="U75" t="inlineStr">
        <is>
          <t>Hassan Karimi</t>
        </is>
      </c>
      <c r="V75" t="inlineStr">
        <is>
          <t>U829</t>
        </is>
      </c>
      <c r="W75" t="inlineStr">
        <is>
          <t>Sara Ahmadi</t>
        </is>
      </c>
      <c r="X75" t="inlineStr">
        <is>
          <t>U091</t>
        </is>
      </c>
      <c r="Y75" t="inlineStr">
        <is>
          <t>Sara Ahmadi</t>
        </is>
      </c>
      <c r="Z75" t="inlineStr">
        <is>
          <t>U091</t>
        </is>
      </c>
      <c r="AA75" t="inlineStr">
        <is>
          <t>Hassan Karimi</t>
        </is>
      </c>
      <c r="AB75" t="inlineStr">
        <is>
          <t>U829</t>
        </is>
      </c>
      <c r="AC75" t="inlineStr">
        <is>
          <t>2024-02-27</t>
        </is>
      </c>
      <c r="AD75" t="inlineStr">
        <is>
          <t>2024-02-27 13:00:00</t>
        </is>
      </c>
      <c r="AE75" t="inlineStr">
        <is>
          <t>2024-02-27 18:00:00</t>
        </is>
      </c>
      <c r="AF75" t="inlineStr">
        <is>
          <t>2024-02-27 23:00:00</t>
        </is>
      </c>
      <c r="AG75" t="inlineStr">
        <is>
          <t>2024-02-27 23:00:00</t>
        </is>
      </c>
      <c r="AH75" t="inlineStr">
        <is>
          <t>2024-02-28 12:00:00</t>
        </is>
      </c>
      <c r="AI75" t="inlineStr">
        <is>
          <t>2024-02-29 07:00:00</t>
        </is>
      </c>
      <c r="AJ75" t="inlineStr">
        <is>
          <t>2024-03-01 00:00:00</t>
        </is>
      </c>
      <c r="AK75" t="inlineStr">
        <is>
          <t>2024-03-01 02:00:00</t>
        </is>
      </c>
      <c r="AL75" t="inlineStr">
        <is>
          <t>2024-03-02 08:00:00</t>
        </is>
      </c>
      <c r="AM75" t="inlineStr">
        <is>
          <t>2024-03-02 08:00:00</t>
        </is>
      </c>
      <c r="AN75" t="inlineStr">
        <is>
          <t>2024-03-31</t>
        </is>
      </c>
      <c r="AO75" t="n">
        <v>1</v>
      </c>
      <c r="AP75" t="inlineStr">
        <is>
          <t>2024-03-09 08:00:00</t>
        </is>
      </c>
      <c r="AQ75" t="inlineStr">
        <is>
          <t>2024-03-09 08:00:00</t>
        </is>
      </c>
      <c r="AR75" t="inlineStr">
        <is>
          <t>Done</t>
        </is>
      </c>
      <c r="AS75" t="n">
        <v>8</v>
      </c>
      <c r="AT75" t="n">
        <v>5</v>
      </c>
      <c r="AU75" t="n">
        <v>5</v>
      </c>
      <c r="AV75" t="n">
        <v>13</v>
      </c>
      <c r="AW75" t="n">
        <v>19</v>
      </c>
      <c r="AX75" t="inlineStr">
        <is>
          <t>[{"state": "Open", "timestamp": "2024-02-27T00:00:00"}, {"state": "Triage", "timestamp": "2024-02-27T13:00:00"}]</t>
        </is>
      </c>
      <c r="AY75" t="n">
        <v>1</v>
      </c>
      <c r="AZ75" t="n">
        <v>10</v>
      </c>
      <c r="BA75" t="n">
        <v>2</v>
      </c>
      <c r="BB75" t="n">
        <v>6.869175578706335</v>
      </c>
      <c r="BC75" t="n">
        <v>10.75947302841922</v>
      </c>
      <c r="BD75" t="n">
        <v>15.17130332403476</v>
      </c>
      <c r="BE75" t="n">
        <v>3.256253366552923</v>
      </c>
      <c r="BF75" t="n">
        <v>7.482596903836583</v>
      </c>
      <c r="BG75" t="n">
        <v>43.53880220154981</v>
      </c>
      <c r="BH75" t="n">
        <v>49.56981820414742</v>
      </c>
      <c r="BI75" t="n">
        <v>104</v>
      </c>
      <c r="BJ75" t="n">
        <v>81</v>
      </c>
      <c r="BK75" t="n">
        <v>18</v>
      </c>
      <c r="BL75" t="n">
        <v>29</v>
      </c>
      <c r="BM75" t="n">
        <v>13</v>
      </c>
      <c r="BN75" t="n">
        <v>667.7707912748842</v>
      </c>
      <c r="BO75" t="inlineStr">
        <is>
          <t>Data</t>
        </is>
      </c>
      <c r="BP75" t="inlineStr">
        <is>
          <t>Fixed</t>
        </is>
      </c>
      <c r="BQ75" t="inlineStr">
        <is>
          <t>Cannot Reproduce</t>
        </is>
      </c>
      <c r="BR75" t="n">
        <v/>
      </c>
      <c r="BS75" t="b">
        <v>0</v>
      </c>
      <c r="BT75" t="n">
        <v/>
      </c>
      <c r="BU75" t="n">
        <v>1</v>
      </c>
      <c r="BV75" t="n">
        <v>2</v>
      </c>
    </row>
    <row r="76">
      <c r="A76" t="n">
        <v>155286</v>
      </c>
      <c r="B76" t="inlineStr">
        <is>
          <t>ویرایش اطلاعات مشتری / لینک مجوزات پس از ثبت مجوز، دیتا پاک میشود</t>
        </is>
      </c>
      <c r="C76" t="inlineStr">
        <is>
          <t>تکمیل توضیحات: ویرایش اطلاعات مشتری / لینک مجوزات پس از ثبت مجوز،...</t>
        </is>
      </c>
      <c r="D76" t="inlineStr">
        <is>
          <t>Medium</t>
        </is>
      </c>
      <c r="E76" t="inlineStr">
        <is>
          <t>P2</t>
        </is>
      </c>
      <c r="F76" t="inlineStr">
        <is>
          <t>Resolved</t>
        </is>
      </c>
      <c r="G76" t="inlineStr">
        <is>
          <t>Backend</t>
        </is>
      </c>
      <c r="H76" t="b">
        <v>0</v>
      </c>
      <c r="I76" t="b">
        <v>0</v>
      </c>
      <c r="J76" t="inlineStr">
        <is>
          <t>PRJ-001</t>
        </is>
      </c>
      <c r="K76" t="inlineStr">
        <is>
          <t>Dem System</t>
        </is>
      </c>
      <c r="L76" t="inlineStr">
        <is>
          <t>Team Alpha</t>
        </is>
      </c>
      <c r="M76" t="inlineStr">
        <is>
          <t>T01</t>
        </is>
      </c>
      <c r="N76" t="inlineStr">
        <is>
          <t>M09</t>
        </is>
      </c>
      <c r="O76" t="inlineStr">
        <is>
          <t>Dem\DemBiz\SP_88</t>
        </is>
      </c>
      <c r="P76" t="inlineStr">
        <is>
          <t>Sprint 25</t>
        </is>
      </c>
      <c r="Q76" t="inlineStr">
        <is>
          <t>S25</t>
        </is>
      </c>
      <c r="R76" t="inlineStr">
        <is>
          <t>Backend;Medium</t>
        </is>
      </c>
      <c r="S76" t="n">
        <v/>
      </c>
      <c r="T76" t="inlineStr">
        <is>
          <t>کامنت 3 مورد</t>
        </is>
      </c>
      <c r="U76" t="inlineStr">
        <is>
          <t>Zahra Ebrahimi</t>
        </is>
      </c>
      <c r="V76" t="inlineStr">
        <is>
          <t>U002</t>
        </is>
      </c>
      <c r="W76" t="inlineStr">
        <is>
          <t>Hassan Karimi</t>
        </is>
      </c>
      <c r="X76" t="inlineStr">
        <is>
          <t>U829</t>
        </is>
      </c>
      <c r="Y76" t="inlineStr">
        <is>
          <t>Mohammad Safari</t>
        </is>
      </c>
      <c r="Z76" t="inlineStr">
        <is>
          <t>U093</t>
        </is>
      </c>
      <c r="AA76" t="inlineStr">
        <is>
          <t>Hassan Karimi</t>
        </is>
      </c>
      <c r="AB76" t="inlineStr">
        <is>
          <t>U829</t>
        </is>
      </c>
      <c r="AC76" t="inlineStr">
        <is>
          <t>2024-05-06</t>
        </is>
      </c>
      <c r="AD76" t="inlineStr">
        <is>
          <t>2024-05-07 02:00:00</t>
        </is>
      </c>
      <c r="AE76" t="inlineStr">
        <is>
          <t>2024-05-07 10:00:00</t>
        </is>
      </c>
      <c r="AF76" t="inlineStr">
        <is>
          <t>2024-05-08 06:00:00</t>
        </is>
      </c>
      <c r="AG76" t="inlineStr">
        <is>
          <t>2024-05-08 06:00:00</t>
        </is>
      </c>
      <c r="AH76" t="inlineStr">
        <is>
          <t>2024-05-12 01:00:00</t>
        </is>
      </c>
      <c r="AI76" t="inlineStr">
        <is>
          <t>2024-05-14 01:00:00</t>
        </is>
      </c>
      <c r="AJ76" t="n">
        <v/>
      </c>
      <c r="AK76" t="n">
        <v/>
      </c>
      <c r="AL76" t="n">
        <v/>
      </c>
      <c r="AM76" t="inlineStr">
        <is>
          <t>2024-05-14 01:00:00</t>
        </is>
      </c>
      <c r="AN76" t="inlineStr">
        <is>
          <t>2024-05-13</t>
        </is>
      </c>
      <c r="AO76" t="n">
        <v>0</v>
      </c>
      <c r="AP76" t="n">
        <v/>
      </c>
      <c r="AQ76" t="n">
        <v/>
      </c>
      <c r="AR76" t="inlineStr">
        <is>
          <t>Ready for Retest</t>
        </is>
      </c>
      <c r="AS76" t="n">
        <v>5</v>
      </c>
      <c r="AT76" t="n">
        <v>8</v>
      </c>
      <c r="AU76" t="n">
        <v>20</v>
      </c>
      <c r="AV76" t="n">
        <v>91</v>
      </c>
      <c r="AW76" t="n">
        <v>48</v>
      </c>
      <c r="AX76" t="inlineStr">
        <is>
          <t>[{"state": "Open", "timestamp": "2024-05-06T00:00:00"}, {"state": "Triage", "timestamp": "2024-05-07T02:00:00"}]</t>
        </is>
      </c>
      <c r="AY76" t="n">
        <v>4</v>
      </c>
      <c r="AZ76" t="n">
        <v>7</v>
      </c>
      <c r="BA76" t="n">
        <v>1</v>
      </c>
      <c r="BB76" t="n">
        <v>5.432096692252575</v>
      </c>
      <c r="BC76" t="n">
        <v>22.4198399235387</v>
      </c>
      <c r="BD76" t="n">
        <v>15.93579135265405</v>
      </c>
      <c r="BE76" t="n">
        <v>9.911960730282027</v>
      </c>
      <c r="BF76" t="n">
        <v>0</v>
      </c>
      <c r="BG76" t="n">
        <v>53.69968869872735</v>
      </c>
      <c r="BH76" t="n">
        <v>67.82293634393596</v>
      </c>
      <c r="BI76" t="n">
        <v/>
      </c>
      <c r="BJ76" t="n">
        <v/>
      </c>
      <c r="BK76" t="n">
        <v>34</v>
      </c>
      <c r="BL76" t="n">
        <v>76</v>
      </c>
      <c r="BM76" t="n">
        <v>91</v>
      </c>
      <c r="BN76" t="n">
        <v>598.7707912749884</v>
      </c>
      <c r="BO76" t="inlineStr">
        <is>
          <t>Testing</t>
        </is>
      </c>
      <c r="BP76" t="inlineStr">
        <is>
          <t>Fixed</t>
        </is>
      </c>
      <c r="BQ76" t="n">
        <v/>
      </c>
      <c r="BR76" t="n">
        <v/>
      </c>
      <c r="BS76" t="b">
        <v>0</v>
      </c>
      <c r="BT76" t="n">
        <v/>
      </c>
      <c r="BU76" t="n">
        <v>0</v>
      </c>
      <c r="BV76" t="n">
        <v>2</v>
      </c>
    </row>
    <row r="77">
      <c r="A77" t="n">
        <v>188774</v>
      </c>
      <c r="B77" t="inlineStr">
        <is>
          <t>فرم ثبت درخواست و دریافت اطلاعات از سامانه متمرکز / باگ وب سرویس</t>
        </is>
      </c>
      <c r="C77" t="inlineStr">
        <is>
          <t>تکمیل توضیحات: فرم ثبت درخواست و دریافت اطلاعات از سامانه متمرکز ...</t>
        </is>
      </c>
      <c r="D77" t="inlineStr">
        <is>
          <t>Medium</t>
        </is>
      </c>
      <c r="E77" t="inlineStr">
        <is>
          <t>P1</t>
        </is>
      </c>
      <c r="F77" t="inlineStr">
        <is>
          <t>Resolved</t>
        </is>
      </c>
      <c r="G77" t="inlineStr">
        <is>
          <t>UI</t>
        </is>
      </c>
      <c r="H77" t="b">
        <v>0</v>
      </c>
      <c r="I77" t="b">
        <v>0</v>
      </c>
      <c r="J77" t="inlineStr">
        <is>
          <t>PRJ-001</t>
        </is>
      </c>
      <c r="K77" t="inlineStr">
        <is>
          <t>Dem System</t>
        </is>
      </c>
      <c r="L77" t="inlineStr">
        <is>
          <t>Team Delta</t>
        </is>
      </c>
      <c r="M77" t="inlineStr">
        <is>
          <t>T04</t>
        </is>
      </c>
      <c r="N77" t="inlineStr">
        <is>
          <t>M09</t>
        </is>
      </c>
      <c r="O77" t="inlineStr">
        <is>
          <t>Dem\DemBiz\SP_88</t>
        </is>
      </c>
      <c r="P77" t="inlineStr">
        <is>
          <t>Sprint 24</t>
        </is>
      </c>
      <c r="Q77" t="inlineStr">
        <is>
          <t>S24</t>
        </is>
      </c>
      <c r="R77" t="inlineStr">
        <is>
          <t>UI;Medium</t>
        </is>
      </c>
      <c r="S77" t="n">
        <v/>
      </c>
      <c r="T77" t="inlineStr">
        <is>
          <t>کامنت 0 مورد</t>
        </is>
      </c>
      <c r="U77" t="inlineStr">
        <is>
          <t>Ali Rezaei</t>
        </is>
      </c>
      <c r="V77" t="inlineStr">
        <is>
          <t>U374</t>
        </is>
      </c>
      <c r="W77" t="inlineStr">
        <is>
          <t>Fateme Akbari</t>
        </is>
      </c>
      <c r="X77" t="inlineStr">
        <is>
          <t>U511</t>
        </is>
      </c>
      <c r="Y77" t="inlineStr">
        <is>
          <t>Sara Ahmadi</t>
        </is>
      </c>
      <c r="Z77" t="inlineStr">
        <is>
          <t>U091</t>
        </is>
      </c>
      <c r="AA77" t="inlineStr">
        <is>
          <t>Zahra Ebrahimi</t>
        </is>
      </c>
      <c r="AB77" t="inlineStr">
        <is>
          <t>U002</t>
        </is>
      </c>
      <c r="AC77" t="inlineStr">
        <is>
          <t>2024-01-28</t>
        </is>
      </c>
      <c r="AD77" t="inlineStr">
        <is>
          <t>2024-01-29 04:00:00</t>
        </is>
      </c>
      <c r="AE77" t="inlineStr">
        <is>
          <t>2024-01-29 12:00:00</t>
        </is>
      </c>
      <c r="AF77" t="inlineStr">
        <is>
          <t>2024-01-30 12:00:00</t>
        </is>
      </c>
      <c r="AG77" t="inlineStr">
        <is>
          <t>2024-01-30 12:00:00</t>
        </is>
      </c>
      <c r="AH77" t="inlineStr">
        <is>
          <t>2024-02-04 02:00:00</t>
        </is>
      </c>
      <c r="AI77" t="inlineStr">
        <is>
          <t>2024-02-06 02:00:00</t>
        </is>
      </c>
      <c r="AJ77" t="n">
        <v/>
      </c>
      <c r="AK77" t="n">
        <v/>
      </c>
      <c r="AL77" t="n">
        <v/>
      </c>
      <c r="AM77" t="inlineStr">
        <is>
          <t>2024-02-06 02:00:00</t>
        </is>
      </c>
      <c r="AN77" t="inlineStr">
        <is>
          <t>2024-03-08</t>
        </is>
      </c>
      <c r="AO77" t="n">
        <v>0</v>
      </c>
      <c r="AP77" t="n">
        <v/>
      </c>
      <c r="AQ77" t="n">
        <v/>
      </c>
      <c r="AR77" t="inlineStr">
        <is>
          <t>Ready for Retest</t>
        </is>
      </c>
      <c r="AS77" t="n">
        <v>6</v>
      </c>
      <c r="AT77" t="n">
        <v>8</v>
      </c>
      <c r="AU77" t="n">
        <v>24</v>
      </c>
      <c r="AV77" t="n">
        <v>110</v>
      </c>
      <c r="AW77" t="n">
        <v>48</v>
      </c>
      <c r="AX77" t="inlineStr">
        <is>
          <t>[{"state": "Open", "timestamp": "2024-01-28T00:00:00"}, {"state": "Triage", "timestamp": "2024-01-29T04:00:00"}]</t>
        </is>
      </c>
      <c r="AY77" t="n">
        <v>1</v>
      </c>
      <c r="AZ77" t="n">
        <v>7</v>
      </c>
      <c r="BA77" t="n">
        <v>1</v>
      </c>
      <c r="BB77" t="n">
        <v>4.762314525016037</v>
      </c>
      <c r="BC77" t="n">
        <v>28.86924098530243</v>
      </c>
      <c r="BD77" t="n">
        <v>15.8975537844938</v>
      </c>
      <c r="BE77" t="n">
        <v>6.713362849465323</v>
      </c>
      <c r="BF77" t="n">
        <v>0</v>
      </c>
      <c r="BG77" t="n">
        <v>56.24247214427759</v>
      </c>
      <c r="BH77" t="n">
        <v>45.48552790626081</v>
      </c>
      <c r="BI77" t="n">
        <v/>
      </c>
      <c r="BJ77" t="n">
        <v/>
      </c>
      <c r="BK77" t="n">
        <v>36</v>
      </c>
      <c r="BL77" t="n">
        <v>80</v>
      </c>
      <c r="BM77" t="n">
        <v>110</v>
      </c>
      <c r="BN77" t="n">
        <v>697.7707912750926</v>
      </c>
      <c r="BO77" t="inlineStr">
        <is>
          <t>Coding</t>
        </is>
      </c>
      <c r="BP77" t="inlineStr">
        <is>
          <t>By Design</t>
        </is>
      </c>
      <c r="BQ77" t="n">
        <v/>
      </c>
      <c r="BR77" t="inlineStr">
        <is>
          <t>TC-2743</t>
        </is>
      </c>
      <c r="BS77" t="b">
        <v>0</v>
      </c>
      <c r="BT77" t="n">
        <v/>
      </c>
      <c r="BU77" t="n">
        <v>0</v>
      </c>
      <c r="BV77" t="n">
        <v>2</v>
      </c>
    </row>
    <row r="78">
      <c r="A78" t="n">
        <v>188984</v>
      </c>
      <c r="B78" t="inlineStr">
        <is>
          <t>دکمه امضا در کمیته منطقه ، پیغام علت ارسال به مرجع بالاتر می دهد</t>
        </is>
      </c>
      <c r="C78" t="inlineStr">
        <is>
          <t>تکمیل توضیحات: دکمه امضا در کمیته منطقه ، پیغام علت ارسال به مرجع...</t>
        </is>
      </c>
      <c r="D78" t="inlineStr">
        <is>
          <t>Low</t>
        </is>
      </c>
      <c r="E78" t="inlineStr">
        <is>
          <t>P2</t>
        </is>
      </c>
      <c r="F78" t="inlineStr">
        <is>
          <t>Closed</t>
        </is>
      </c>
      <c r="G78" t="inlineStr">
        <is>
          <t>Data</t>
        </is>
      </c>
      <c r="H78" t="b">
        <v>0</v>
      </c>
      <c r="I78" t="b">
        <v>0</v>
      </c>
      <c r="J78" t="inlineStr">
        <is>
          <t>PRJ-001</t>
        </is>
      </c>
      <c r="K78" t="inlineStr">
        <is>
          <t>Dem System</t>
        </is>
      </c>
      <c r="L78" t="inlineStr">
        <is>
          <t>Team Beta</t>
        </is>
      </c>
      <c r="M78" t="inlineStr">
        <is>
          <t>T02</t>
        </is>
      </c>
      <c r="N78" t="inlineStr">
        <is>
          <t>M09</t>
        </is>
      </c>
      <c r="O78" t="inlineStr">
        <is>
          <t>Dem\DemBiz\SP_88</t>
        </is>
      </c>
      <c r="P78" t="inlineStr">
        <is>
          <t>Sprint 25</t>
        </is>
      </c>
      <c r="Q78" t="inlineStr">
        <is>
          <t>S25</t>
        </is>
      </c>
      <c r="R78" t="inlineStr">
        <is>
          <t>Data;Low</t>
        </is>
      </c>
      <c r="S78" t="n">
        <v/>
      </c>
      <c r="T78" t="inlineStr">
        <is>
          <t>کامنت 1 مورد</t>
        </is>
      </c>
      <c r="U78" t="inlineStr">
        <is>
          <t>Mohammad Safari</t>
        </is>
      </c>
      <c r="V78" t="inlineStr">
        <is>
          <t>U093</t>
        </is>
      </c>
      <c r="W78" t="inlineStr">
        <is>
          <t>Zahra Ebrahimi</t>
        </is>
      </c>
      <c r="X78" t="inlineStr">
        <is>
          <t>U002</t>
        </is>
      </c>
      <c r="Y78" t="inlineStr">
        <is>
          <t>Reza Mohammadi</t>
        </is>
      </c>
      <c r="Z78" t="inlineStr">
        <is>
          <t>U493</t>
        </is>
      </c>
      <c r="AA78" t="inlineStr">
        <is>
          <t>Fateme Akbari</t>
        </is>
      </c>
      <c r="AB78" t="inlineStr">
        <is>
          <t>U511</t>
        </is>
      </c>
      <c r="AC78" t="inlineStr">
        <is>
          <t>2024-04-28</t>
        </is>
      </c>
      <c r="AD78" t="inlineStr">
        <is>
          <t>2024-04-28 04:00:00</t>
        </is>
      </c>
      <c r="AE78" t="inlineStr">
        <is>
          <t>2024-04-28 22:00:00</t>
        </is>
      </c>
      <c r="AF78" t="inlineStr">
        <is>
          <t>2024-04-30 07:00:00</t>
        </is>
      </c>
      <c r="AG78" t="inlineStr">
        <is>
          <t>2024-04-30 07:00:00</t>
        </is>
      </c>
      <c r="AH78" t="inlineStr">
        <is>
          <t>2024-05-05 03:00:00</t>
        </is>
      </c>
      <c r="AI78" t="inlineStr">
        <is>
          <t>2024-05-05 14:00:00</t>
        </is>
      </c>
      <c r="AJ78" t="inlineStr">
        <is>
          <t>2024-05-06 06:00:00</t>
        </is>
      </c>
      <c r="AK78" t="inlineStr">
        <is>
          <t>2024-05-06 09:00:00</t>
        </is>
      </c>
      <c r="AL78" t="inlineStr">
        <is>
          <t>2024-05-07 15:00:00</t>
        </is>
      </c>
      <c r="AM78" t="inlineStr">
        <is>
          <t>2024-05-07 15:00:00</t>
        </is>
      </c>
      <c r="AN78" t="inlineStr">
        <is>
          <t>2024-06-16</t>
        </is>
      </c>
      <c r="AO78" t="n">
        <v>2</v>
      </c>
      <c r="AP78" t="inlineStr">
        <is>
          <t>2024-05-15 15:00:00</t>
        </is>
      </c>
      <c r="AQ78" t="inlineStr">
        <is>
          <t>2024-05-19 15:00:00</t>
        </is>
      </c>
      <c r="AR78" t="inlineStr">
        <is>
          <t>Done</t>
        </is>
      </c>
      <c r="AS78" t="n">
        <v>10</v>
      </c>
      <c r="AT78" t="n">
        <v>18</v>
      </c>
      <c r="AU78" t="n">
        <v>33</v>
      </c>
      <c r="AV78" t="n">
        <v>116</v>
      </c>
      <c r="AW78" t="n">
        <v>11</v>
      </c>
      <c r="AX78" t="inlineStr">
        <is>
          <t>[{"state": "Open", "timestamp": "2024-04-28T00:00:00"}, {"state": "Triage", "timestamp": "2024-04-28T04:00:00"}]</t>
        </is>
      </c>
      <c r="AY78" t="n">
        <v>0</v>
      </c>
      <c r="AZ78" t="n">
        <v>12</v>
      </c>
      <c r="BA78" t="n">
        <v>3</v>
      </c>
      <c r="BB78" t="n">
        <v>1.202560758710694</v>
      </c>
      <c r="BC78" t="n">
        <v>26.74769769199152</v>
      </c>
      <c r="BD78" t="n">
        <v>2.278519009449462</v>
      </c>
      <c r="BE78" t="n">
        <v>15.54871596721905</v>
      </c>
      <c r="BF78" t="n">
        <v>7.40944205582764</v>
      </c>
      <c r="BG78" t="n">
        <v>53.18693548319836</v>
      </c>
      <c r="BH78" t="n">
        <v>39.35289444762503</v>
      </c>
      <c r="BI78" t="n">
        <v>231</v>
      </c>
      <c r="BJ78" t="n">
        <v>176</v>
      </c>
      <c r="BK78" t="n">
        <v>22</v>
      </c>
      <c r="BL78" t="n">
        <v>62</v>
      </c>
      <c r="BM78" t="n">
        <v>116</v>
      </c>
      <c r="BN78" t="n">
        <v>606.7707912752084</v>
      </c>
      <c r="BO78" t="inlineStr">
        <is>
          <t>Config</t>
        </is>
      </c>
      <c r="BP78" t="inlineStr">
        <is>
          <t>Fixed</t>
        </is>
      </c>
      <c r="BQ78" t="inlineStr">
        <is>
          <t>Completed</t>
        </is>
      </c>
      <c r="BR78" t="n">
        <v/>
      </c>
      <c r="BS78" t="b">
        <v>0</v>
      </c>
      <c r="BT78" t="n">
        <v/>
      </c>
      <c r="BU78" t="n">
        <v>3</v>
      </c>
      <c r="BV78" t="n">
        <v>2</v>
      </c>
    </row>
    <row r="79">
      <c r="A79" t="n">
        <v>189382</v>
      </c>
      <c r="B79" t="inlineStr">
        <is>
          <t>کمبو مصوبات مرتبط ، رکورد نال نمایش می دهد</t>
        </is>
      </c>
      <c r="C79" t="inlineStr">
        <is>
          <t>تکمیل توضیحات: کمبو مصوبات مرتبط ، رکورد نال نمایش می دهد...</t>
        </is>
      </c>
      <c r="D79" t="inlineStr">
        <is>
          <t>Critical</t>
        </is>
      </c>
      <c r="E79" t="inlineStr">
        <is>
          <t>P2</t>
        </is>
      </c>
      <c r="F79" t="inlineStr">
        <is>
          <t>Done</t>
        </is>
      </c>
      <c r="G79" t="inlineStr">
        <is>
          <t>Data</t>
        </is>
      </c>
      <c r="H79" t="b">
        <v>0</v>
      </c>
      <c r="I79" t="b">
        <v>0</v>
      </c>
      <c r="J79" t="inlineStr">
        <is>
          <t>PRJ-001</t>
        </is>
      </c>
      <c r="K79" t="inlineStr">
        <is>
          <t>Dem System</t>
        </is>
      </c>
      <c r="L79" t="inlineStr">
        <is>
          <t>Team Beta</t>
        </is>
      </c>
      <c r="M79" t="inlineStr">
        <is>
          <t>T02</t>
        </is>
      </c>
      <c r="N79" t="inlineStr">
        <is>
          <t>M09</t>
        </is>
      </c>
      <c r="O79" t="inlineStr">
        <is>
          <t>Dem\DemBiz\SP_88</t>
        </is>
      </c>
      <c r="P79" t="inlineStr">
        <is>
          <t>Sprint 27</t>
        </is>
      </c>
      <c r="Q79" t="inlineStr">
        <is>
          <t>S27</t>
        </is>
      </c>
      <c r="R79" t="inlineStr">
        <is>
          <t>Data;Critical</t>
        </is>
      </c>
      <c r="S79" t="n">
        <v/>
      </c>
      <c r="T79" t="inlineStr">
        <is>
          <t>کامنت 1 مورد</t>
        </is>
      </c>
      <c r="U79" t="inlineStr">
        <is>
          <t>Mohammad Safari</t>
        </is>
      </c>
      <c r="V79" t="inlineStr">
        <is>
          <t>U093</t>
        </is>
      </c>
      <c r="W79" t="inlineStr">
        <is>
          <t>Sara Ahmadi</t>
        </is>
      </c>
      <c r="X79" t="inlineStr">
        <is>
          <t>U091</t>
        </is>
      </c>
      <c r="Y79" t="inlineStr">
        <is>
          <t>Sara Ahmadi</t>
        </is>
      </c>
      <c r="Z79" t="inlineStr">
        <is>
          <t>U091</t>
        </is>
      </c>
      <c r="AA79" t="inlineStr">
        <is>
          <t>Fateme Akbari</t>
        </is>
      </c>
      <c r="AB79" t="inlineStr">
        <is>
          <t>U511</t>
        </is>
      </c>
      <c r="AC79" t="inlineStr">
        <is>
          <t>2024-05-09</t>
        </is>
      </c>
      <c r="AD79" t="inlineStr">
        <is>
          <t>2024-05-10 04:00:00</t>
        </is>
      </c>
      <c r="AE79" t="inlineStr">
        <is>
          <t>2024-05-10 22:00:00</t>
        </is>
      </c>
      <c r="AF79" t="inlineStr">
        <is>
          <t>2024-05-13 09:00:00</t>
        </is>
      </c>
      <c r="AG79" t="inlineStr">
        <is>
          <t>2024-05-13 09:00:00</t>
        </is>
      </c>
      <c r="AH79" t="inlineStr">
        <is>
          <t>2024-05-14 13:00:00</t>
        </is>
      </c>
      <c r="AI79" t="inlineStr">
        <is>
          <t>2024-05-15 23:00:00</t>
        </is>
      </c>
      <c r="AJ79" t="inlineStr">
        <is>
          <t>2024-05-16 15:00:00</t>
        </is>
      </c>
      <c r="AK79" t="inlineStr">
        <is>
          <t>2024-05-16 15:00:00</t>
        </is>
      </c>
      <c r="AL79" t="n">
        <v/>
      </c>
      <c r="AM79" t="inlineStr">
        <is>
          <t>2024-05-16 15:00:00</t>
        </is>
      </c>
      <c r="AN79" t="inlineStr">
        <is>
          <t>2024-06-01</t>
        </is>
      </c>
      <c r="AO79" t="n">
        <v>0</v>
      </c>
      <c r="AP79" t="n">
        <v/>
      </c>
      <c r="AQ79" t="n">
        <v/>
      </c>
      <c r="AR79" t="inlineStr">
        <is>
          <t>Resolved</t>
        </is>
      </c>
      <c r="AS79" t="n">
        <v>9</v>
      </c>
      <c r="AT79" t="n">
        <v>18</v>
      </c>
      <c r="AU79" t="n">
        <v>59</v>
      </c>
      <c r="AV79" t="n">
        <v>28</v>
      </c>
      <c r="AW79" t="n">
        <v>34</v>
      </c>
      <c r="AX79" t="inlineStr">
        <is>
          <t>[{"state": "Open", "timestamp": "2024-05-09T00:00:00"}, {"state": "Triage", "timestamp": "2024-05-10T04:00:00"}]</t>
        </is>
      </c>
      <c r="AY79" t="n">
        <v>3</v>
      </c>
      <c r="AZ79" t="n">
        <v>9</v>
      </c>
      <c r="BA79" t="n">
        <v>1</v>
      </c>
      <c r="BB79" t="n">
        <v>3.257868522945752</v>
      </c>
      <c r="BC79" t="n">
        <v>11.91742198089177</v>
      </c>
      <c r="BD79" t="n">
        <v>10.14119594170034</v>
      </c>
      <c r="BE79" t="n">
        <v>13.63178384703563</v>
      </c>
      <c r="BF79" t="n">
        <v>0</v>
      </c>
      <c r="BG79" t="n">
        <v>38.94827029257349</v>
      </c>
      <c r="BH79" t="n">
        <v>44.58300962557552</v>
      </c>
      <c r="BI79" t="n">
        <v/>
      </c>
      <c r="BJ79" t="n">
        <v/>
      </c>
      <c r="BK79" t="n">
        <v>46</v>
      </c>
      <c r="BL79" t="n">
        <v>111</v>
      </c>
      <c r="BM79" t="n">
        <v>28</v>
      </c>
      <c r="BN79" t="n">
        <v>595.7707912753125</v>
      </c>
      <c r="BO79" t="inlineStr">
        <is>
          <t>Config</t>
        </is>
      </c>
      <c r="BP79" t="inlineStr">
        <is>
          <t>Fixed</t>
        </is>
      </c>
      <c r="BQ79" t="n">
        <v/>
      </c>
      <c r="BR79" t="inlineStr">
        <is>
          <t>TC-9317</t>
        </is>
      </c>
      <c r="BS79" t="b">
        <v>0</v>
      </c>
      <c r="BT79" t="n">
        <v/>
      </c>
      <c r="BU79" t="n">
        <v>2</v>
      </c>
      <c r="BV79" t="n">
        <v>1</v>
      </c>
    </row>
    <row r="80">
      <c r="A80" t="n">
        <v>190825</v>
      </c>
      <c r="B80" t="inlineStr">
        <is>
          <t>دکمه های دریافت گزارش پیغام خطا می دهد</t>
        </is>
      </c>
      <c r="C80" t="inlineStr">
        <is>
          <t>تکمیل توضیحات: دکمه های دریافت گزارش پیغام خطا می دهد...</t>
        </is>
      </c>
      <c r="D80" t="inlineStr">
        <is>
          <t>Medium</t>
        </is>
      </c>
      <c r="E80" t="inlineStr">
        <is>
          <t>P3</t>
        </is>
      </c>
      <c r="F80" t="inlineStr">
        <is>
          <t>Closed</t>
        </is>
      </c>
      <c r="G80" t="inlineStr">
        <is>
          <t>Security</t>
        </is>
      </c>
      <c r="H80" t="b">
        <v>0</v>
      </c>
      <c r="I80" t="b">
        <v>1</v>
      </c>
      <c r="J80" t="inlineStr">
        <is>
          <t>PRJ-001</t>
        </is>
      </c>
      <c r="K80" t="inlineStr">
        <is>
          <t>Dem System</t>
        </is>
      </c>
      <c r="L80" t="inlineStr">
        <is>
          <t>Team Beta</t>
        </is>
      </c>
      <c r="M80" t="inlineStr">
        <is>
          <t>T02</t>
        </is>
      </c>
      <c r="N80" t="inlineStr">
        <is>
          <t>M09</t>
        </is>
      </c>
      <c r="O80" t="inlineStr">
        <is>
          <t>Dem\DemBiz\SP_88</t>
        </is>
      </c>
      <c r="P80" t="inlineStr">
        <is>
          <t>Sprint 26</t>
        </is>
      </c>
      <c r="Q80" t="inlineStr">
        <is>
          <t>S26</t>
        </is>
      </c>
      <c r="R80" t="inlineStr">
        <is>
          <t>Security;Medium</t>
        </is>
      </c>
      <c r="S80" t="inlineStr">
        <is>
          <t>EXT-190825</t>
        </is>
      </c>
      <c r="T80" t="inlineStr">
        <is>
          <t>کامنت 0 مورد</t>
        </is>
      </c>
      <c r="U80" t="inlineStr">
        <is>
          <t>Mohammad Safari</t>
        </is>
      </c>
      <c r="V80" t="inlineStr">
        <is>
          <t>U093</t>
        </is>
      </c>
      <c r="W80" t="inlineStr">
        <is>
          <t>Ali Rezaei</t>
        </is>
      </c>
      <c r="X80" t="inlineStr">
        <is>
          <t>U374</t>
        </is>
      </c>
      <c r="Y80" t="inlineStr">
        <is>
          <t>Reza Mohammadi</t>
        </is>
      </c>
      <c r="Z80" t="inlineStr">
        <is>
          <t>U493</t>
        </is>
      </c>
      <c r="AA80" t="inlineStr">
        <is>
          <t>Reza Mohammadi</t>
        </is>
      </c>
      <c r="AB80" t="inlineStr">
        <is>
          <t>U493</t>
        </is>
      </c>
      <c r="AC80" t="inlineStr">
        <is>
          <t>2024-03-04</t>
        </is>
      </c>
      <c r="AD80" t="inlineStr">
        <is>
          <t>2024-03-05 17:00:00</t>
        </is>
      </c>
      <c r="AE80" t="inlineStr">
        <is>
          <t>2024-03-06 02:00:00</t>
        </is>
      </c>
      <c r="AF80" t="inlineStr">
        <is>
          <t>2024-03-08 22:00:00</t>
        </is>
      </c>
      <c r="AG80" t="inlineStr">
        <is>
          <t>2024-03-08 22:00:00</t>
        </is>
      </c>
      <c r="AH80" t="inlineStr">
        <is>
          <t>2024-03-11 20:00:00</t>
        </is>
      </c>
      <c r="AI80" t="inlineStr">
        <is>
          <t>2024-03-13 16:00:00</t>
        </is>
      </c>
      <c r="AJ80" t="inlineStr">
        <is>
          <t>2024-03-14 01:00:00</t>
        </is>
      </c>
      <c r="AK80" t="inlineStr">
        <is>
          <t>2024-03-14 06:00:00</t>
        </is>
      </c>
      <c r="AL80" t="inlineStr">
        <is>
          <t>2024-03-15 11:00:00</t>
        </is>
      </c>
      <c r="AM80" t="inlineStr">
        <is>
          <t>2024-03-15 11:00:00</t>
        </is>
      </c>
      <c r="AN80" t="inlineStr">
        <is>
          <t>2024-03-15</t>
        </is>
      </c>
      <c r="AO80" t="n">
        <v>2</v>
      </c>
      <c r="AP80" t="inlineStr">
        <is>
          <t>2024-03-19 11:00:00</t>
        </is>
      </c>
      <c r="AQ80" t="inlineStr">
        <is>
          <t>2024-03-21 11:00:00</t>
        </is>
      </c>
      <c r="AR80" t="inlineStr">
        <is>
          <t>Done</t>
        </is>
      </c>
      <c r="AS80" t="n">
        <v>9</v>
      </c>
      <c r="AT80" t="n">
        <v>9</v>
      </c>
      <c r="AU80" t="n">
        <v>68</v>
      </c>
      <c r="AV80" t="n">
        <v>70</v>
      </c>
      <c r="AW80" t="n">
        <v>44</v>
      </c>
      <c r="AX80" t="inlineStr">
        <is>
          <t>[{"state": "Open", "timestamp": "2024-03-04T00:00:00"}, {"state": "Triage", "timestamp": "2024-03-05T17:00:00"}]</t>
        </is>
      </c>
      <c r="AY80" t="n">
        <v>3</v>
      </c>
      <c r="AZ80" t="n">
        <v>10</v>
      </c>
      <c r="BA80" t="n">
        <v>3</v>
      </c>
      <c r="BB80" t="n">
        <v>2.489017757612941</v>
      </c>
      <c r="BC80" t="n">
        <v>38.23974594586457</v>
      </c>
      <c r="BD80" t="n">
        <v>1.622395820324563</v>
      </c>
      <c r="BE80" t="n">
        <v>13.57493057066707</v>
      </c>
      <c r="BF80" t="n">
        <v>12.36509543060592</v>
      </c>
      <c r="BG80" t="n">
        <v>68.29118552507506</v>
      </c>
      <c r="BH80" t="n">
        <v>71.34269983835463</v>
      </c>
      <c r="BI80" t="n">
        <v>275</v>
      </c>
      <c r="BJ80" t="n">
        <v>157</v>
      </c>
      <c r="BK80" t="n">
        <v>50</v>
      </c>
      <c r="BL80" t="n">
        <v>121</v>
      </c>
      <c r="BM80" t="n">
        <v>70</v>
      </c>
      <c r="BN80" t="n">
        <v>661.7707912754282</v>
      </c>
      <c r="BO80" t="inlineStr">
        <is>
          <t>Config</t>
        </is>
      </c>
      <c r="BP80" t="inlineStr">
        <is>
          <t>Fixed</t>
        </is>
      </c>
      <c r="BQ80" t="inlineStr">
        <is>
          <t>Duplicate</t>
        </is>
      </c>
      <c r="BR80" t="n">
        <v/>
      </c>
      <c r="BS80" t="b">
        <v>1</v>
      </c>
      <c r="BT80" t="n">
        <v>192159</v>
      </c>
      <c r="BU80" t="n">
        <v>2</v>
      </c>
      <c r="BV80" t="n">
        <v>0</v>
      </c>
    </row>
    <row r="81">
      <c r="A81" t="n">
        <v>191561</v>
      </c>
      <c r="B81" t="inlineStr">
        <is>
          <t>تغییر مدیران در فرم درج تغییرات شرکت ، گزینه ویرایش ندارد</t>
        </is>
      </c>
      <c r="C81" t="inlineStr">
        <is>
          <t>تکمیل توضیحات: تغییر مدیران در فرم درج تغییرات شرکت ، گزینه ویرای...</t>
        </is>
      </c>
      <c r="D81" t="inlineStr">
        <is>
          <t>High</t>
        </is>
      </c>
      <c r="E81" t="inlineStr">
        <is>
          <t>P1</t>
        </is>
      </c>
      <c r="F81" t="inlineStr">
        <is>
          <t>Closed</t>
        </is>
      </c>
      <c r="G81" t="inlineStr">
        <is>
          <t>Backend</t>
        </is>
      </c>
      <c r="H81" t="b">
        <v>0</v>
      </c>
      <c r="I81" t="b">
        <v>0</v>
      </c>
      <c r="J81" t="inlineStr">
        <is>
          <t>PRJ-001</t>
        </is>
      </c>
      <c r="K81" t="inlineStr">
        <is>
          <t>Dem System</t>
        </is>
      </c>
      <c r="L81" t="inlineStr">
        <is>
          <t>Team Alpha</t>
        </is>
      </c>
      <c r="M81" t="inlineStr">
        <is>
          <t>T01</t>
        </is>
      </c>
      <c r="N81" t="inlineStr">
        <is>
          <t>M09</t>
        </is>
      </c>
      <c r="O81" t="inlineStr">
        <is>
          <t>Dem\DemBiz\SP_88</t>
        </is>
      </c>
      <c r="P81" t="inlineStr">
        <is>
          <t>Sprint 27</t>
        </is>
      </c>
      <c r="Q81" t="inlineStr">
        <is>
          <t>S27</t>
        </is>
      </c>
      <c r="R81" t="inlineStr">
        <is>
          <t>Backend;High</t>
        </is>
      </c>
      <c r="S81" t="inlineStr">
        <is>
          <t>EXT-191561</t>
        </is>
      </c>
      <c r="T81" t="inlineStr">
        <is>
          <t>کامنت 2 مورد</t>
        </is>
      </c>
      <c r="U81" t="inlineStr">
        <is>
          <t>Ali Rezaei</t>
        </is>
      </c>
      <c r="V81" t="inlineStr">
        <is>
          <t>U374</t>
        </is>
      </c>
      <c r="W81" t="inlineStr">
        <is>
          <t>Ali Rezaei</t>
        </is>
      </c>
      <c r="X81" t="inlineStr">
        <is>
          <t>U374</t>
        </is>
      </c>
      <c r="Y81" t="inlineStr">
        <is>
          <t>Ali Rezaei</t>
        </is>
      </c>
      <c r="Z81" t="inlineStr">
        <is>
          <t>U374</t>
        </is>
      </c>
      <c r="AA81" t="inlineStr">
        <is>
          <t>Sara Ahmadi</t>
        </is>
      </c>
      <c r="AB81" t="inlineStr">
        <is>
          <t>U091</t>
        </is>
      </c>
      <c r="AC81" t="inlineStr">
        <is>
          <t>2024-03-26</t>
        </is>
      </c>
      <c r="AD81" t="inlineStr">
        <is>
          <t>2024-03-26 21:00:00</t>
        </is>
      </c>
      <c r="AE81" t="inlineStr">
        <is>
          <t>2024-03-27 15:00:00</t>
        </is>
      </c>
      <c r="AF81" t="inlineStr">
        <is>
          <t>2024-03-28 03:00:00</t>
        </is>
      </c>
      <c r="AG81" t="inlineStr">
        <is>
          <t>2024-03-28 03:00:00</t>
        </is>
      </c>
      <c r="AH81" t="inlineStr">
        <is>
          <t>2024-03-29 04:00:00</t>
        </is>
      </c>
      <c r="AI81" t="inlineStr">
        <is>
          <t>2024-03-29 17:00:00</t>
        </is>
      </c>
      <c r="AJ81" t="inlineStr">
        <is>
          <t>2024-03-30 02:00:00</t>
        </is>
      </c>
      <c r="AK81" t="inlineStr">
        <is>
          <t>2024-03-30 09:00:00</t>
        </is>
      </c>
      <c r="AL81" t="inlineStr">
        <is>
          <t>2024-04-01 06:00:00</t>
        </is>
      </c>
      <c r="AM81" t="inlineStr">
        <is>
          <t>2024-04-01 06:00:00</t>
        </is>
      </c>
      <c r="AN81" t="inlineStr">
        <is>
          <t>2024-04-11</t>
        </is>
      </c>
      <c r="AO81" t="n">
        <v>1</v>
      </c>
      <c r="AP81" t="inlineStr">
        <is>
          <t>2024-04-03 06:00:00</t>
        </is>
      </c>
      <c r="AQ81" t="inlineStr">
        <is>
          <t>2024-04-03 06:00:00</t>
        </is>
      </c>
      <c r="AR81" t="inlineStr">
        <is>
          <t>Done</t>
        </is>
      </c>
      <c r="AS81" t="n">
        <v>10</v>
      </c>
      <c r="AT81" t="n">
        <v>18</v>
      </c>
      <c r="AU81" t="n">
        <v>12</v>
      </c>
      <c r="AV81" t="n">
        <v>25</v>
      </c>
      <c r="AW81" t="n">
        <v>13</v>
      </c>
      <c r="AX81" t="inlineStr">
        <is>
          <t>[{"state": "Open", "timestamp": "2024-03-26T00:00:00"}, {"state": "Triage", "timestamp": "2024-03-26T21:00:00"}]</t>
        </is>
      </c>
      <c r="AY81" t="n">
        <v>3</v>
      </c>
      <c r="AZ81" t="n">
        <v>10</v>
      </c>
      <c r="BA81" t="n">
        <v>2</v>
      </c>
      <c r="BB81" t="n">
        <v>2.329922325343127</v>
      </c>
      <c r="BC81" t="n">
        <v>29.77797975113497</v>
      </c>
      <c r="BD81" t="n">
        <v>11.21581320531284</v>
      </c>
      <c r="BE81" t="n">
        <v>8.030397396924554</v>
      </c>
      <c r="BF81" t="n">
        <v>3.689136395697724</v>
      </c>
      <c r="BG81" t="n">
        <v>55.04324907441322</v>
      </c>
      <c r="BH81" t="n">
        <v>66.33246897435775</v>
      </c>
      <c r="BI81" t="n">
        <v>150</v>
      </c>
      <c r="BJ81" t="n">
        <v>99</v>
      </c>
      <c r="BK81" t="n">
        <v>39</v>
      </c>
      <c r="BL81" t="n">
        <v>43</v>
      </c>
      <c r="BM81" t="n">
        <v>25</v>
      </c>
      <c r="BN81" t="n">
        <v>639.7707912755324</v>
      </c>
      <c r="BO81" t="inlineStr">
        <is>
          <t>Data</t>
        </is>
      </c>
      <c r="BP81" t="inlineStr">
        <is>
          <t>Fixed</t>
        </is>
      </c>
      <c r="BQ81" t="inlineStr">
        <is>
          <t>Completed</t>
        </is>
      </c>
      <c r="BR81" t="inlineStr">
        <is>
          <t>TC-3646</t>
        </is>
      </c>
      <c r="BS81" t="b">
        <v>0</v>
      </c>
      <c r="BT81" t="n">
        <v/>
      </c>
      <c r="BU81" t="n">
        <v>2</v>
      </c>
      <c r="BV81" t="n">
        <v>0</v>
      </c>
    </row>
    <row r="82">
      <c r="A82" t="n">
        <v>191563</v>
      </c>
      <c r="B82" t="inlineStr">
        <is>
          <t>تغییرسرمایه و سهامدار و تغییر نشانه ، گزینه ویرایش ندارد</t>
        </is>
      </c>
      <c r="C82" t="inlineStr">
        <is>
          <t>تکمیل توضیحات: تغییرسرمایه و سهامدار و تغییر نشانه ، گزینه ویرایش...</t>
        </is>
      </c>
      <c r="D82" t="inlineStr">
        <is>
          <t>Low</t>
        </is>
      </c>
      <c r="E82" t="inlineStr">
        <is>
          <t>P2</t>
        </is>
      </c>
      <c r="F82" t="inlineStr">
        <is>
          <t>Closed</t>
        </is>
      </c>
      <c r="G82" t="inlineStr">
        <is>
          <t>UI</t>
        </is>
      </c>
      <c r="H82" t="b">
        <v>0</v>
      </c>
      <c r="I82" t="b">
        <v>0</v>
      </c>
      <c r="J82" t="inlineStr">
        <is>
          <t>PRJ-001</t>
        </is>
      </c>
      <c r="K82" t="inlineStr">
        <is>
          <t>Dem System</t>
        </is>
      </c>
      <c r="L82" t="inlineStr">
        <is>
          <t>Team Beta</t>
        </is>
      </c>
      <c r="M82" t="inlineStr">
        <is>
          <t>T02</t>
        </is>
      </c>
      <c r="N82" t="inlineStr">
        <is>
          <t>M09</t>
        </is>
      </c>
      <c r="O82" t="inlineStr">
        <is>
          <t>Dem\DemBiz\SP_88</t>
        </is>
      </c>
      <c r="P82" t="inlineStr">
        <is>
          <t>Sprint 24</t>
        </is>
      </c>
      <c r="Q82" t="inlineStr">
        <is>
          <t>S24</t>
        </is>
      </c>
      <c r="R82" t="inlineStr">
        <is>
          <t>UI;Low</t>
        </is>
      </c>
      <c r="S82" t="n">
        <v/>
      </c>
      <c r="T82" t="inlineStr">
        <is>
          <t>کامنت 0 مورد</t>
        </is>
      </c>
      <c r="U82" t="inlineStr">
        <is>
          <t>Ali Rezaei</t>
        </is>
      </c>
      <c r="V82" t="inlineStr">
        <is>
          <t>U374</t>
        </is>
      </c>
      <c r="W82" t="inlineStr">
        <is>
          <t>Mohammad Safari</t>
        </is>
      </c>
      <c r="X82" t="inlineStr">
        <is>
          <t>U093</t>
        </is>
      </c>
      <c r="Y82" t="inlineStr">
        <is>
          <t>Fateme Akbari</t>
        </is>
      </c>
      <c r="Z82" t="inlineStr">
        <is>
          <t>U511</t>
        </is>
      </c>
      <c r="AA82" t="inlineStr">
        <is>
          <t>Ali Rezaei</t>
        </is>
      </c>
      <c r="AB82" t="inlineStr">
        <is>
          <t>U374</t>
        </is>
      </c>
      <c r="AC82" t="inlineStr">
        <is>
          <t>2024-04-16</t>
        </is>
      </c>
      <c r="AD82" t="inlineStr">
        <is>
          <t>2024-04-17 03:00:00</t>
        </is>
      </c>
      <c r="AE82" t="inlineStr">
        <is>
          <t>2024-04-17 14:00:00</t>
        </is>
      </c>
      <c r="AF82" t="inlineStr">
        <is>
          <t>2024-04-20 13:00:00</t>
        </is>
      </c>
      <c r="AG82" t="inlineStr">
        <is>
          <t>2024-04-20 13:00:00</t>
        </is>
      </c>
      <c r="AH82" t="inlineStr">
        <is>
          <t>2024-04-23 08:00:00</t>
        </is>
      </c>
      <c r="AI82" t="inlineStr">
        <is>
          <t>2024-04-24 14:00:00</t>
        </is>
      </c>
      <c r="AJ82" t="inlineStr">
        <is>
          <t>2024-04-24 17:00:00</t>
        </is>
      </c>
      <c r="AK82" t="inlineStr">
        <is>
          <t>2024-04-24 21:00:00</t>
        </is>
      </c>
      <c r="AL82" t="inlineStr">
        <is>
          <t>2024-04-26 00:00:00</t>
        </is>
      </c>
      <c r="AM82" t="inlineStr">
        <is>
          <t>2024-04-26 00:00:00</t>
        </is>
      </c>
      <c r="AN82" t="inlineStr">
        <is>
          <t>2024-05-17</t>
        </is>
      </c>
      <c r="AO82" t="n">
        <v>0</v>
      </c>
      <c r="AP82" t="n">
        <v/>
      </c>
      <c r="AQ82" t="n">
        <v/>
      </c>
      <c r="AR82" t="inlineStr">
        <is>
          <t>Done</t>
        </is>
      </c>
      <c r="AS82" t="n">
        <v>9</v>
      </c>
      <c r="AT82" t="n">
        <v>11</v>
      </c>
      <c r="AU82" t="n">
        <v>71</v>
      </c>
      <c r="AV82" t="n">
        <v>67</v>
      </c>
      <c r="AW82" t="n">
        <v>30</v>
      </c>
      <c r="AX82" t="inlineStr">
        <is>
          <t>[{"state": "Open", "timestamp": "2024-04-16T00:00:00"}, {"state": "Triage", "timestamp": "2024-04-17T03:00:00"}]</t>
        </is>
      </c>
      <c r="AY82" t="n">
        <v>4</v>
      </c>
      <c r="AZ82" t="n">
        <v>9</v>
      </c>
      <c r="BA82" t="n">
        <v>1</v>
      </c>
      <c r="BB82" t="n">
        <v>7.797579160643342</v>
      </c>
      <c r="BC82" t="n">
        <v>22.61980804794463</v>
      </c>
      <c r="BD82" t="n">
        <v>9.109844776780852</v>
      </c>
      <c r="BE82" t="n">
        <v>7.222292535064978</v>
      </c>
      <c r="BF82" t="n">
        <v>0</v>
      </c>
      <c r="BG82" t="n">
        <v>46.7495245204338</v>
      </c>
      <c r="BH82" t="n">
        <v>36.64524245332568</v>
      </c>
      <c r="BI82" t="n">
        <v>240</v>
      </c>
      <c r="BJ82" t="n">
        <v>131</v>
      </c>
      <c r="BK82" t="n">
        <v>38</v>
      </c>
      <c r="BL82" t="n">
        <v>112</v>
      </c>
      <c r="BM82" t="n">
        <v>67</v>
      </c>
      <c r="BN82" t="n">
        <v>618.7707912756365</v>
      </c>
      <c r="BO82" t="inlineStr">
        <is>
          <t>Data</t>
        </is>
      </c>
      <c r="BP82" t="inlineStr">
        <is>
          <t>Fixed</t>
        </is>
      </c>
      <c r="BQ82" t="inlineStr">
        <is>
          <t>Cannot Reproduce</t>
        </is>
      </c>
      <c r="BR82" t="inlineStr">
        <is>
          <t>TC-9689</t>
        </is>
      </c>
      <c r="BS82" t="b">
        <v>0</v>
      </c>
      <c r="BT82" t="n">
        <v/>
      </c>
      <c r="BU82" t="n">
        <v>2</v>
      </c>
      <c r="BV82" t="n">
        <v>1</v>
      </c>
    </row>
    <row r="83">
      <c r="A83" t="n">
        <v>191574</v>
      </c>
      <c r="B83" t="inlineStr">
        <is>
          <t>اعمال نشدن تغییرات بعداز ویرایش ، در گرید درخواست</t>
        </is>
      </c>
      <c r="C83" t="inlineStr">
        <is>
          <t>تکمیل توضیحات: اعمال نشدن تغییرات بعداز ویرایش ، در گرید درخواست...</t>
        </is>
      </c>
      <c r="D83" t="inlineStr">
        <is>
          <t>Medium</t>
        </is>
      </c>
      <c r="E83" t="inlineStr">
        <is>
          <t>P1</t>
        </is>
      </c>
      <c r="F83" t="inlineStr">
        <is>
          <t>In Progress</t>
        </is>
      </c>
      <c r="G83" t="inlineStr">
        <is>
          <t>Security</t>
        </is>
      </c>
      <c r="H83" t="b">
        <v>1</v>
      </c>
      <c r="I83" t="b">
        <v>0</v>
      </c>
      <c r="J83" t="inlineStr">
        <is>
          <t>PRJ-001</t>
        </is>
      </c>
      <c r="K83" t="inlineStr">
        <is>
          <t>Dem System</t>
        </is>
      </c>
      <c r="L83" t="inlineStr">
        <is>
          <t>Team Beta</t>
        </is>
      </c>
      <c r="M83" t="inlineStr">
        <is>
          <t>T02</t>
        </is>
      </c>
      <c r="N83" t="inlineStr">
        <is>
          <t>M09</t>
        </is>
      </c>
      <c r="O83" t="inlineStr">
        <is>
          <t>Dem\DemBiz\SP_88</t>
        </is>
      </c>
      <c r="P83" t="inlineStr">
        <is>
          <t>Sprint 26</t>
        </is>
      </c>
      <c r="Q83" t="inlineStr">
        <is>
          <t>S26</t>
        </is>
      </c>
      <c r="R83" t="inlineStr">
        <is>
          <t>Security;Medium</t>
        </is>
      </c>
      <c r="S83" t="inlineStr">
        <is>
          <t>EXT-191574</t>
        </is>
      </c>
      <c r="T83" t="inlineStr">
        <is>
          <t>کامنت 4 مورد</t>
        </is>
      </c>
      <c r="U83" t="inlineStr">
        <is>
          <t>Ali Rezaei</t>
        </is>
      </c>
      <c r="V83" t="inlineStr">
        <is>
          <t>U374</t>
        </is>
      </c>
      <c r="W83" t="inlineStr">
        <is>
          <t>Fateme Akbari</t>
        </is>
      </c>
      <c r="X83" t="inlineStr">
        <is>
          <t>U511</t>
        </is>
      </c>
      <c r="Y83" t="n">
        <v/>
      </c>
      <c r="Z83" t="n">
        <v/>
      </c>
      <c r="AA83" t="n">
        <v/>
      </c>
      <c r="AB83" t="n">
        <v/>
      </c>
      <c r="AC83" t="inlineStr">
        <is>
          <t>2024-05-27</t>
        </is>
      </c>
      <c r="AD83" t="inlineStr">
        <is>
          <t>2024-05-28 01:00:00</t>
        </is>
      </c>
      <c r="AE83" t="inlineStr">
        <is>
          <t>2024-05-28 17:00:00</t>
        </is>
      </c>
      <c r="AF83" t="inlineStr">
        <is>
          <t>2024-05-28 19:00:00</t>
        </is>
      </c>
      <c r="AG83" t="inlineStr">
        <is>
          <t>2024-05-28 19:00:00</t>
        </is>
      </c>
      <c r="AH83" t="n">
        <v/>
      </c>
      <c r="AI83" t="n">
        <v/>
      </c>
      <c r="AJ83" t="n">
        <v/>
      </c>
      <c r="AK83" t="n">
        <v/>
      </c>
      <c r="AL83" t="n">
        <v/>
      </c>
      <c r="AM83" t="inlineStr">
        <is>
          <t>2024-05-28 19:00:00</t>
        </is>
      </c>
      <c r="AN83" t="inlineStr">
        <is>
          <t>2024-06-25</t>
        </is>
      </c>
      <c r="AO83" t="n">
        <v>0</v>
      </c>
      <c r="AP83" t="n">
        <v/>
      </c>
      <c r="AQ83" t="n">
        <v/>
      </c>
      <c r="AR83" t="inlineStr">
        <is>
          <t>Active</t>
        </is>
      </c>
      <c r="AS83" t="n">
        <v>6</v>
      </c>
      <c r="AT83" t="n">
        <v>16</v>
      </c>
      <c r="AU83" t="n">
        <v>2</v>
      </c>
      <c r="AV83" t="n">
        <v/>
      </c>
      <c r="AW83" t="n">
        <v/>
      </c>
      <c r="AX83" t="inlineStr">
        <is>
          <t>[{"state": "Open", "timestamp": "2024-05-27T00:00:00"}, {"state": "Triage", "timestamp": "2024-05-28T01:00:00"}]</t>
        </is>
      </c>
      <c r="AY83" t="n">
        <v>0</v>
      </c>
      <c r="AZ83" t="n">
        <v>8</v>
      </c>
      <c r="BA83" t="n">
        <v>1</v>
      </c>
      <c r="BB83" t="n">
        <v>3.448232935000703</v>
      </c>
      <c r="BC83" t="n">
        <v>24.85710910313973</v>
      </c>
      <c r="BD83" t="n">
        <v>17.81023156378685</v>
      </c>
      <c r="BE83" t="n">
        <v>5.101106078960593</v>
      </c>
      <c r="BF83" t="n">
        <v>0</v>
      </c>
      <c r="BG83" t="n">
        <v>51.21667968088788</v>
      </c>
      <c r="BH83" t="n">
        <v>60.29024647994677</v>
      </c>
      <c r="BI83" t="n">
        <v/>
      </c>
      <c r="BJ83" t="n">
        <v/>
      </c>
      <c r="BK83" t="n">
        <v>41</v>
      </c>
      <c r="BL83" t="n">
        <v>18</v>
      </c>
      <c r="BM83" t="n">
        <v>0</v>
      </c>
      <c r="BN83" t="n">
        <v>577.7707912757407</v>
      </c>
      <c r="BO83" t="n">
        <v/>
      </c>
      <c r="BP83" t="n">
        <v/>
      </c>
      <c r="BQ83" t="n">
        <v/>
      </c>
      <c r="BR83" t="n">
        <v/>
      </c>
      <c r="BS83" t="b">
        <v>0</v>
      </c>
      <c r="BT83" t="n">
        <v/>
      </c>
      <c r="BU83" t="n">
        <v>0</v>
      </c>
      <c r="BV83" t="n">
        <v>0</v>
      </c>
    </row>
    <row r="84">
      <c r="A84" t="n">
        <v>191634</v>
      </c>
      <c r="B84" t="inlineStr">
        <is>
          <t>مرتب سازی تایتل ، کمبو بخش اقتصادی در فرم ویرایش اططلاعات مشتری</t>
        </is>
      </c>
      <c r="C84" t="inlineStr">
        <is>
          <t>تکمیل توضیحات: مرتب سازی تایتل ، کمبو بخش اقتصادی در فرم ویرایش ا...</t>
        </is>
      </c>
      <c r="D84" t="inlineStr">
        <is>
          <t>High</t>
        </is>
      </c>
      <c r="E84" t="inlineStr">
        <is>
          <t>P3</t>
        </is>
      </c>
      <c r="F84" t="inlineStr">
        <is>
          <t>In Progress</t>
        </is>
      </c>
      <c r="G84" t="inlineStr">
        <is>
          <t>Performance</t>
        </is>
      </c>
      <c r="H84" t="b">
        <v>0</v>
      </c>
      <c r="I84" t="b">
        <v>0</v>
      </c>
      <c r="J84" t="inlineStr">
        <is>
          <t>PRJ-001</t>
        </is>
      </c>
      <c r="K84" t="inlineStr">
        <is>
          <t>Dem System</t>
        </is>
      </c>
      <c r="L84" t="inlineStr">
        <is>
          <t>Team Alpha</t>
        </is>
      </c>
      <c r="M84" t="inlineStr">
        <is>
          <t>T01</t>
        </is>
      </c>
      <c r="N84" t="inlineStr">
        <is>
          <t>M09</t>
        </is>
      </c>
      <c r="O84" t="inlineStr">
        <is>
          <t>Dem\DemBiz\SP_88</t>
        </is>
      </c>
      <c r="P84" t="inlineStr">
        <is>
          <t>Sprint 25</t>
        </is>
      </c>
      <c r="Q84" t="inlineStr">
        <is>
          <t>S25</t>
        </is>
      </c>
      <c r="R84" t="inlineStr">
        <is>
          <t>Performance;High</t>
        </is>
      </c>
      <c r="S84" t="n">
        <v/>
      </c>
      <c r="T84" t="inlineStr">
        <is>
          <t>کامنت 4 مورد</t>
        </is>
      </c>
      <c r="U84" t="inlineStr">
        <is>
          <t>Ali Rezaei</t>
        </is>
      </c>
      <c r="V84" t="inlineStr">
        <is>
          <t>U374</t>
        </is>
      </c>
      <c r="W84" t="inlineStr">
        <is>
          <t>Mina Hosseini</t>
        </is>
      </c>
      <c r="X84" t="inlineStr">
        <is>
          <t>U860</t>
        </is>
      </c>
      <c r="Y84" t="n">
        <v/>
      </c>
      <c r="Z84" t="n">
        <v/>
      </c>
      <c r="AA84" t="n">
        <v/>
      </c>
      <c r="AB84" t="n">
        <v/>
      </c>
      <c r="AC84" t="inlineStr">
        <is>
          <t>2024-03-17</t>
        </is>
      </c>
      <c r="AD84" t="inlineStr">
        <is>
          <t>2024-03-18 01:00:00</t>
        </is>
      </c>
      <c r="AE84" t="inlineStr">
        <is>
          <t>2024-03-18 15:00:00</t>
        </is>
      </c>
      <c r="AF84" t="inlineStr">
        <is>
          <t>2024-03-21 13:00:00</t>
        </is>
      </c>
      <c r="AG84" t="inlineStr">
        <is>
          <t>2024-03-21 13:00:00</t>
        </is>
      </c>
      <c r="AH84" t="n">
        <v/>
      </c>
      <c r="AI84" t="n">
        <v/>
      </c>
      <c r="AJ84" t="n">
        <v/>
      </c>
      <c r="AK84" t="n">
        <v/>
      </c>
      <c r="AL84" t="n">
        <v/>
      </c>
      <c r="AM84" t="inlineStr">
        <is>
          <t>2024-03-21 13:00:00</t>
        </is>
      </c>
      <c r="AN84" t="inlineStr">
        <is>
          <t>2024-05-10</t>
        </is>
      </c>
      <c r="AO84" t="n">
        <v>0</v>
      </c>
      <c r="AP84" t="n">
        <v/>
      </c>
      <c r="AQ84" t="n">
        <v/>
      </c>
      <c r="AR84" t="inlineStr">
        <is>
          <t>Active</t>
        </is>
      </c>
      <c r="AS84" t="n">
        <v>3</v>
      </c>
      <c r="AT84" t="n">
        <v>14</v>
      </c>
      <c r="AU84" t="n">
        <v>70</v>
      </c>
      <c r="AV84" t="n">
        <v/>
      </c>
      <c r="AW84" t="n">
        <v/>
      </c>
      <c r="AX84" t="inlineStr">
        <is>
          <t>[{"state": "Open", "timestamp": "2024-03-17T00:00:00"}, {"state": "Triage", "timestamp": "2024-03-18T01:00:00"}]</t>
        </is>
      </c>
      <c r="AY84" t="n">
        <v>4</v>
      </c>
      <c r="AZ84" t="n">
        <v>4</v>
      </c>
      <c r="BA84" t="n">
        <v>1</v>
      </c>
      <c r="BB84" t="n">
        <v>7.190349163828349</v>
      </c>
      <c r="BC84" t="n">
        <v>17.36440243468381</v>
      </c>
      <c r="BD84" t="n">
        <v>7.342842744765535</v>
      </c>
      <c r="BE84" t="n">
        <v>1.845632449763907</v>
      </c>
      <c r="BF84" t="n">
        <v>0</v>
      </c>
      <c r="BG84" t="n">
        <v>33.74322679304159</v>
      </c>
      <c r="BH84" t="n">
        <v>27.70239258795565</v>
      </c>
      <c r="BI84" t="n">
        <v/>
      </c>
      <c r="BJ84" t="n">
        <v/>
      </c>
      <c r="BK84" t="n">
        <v>39</v>
      </c>
      <c r="BL84" t="n">
        <v>84</v>
      </c>
      <c r="BM84" t="n">
        <v>0</v>
      </c>
      <c r="BN84" t="n">
        <v>648.7707912758565</v>
      </c>
      <c r="BO84" t="n">
        <v/>
      </c>
      <c r="BP84" t="n">
        <v/>
      </c>
      <c r="BQ84" t="n">
        <v/>
      </c>
      <c r="BR84" t="inlineStr">
        <is>
          <t>TC-9005</t>
        </is>
      </c>
      <c r="BS84" t="b">
        <v>0</v>
      </c>
      <c r="BT84" t="n">
        <v/>
      </c>
      <c r="BU84" t="n">
        <v>0</v>
      </c>
      <c r="BV84" t="n">
        <v>0</v>
      </c>
    </row>
    <row r="85">
      <c r="A85" t="n">
        <v>191665</v>
      </c>
      <c r="B85" t="inlineStr">
        <is>
          <t>ادیتبل بودن و اضافی بودن ، کمبو کد اعتباری اول</t>
        </is>
      </c>
      <c r="C85" t="inlineStr">
        <is>
          <t>تکمیل توضیحات: ادیتبل بودن و اضافی بودن ، کمبو کد اعتباری اول...</t>
        </is>
      </c>
      <c r="D85" t="inlineStr">
        <is>
          <t>Critical</t>
        </is>
      </c>
      <c r="E85" t="inlineStr">
        <is>
          <t>P3</t>
        </is>
      </c>
      <c r="F85" t="inlineStr">
        <is>
          <t>Triage</t>
        </is>
      </c>
      <c r="G85" t="inlineStr">
        <is>
          <t>Security</t>
        </is>
      </c>
      <c r="H85" t="b">
        <v>0</v>
      </c>
      <c r="I85" t="b">
        <v>0</v>
      </c>
      <c r="J85" t="inlineStr">
        <is>
          <t>PRJ-001</t>
        </is>
      </c>
      <c r="K85" t="inlineStr">
        <is>
          <t>Dem System</t>
        </is>
      </c>
      <c r="L85" t="inlineStr">
        <is>
          <t>Team Gamma</t>
        </is>
      </c>
      <c r="M85" t="inlineStr">
        <is>
          <t>T03</t>
        </is>
      </c>
      <c r="N85" t="inlineStr">
        <is>
          <t>M09</t>
        </is>
      </c>
      <c r="O85" t="inlineStr">
        <is>
          <t>Dem\DemBiz\SP_88</t>
        </is>
      </c>
      <c r="P85" t="inlineStr">
        <is>
          <t>Sprint 26</t>
        </is>
      </c>
      <c r="Q85" t="inlineStr">
        <is>
          <t>S26</t>
        </is>
      </c>
      <c r="R85" t="inlineStr">
        <is>
          <t>Security;Critical</t>
        </is>
      </c>
      <c r="S85" t="n">
        <v/>
      </c>
      <c r="T85" t="inlineStr">
        <is>
          <t>کامنت 1 مورد</t>
        </is>
      </c>
      <c r="U85" t="inlineStr">
        <is>
          <t>Mohammad Safari</t>
        </is>
      </c>
      <c r="V85" t="inlineStr">
        <is>
          <t>U093</t>
        </is>
      </c>
      <c r="W85" t="inlineStr">
        <is>
          <t>Reza Mohammadi</t>
        </is>
      </c>
      <c r="X85" t="inlineStr">
        <is>
          <t>U493</t>
        </is>
      </c>
      <c r="Y85" t="n">
        <v/>
      </c>
      <c r="Z85" t="n">
        <v/>
      </c>
      <c r="AA85" t="n">
        <v/>
      </c>
      <c r="AB85" t="n">
        <v/>
      </c>
      <c r="AC85" t="inlineStr">
        <is>
          <t>2024-05-19</t>
        </is>
      </c>
      <c r="AD85" t="inlineStr">
        <is>
          <t>2024-05-20 15:00:00</t>
        </is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t="n">
        <v/>
      </c>
      <c r="AL85" t="n">
        <v/>
      </c>
      <c r="AM85" t="inlineStr">
        <is>
          <t>2024-05-20 15:00:00</t>
        </is>
      </c>
      <c r="AN85" t="inlineStr">
        <is>
          <t>2024-06-09</t>
        </is>
      </c>
      <c r="AO85" t="n">
        <v>0</v>
      </c>
      <c r="AP85" t="n">
        <v/>
      </c>
      <c r="AQ85" t="n">
        <v/>
      </c>
      <c r="AR85" t="inlineStr">
        <is>
          <t>Open</t>
        </is>
      </c>
      <c r="AS85" t="n">
        <v>4</v>
      </c>
      <c r="AT85" t="n">
        <v/>
      </c>
      <c r="AU85" t="n">
        <v/>
      </c>
      <c r="AV85" t="n">
        <v/>
      </c>
      <c r="AW85" t="n">
        <v/>
      </c>
      <c r="AX85" t="inlineStr">
        <is>
          <t>[{"state": "Open", "timestamp": "2024-05-19T00:00:00"}, {"state": "Triage", "timestamp": "2024-05-20T15:00:00"}]</t>
        </is>
      </c>
      <c r="AY85" t="n">
        <v>4</v>
      </c>
      <c r="AZ85" t="n">
        <v>6</v>
      </c>
      <c r="BA85" t="n">
        <v>1</v>
      </c>
      <c r="BB85" t="n">
        <v>5.233539694979472</v>
      </c>
      <c r="BC85" t="n">
        <v>10.66150859054514</v>
      </c>
      <c r="BD85" t="n">
        <v>2.782806820338315</v>
      </c>
      <c r="BE85" t="n">
        <v>13.9708356438258</v>
      </c>
      <c r="BF85" t="n">
        <v>0</v>
      </c>
      <c r="BG85" t="n">
        <v>32.64869074968873</v>
      </c>
      <c r="BH85" t="n">
        <v>26.05997488556477</v>
      </c>
      <c r="BI85" t="n">
        <v/>
      </c>
      <c r="BJ85" t="n">
        <v/>
      </c>
      <c r="BK85" t="n">
        <v/>
      </c>
      <c r="BL85" t="n">
        <v>0</v>
      </c>
      <c r="BM85" t="n">
        <v>0</v>
      </c>
      <c r="BN85" t="n">
        <v>585.7707912759606</v>
      </c>
      <c r="BO85" t="n">
        <v/>
      </c>
      <c r="BP85" t="n">
        <v/>
      </c>
      <c r="BQ85" t="n">
        <v/>
      </c>
      <c r="BR85" t="inlineStr">
        <is>
          <t>TC-6947</t>
        </is>
      </c>
      <c r="BS85" t="b">
        <v>0</v>
      </c>
      <c r="BT85" t="n">
        <v/>
      </c>
      <c r="BU85" t="n">
        <v>0</v>
      </c>
      <c r="BV85" t="n">
        <v>0</v>
      </c>
    </row>
    <row r="86">
      <c r="A86" t="n">
        <v>191765</v>
      </c>
      <c r="B86" t="inlineStr">
        <is>
          <t>پاک شدن مجموع سهامدار ، بعداز دکمه ذخیره فرم ویرایش مشتری</t>
        </is>
      </c>
      <c r="C86" t="inlineStr">
        <is>
          <t>تکمیل توضیحات: پاک شدن مجموع سهامدار ، بعداز دکمه ذخیره فرم ویرای...</t>
        </is>
      </c>
      <c r="D86" t="inlineStr">
        <is>
          <t>High</t>
        </is>
      </c>
      <c r="E86" t="inlineStr">
        <is>
          <t>P2</t>
        </is>
      </c>
      <c r="F86" t="inlineStr">
        <is>
          <t>Done</t>
        </is>
      </c>
      <c r="G86" t="inlineStr">
        <is>
          <t>Security</t>
        </is>
      </c>
      <c r="H86" t="b">
        <v>0</v>
      </c>
      <c r="I86" t="b">
        <v>0</v>
      </c>
      <c r="J86" t="inlineStr">
        <is>
          <t>PRJ-001</t>
        </is>
      </c>
      <c r="K86" t="inlineStr">
        <is>
          <t>Dem System</t>
        </is>
      </c>
      <c r="L86" t="inlineStr">
        <is>
          <t>Team Alpha</t>
        </is>
      </c>
      <c r="M86" t="inlineStr">
        <is>
          <t>T01</t>
        </is>
      </c>
      <c r="N86" t="inlineStr">
        <is>
          <t>M09</t>
        </is>
      </c>
      <c r="O86" t="inlineStr">
        <is>
          <t>Dem\DemBiz\SP_88</t>
        </is>
      </c>
      <c r="P86" t="inlineStr">
        <is>
          <t>Sprint 23</t>
        </is>
      </c>
      <c r="Q86" t="inlineStr">
        <is>
          <t>S23</t>
        </is>
      </c>
      <c r="R86" t="inlineStr">
        <is>
          <t>Security;High</t>
        </is>
      </c>
      <c r="S86" t="n">
        <v/>
      </c>
      <c r="T86" t="inlineStr">
        <is>
          <t>کامنت 4 مورد</t>
        </is>
      </c>
      <c r="U86" t="inlineStr">
        <is>
          <t>Mohammad Safari</t>
        </is>
      </c>
      <c r="V86" t="inlineStr">
        <is>
          <t>U093</t>
        </is>
      </c>
      <c r="W86" t="inlineStr">
        <is>
          <t>Mina Hosseini</t>
        </is>
      </c>
      <c r="X86" t="inlineStr">
        <is>
          <t>U860</t>
        </is>
      </c>
      <c r="Y86" t="inlineStr">
        <is>
          <t>Reza Mohammadi</t>
        </is>
      </c>
      <c r="Z86" t="inlineStr">
        <is>
          <t>U493</t>
        </is>
      </c>
      <c r="AA86" t="inlineStr">
        <is>
          <t>Zahra Ebrahimi</t>
        </is>
      </c>
      <c r="AB86" t="inlineStr">
        <is>
          <t>U002</t>
        </is>
      </c>
      <c r="AC86" t="inlineStr">
        <is>
          <t>2024-05-04</t>
        </is>
      </c>
      <c r="AD86" t="inlineStr">
        <is>
          <t>2024-05-04 15:00:00</t>
        </is>
      </c>
      <c r="AE86" t="inlineStr">
        <is>
          <t>2024-05-05 00:00:00</t>
        </is>
      </c>
      <c r="AF86" t="inlineStr">
        <is>
          <t>2024-05-07 09:00:00</t>
        </is>
      </c>
      <c r="AG86" t="inlineStr">
        <is>
          <t>2024-05-07 09:00:00</t>
        </is>
      </c>
      <c r="AH86" t="inlineStr">
        <is>
          <t>2024-05-10 07:00:00</t>
        </is>
      </c>
      <c r="AI86" t="inlineStr">
        <is>
          <t>2024-05-10 12:00:00</t>
        </is>
      </c>
      <c r="AJ86" t="inlineStr">
        <is>
          <t>2024-05-11 02:00:00</t>
        </is>
      </c>
      <c r="AK86" t="inlineStr">
        <is>
          <t>2024-05-11 02:00:00</t>
        </is>
      </c>
      <c r="AL86" t="n">
        <v/>
      </c>
      <c r="AM86" t="inlineStr">
        <is>
          <t>2024-05-11 02:00:00</t>
        </is>
      </c>
      <c r="AN86" t="inlineStr">
        <is>
          <t>2024-06-01</t>
        </is>
      </c>
      <c r="AO86" t="n">
        <v>0</v>
      </c>
      <c r="AP86" t="n">
        <v/>
      </c>
      <c r="AQ86" t="n">
        <v/>
      </c>
      <c r="AR86" t="inlineStr">
        <is>
          <t>Resolved</t>
        </is>
      </c>
      <c r="AS86" t="n">
        <v>8</v>
      </c>
      <c r="AT86" t="n">
        <v>9</v>
      </c>
      <c r="AU86" t="n">
        <v>57</v>
      </c>
      <c r="AV86" t="n">
        <v>70</v>
      </c>
      <c r="AW86" t="n">
        <v>5</v>
      </c>
      <c r="AX86" t="inlineStr">
        <is>
          <t>[{"state": "Open", "timestamp": "2024-05-04T00:00:00"}, {"state": "Triage", "timestamp": "2024-05-04T15:00:00"}]</t>
        </is>
      </c>
      <c r="AY86" t="n">
        <v>0</v>
      </c>
      <c r="AZ86" t="n">
        <v>10</v>
      </c>
      <c r="BA86" t="n">
        <v>1</v>
      </c>
      <c r="BB86" t="n">
        <v>6.461084776562363</v>
      </c>
      <c r="BC86" t="n">
        <v>14.8829344673992</v>
      </c>
      <c r="BD86" t="n">
        <v>3.288337800030299</v>
      </c>
      <c r="BE86" t="n">
        <v>13.19351513695116</v>
      </c>
      <c r="BF86" t="n">
        <v>0</v>
      </c>
      <c r="BG86" t="n">
        <v>37.82587218094302</v>
      </c>
      <c r="BH86" t="n">
        <v>30.20620877240313</v>
      </c>
      <c r="BI86" t="n">
        <v/>
      </c>
      <c r="BJ86" t="n">
        <v/>
      </c>
      <c r="BK86" t="n">
        <v>24</v>
      </c>
      <c r="BL86" t="n">
        <v>71</v>
      </c>
      <c r="BM86" t="n">
        <v>70</v>
      </c>
      <c r="BN86" t="n">
        <v>600.7707912760648</v>
      </c>
      <c r="BO86" t="inlineStr">
        <is>
          <t>Coding</t>
        </is>
      </c>
      <c r="BP86" t="inlineStr">
        <is>
          <t>Won't Fix</t>
        </is>
      </c>
      <c r="BQ86" t="n">
        <v/>
      </c>
      <c r="BR86" t="n">
        <v/>
      </c>
      <c r="BS86" t="b">
        <v>0</v>
      </c>
      <c r="BT86" t="n">
        <v/>
      </c>
      <c r="BU86" t="n">
        <v>2</v>
      </c>
      <c r="BV86" t="n">
        <v>0</v>
      </c>
    </row>
    <row r="87">
      <c r="A87" t="n">
        <v>191825</v>
      </c>
      <c r="B87" t="inlineStr">
        <is>
          <t>عدم اعمال و نمایش ،شماره مشتری ویرایش شده ، در پنل خلاصه مشتری</t>
        </is>
      </c>
      <c r="C87" t="inlineStr">
        <is>
          <t>تکمیل توضیحات: عدم اعمال و نمایش ،شماره مشتری ویرایش شده ، در پنل...</t>
        </is>
      </c>
      <c r="D87" t="inlineStr">
        <is>
          <t>High</t>
        </is>
      </c>
      <c r="E87" t="inlineStr">
        <is>
          <t>P2</t>
        </is>
      </c>
      <c r="F87" t="inlineStr">
        <is>
          <t>Open</t>
        </is>
      </c>
      <c r="G87" t="inlineStr">
        <is>
          <t>Backend</t>
        </is>
      </c>
      <c r="H87" t="b">
        <v>0</v>
      </c>
      <c r="I87" t="b">
        <v>0</v>
      </c>
      <c r="J87" t="inlineStr">
        <is>
          <t>PRJ-001</t>
        </is>
      </c>
      <c r="K87" t="inlineStr">
        <is>
          <t>Dem System</t>
        </is>
      </c>
      <c r="L87" t="inlineStr">
        <is>
          <t>Team Beta</t>
        </is>
      </c>
      <c r="M87" t="inlineStr">
        <is>
          <t>T02</t>
        </is>
      </c>
      <c r="N87" t="inlineStr">
        <is>
          <t>M09</t>
        </is>
      </c>
      <c r="O87" t="inlineStr">
        <is>
          <t>Dem\DemBiz\SP_88</t>
        </is>
      </c>
      <c r="P87" t="inlineStr">
        <is>
          <t>Sprint 26</t>
        </is>
      </c>
      <c r="Q87" t="inlineStr">
        <is>
          <t>S26</t>
        </is>
      </c>
      <c r="R87" t="inlineStr">
        <is>
          <t>Backend;High</t>
        </is>
      </c>
      <c r="S87" t="inlineStr">
        <is>
          <t>EXT-191825</t>
        </is>
      </c>
      <c r="T87" t="inlineStr">
        <is>
          <t>کامنت 1 مورد</t>
        </is>
      </c>
      <c r="U87" t="inlineStr">
        <is>
          <t>Sara Ahmadi</t>
        </is>
      </c>
      <c r="V87" t="inlineStr">
        <is>
          <t>U091</t>
        </is>
      </c>
      <c r="W87" t="inlineStr">
        <is>
          <t>Mina Hosseini</t>
        </is>
      </c>
      <c r="X87" t="inlineStr">
        <is>
          <t>U860</t>
        </is>
      </c>
      <c r="Y87" t="n">
        <v/>
      </c>
      <c r="Z87" t="n">
        <v/>
      </c>
      <c r="AA87" t="n">
        <v/>
      </c>
      <c r="AB87" t="n">
        <v/>
      </c>
      <c r="AC87" t="inlineStr">
        <is>
          <t>2024-06-20</t>
        </is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t="n">
        <v/>
      </c>
      <c r="AL87" t="n">
        <v/>
      </c>
      <c r="AM87" t="inlineStr">
        <is>
          <t>2024-06-20 00:00:00</t>
        </is>
      </c>
      <c r="AN87" t="inlineStr">
        <is>
          <t>2024-08-09</t>
        </is>
      </c>
      <c r="AO87" t="n">
        <v>0</v>
      </c>
      <c r="AP87" t="n">
        <v/>
      </c>
      <c r="AQ87" t="n">
        <v/>
      </c>
      <c r="AR87" t="n">
        <v/>
      </c>
      <c r="AS87" t="n">
        <v>2</v>
      </c>
      <c r="AT87" t="n">
        <v/>
      </c>
      <c r="AU87" t="n">
        <v/>
      </c>
      <c r="AV87" t="n">
        <v/>
      </c>
      <c r="AW87" t="n">
        <v/>
      </c>
      <c r="AX87" t="inlineStr">
        <is>
          <t>[{"state": "Open", "timestamp": "2024-06-20T00:00:00"}, {"state": "Triage", "timestamp": ""}]</t>
        </is>
      </c>
      <c r="AY87" t="n">
        <v>0</v>
      </c>
      <c r="AZ87" t="n">
        <v>3</v>
      </c>
      <c r="BA87" t="n">
        <v>1</v>
      </c>
      <c r="BB87" t="n">
        <v>4.269778198288941</v>
      </c>
      <c r="BC87" t="n">
        <v>30.5559983081104</v>
      </c>
      <c r="BD87" t="n">
        <v>15.34945731849071</v>
      </c>
      <c r="BE87" t="n">
        <v>15.99576509929196</v>
      </c>
      <c r="BF87" t="n">
        <v>0</v>
      </c>
      <c r="BG87" t="n">
        <v>66.170998924182</v>
      </c>
      <c r="BH87" t="n">
        <v>78.66043300858539</v>
      </c>
      <c r="BI87" t="n">
        <v/>
      </c>
      <c r="BJ87" t="n">
        <v/>
      </c>
      <c r="BK87" t="n">
        <v/>
      </c>
      <c r="BL87" t="n">
        <v>0</v>
      </c>
      <c r="BM87" t="n">
        <v>0</v>
      </c>
      <c r="BN87" t="n">
        <v>553.7707912761805</v>
      </c>
      <c r="BO87" t="n">
        <v/>
      </c>
      <c r="BP87" t="n">
        <v/>
      </c>
      <c r="BQ87" t="n">
        <v/>
      </c>
      <c r="BR87" t="n">
        <v/>
      </c>
      <c r="BS87" t="b">
        <v>0</v>
      </c>
      <c r="BT87" t="n">
        <v/>
      </c>
      <c r="BU87" t="n">
        <v>0</v>
      </c>
      <c r="BV87" t="n">
        <v>0</v>
      </c>
    </row>
    <row r="88">
      <c r="A88" t="n">
        <v>191830</v>
      </c>
      <c r="B88" t="inlineStr">
        <is>
          <t>بعداز انتخاب مشتری قدیمی در فرم ثبت گزارش نویسی جدید، دیتا سیو ودرگرید کارتابل کاربر نمایش داده می شود</t>
        </is>
      </c>
      <c r="C88" t="inlineStr">
        <is>
          <t>تکمیل توضیحات: بعداز انتخاب مشتری قدیمی در فرم ثبت گزارش نویسی جد...</t>
        </is>
      </c>
      <c r="D88" t="inlineStr">
        <is>
          <t>Medium</t>
        </is>
      </c>
      <c r="E88" t="inlineStr">
        <is>
          <t>P3</t>
        </is>
      </c>
      <c r="F88" t="inlineStr">
        <is>
          <t>Resolved</t>
        </is>
      </c>
      <c r="G88" t="inlineStr">
        <is>
          <t>Performance</t>
        </is>
      </c>
      <c r="H88" t="b">
        <v>1</v>
      </c>
      <c r="I88" t="b">
        <v>0</v>
      </c>
      <c r="J88" t="inlineStr">
        <is>
          <t>PRJ-001</t>
        </is>
      </c>
      <c r="K88" t="inlineStr">
        <is>
          <t>Dem System</t>
        </is>
      </c>
      <c r="L88" t="inlineStr">
        <is>
          <t>Team Alpha</t>
        </is>
      </c>
      <c r="M88" t="inlineStr">
        <is>
          <t>T01</t>
        </is>
      </c>
      <c r="N88" t="inlineStr">
        <is>
          <t>M09</t>
        </is>
      </c>
      <c r="O88" t="inlineStr">
        <is>
          <t>Dem\DemBiz\SP_88</t>
        </is>
      </c>
      <c r="P88" t="inlineStr">
        <is>
          <t>Sprint 23</t>
        </is>
      </c>
      <c r="Q88" t="inlineStr">
        <is>
          <t>S23</t>
        </is>
      </c>
      <c r="R88" t="inlineStr">
        <is>
          <t>Performance;Medium</t>
        </is>
      </c>
      <c r="S88" t="n">
        <v/>
      </c>
      <c r="T88" t="inlineStr">
        <is>
          <t>کامنت 0 مورد</t>
        </is>
      </c>
      <c r="U88" t="inlineStr">
        <is>
          <t>Zahra Ebrahimi</t>
        </is>
      </c>
      <c r="V88" t="inlineStr">
        <is>
          <t>U002</t>
        </is>
      </c>
      <c r="W88" t="inlineStr">
        <is>
          <t>Mina Hosseini</t>
        </is>
      </c>
      <c r="X88" t="inlineStr">
        <is>
          <t>U860</t>
        </is>
      </c>
      <c r="Y88" t="inlineStr">
        <is>
          <t>Reza Mohammadi</t>
        </is>
      </c>
      <c r="Z88" t="inlineStr">
        <is>
          <t>U493</t>
        </is>
      </c>
      <c r="AA88" t="inlineStr">
        <is>
          <t>Reza Mohammadi</t>
        </is>
      </c>
      <c r="AB88" t="inlineStr">
        <is>
          <t>U493</t>
        </is>
      </c>
      <c r="AC88" t="inlineStr">
        <is>
          <t>2024-04-13</t>
        </is>
      </c>
      <c r="AD88" t="inlineStr">
        <is>
          <t>2024-04-14 23:00:00</t>
        </is>
      </c>
      <c r="AE88" t="inlineStr">
        <is>
          <t>2024-04-15 05:00:00</t>
        </is>
      </c>
      <c r="AF88" t="inlineStr">
        <is>
          <t>2024-04-17 18:00:00</t>
        </is>
      </c>
      <c r="AG88" t="inlineStr">
        <is>
          <t>2024-04-17 18:00:00</t>
        </is>
      </c>
      <c r="AH88" t="inlineStr">
        <is>
          <t>2024-04-18 18:00:00</t>
        </is>
      </c>
      <c r="AI88" t="inlineStr">
        <is>
          <t>2024-04-20 13:00:00</t>
        </is>
      </c>
      <c r="AJ88" t="n">
        <v/>
      </c>
      <c r="AK88" t="n">
        <v/>
      </c>
      <c r="AL88" t="n">
        <v/>
      </c>
      <c r="AM88" t="inlineStr">
        <is>
          <t>2024-04-20 13:00:00</t>
        </is>
      </c>
      <c r="AN88" t="inlineStr">
        <is>
          <t>2024-05-24</t>
        </is>
      </c>
      <c r="AO88" t="n">
        <v>0</v>
      </c>
      <c r="AP88" t="n">
        <v/>
      </c>
      <c r="AQ88" t="n">
        <v/>
      </c>
      <c r="AR88" t="inlineStr">
        <is>
          <t>Ready for Retest</t>
        </is>
      </c>
      <c r="AS88" t="n">
        <v>6</v>
      </c>
      <c r="AT88" t="n">
        <v>6</v>
      </c>
      <c r="AU88" t="n">
        <v>61</v>
      </c>
      <c r="AV88" t="n">
        <v>24</v>
      </c>
      <c r="AW88" t="n">
        <v>43</v>
      </c>
      <c r="AX88" t="inlineStr">
        <is>
          <t>[{"state": "Open", "timestamp": "2024-04-13T00:00:00"}, {"state": "Triage", "timestamp": "2024-04-14T23:00:00"}]</t>
        </is>
      </c>
      <c r="AY88" t="n">
        <v>0</v>
      </c>
      <c r="AZ88" t="n">
        <v>6</v>
      </c>
      <c r="BA88" t="n">
        <v>1</v>
      </c>
      <c r="BB88" t="n">
        <v>4.826779134697693</v>
      </c>
      <c r="BC88" t="n">
        <v>1.561346056560479</v>
      </c>
      <c r="BD88" t="n">
        <v>12.55525223466709</v>
      </c>
      <c r="BE88" t="n">
        <v>15.94955255610858</v>
      </c>
      <c r="BF88" t="n">
        <v>0</v>
      </c>
      <c r="BG88" t="n">
        <v>34.89292998203384</v>
      </c>
      <c r="BH88" t="n">
        <v>38.35145901502131</v>
      </c>
      <c r="BI88" t="n">
        <v/>
      </c>
      <c r="BJ88" t="n">
        <v/>
      </c>
      <c r="BK88" t="n">
        <v>53</v>
      </c>
      <c r="BL88" t="n">
        <v>110</v>
      </c>
      <c r="BM88" t="n">
        <v>24</v>
      </c>
      <c r="BN88" t="n">
        <v>621.7707912762963</v>
      </c>
      <c r="BO88" t="inlineStr">
        <is>
          <t>Config</t>
        </is>
      </c>
      <c r="BP88" t="inlineStr">
        <is>
          <t>Fixed</t>
        </is>
      </c>
      <c r="BQ88" t="n">
        <v/>
      </c>
      <c r="BR88" t="inlineStr">
        <is>
          <t>TC-1949</t>
        </is>
      </c>
      <c r="BS88" t="b">
        <v>0</v>
      </c>
      <c r="BT88" t="n">
        <v/>
      </c>
      <c r="BU88" t="n">
        <v>0</v>
      </c>
      <c r="BV88" t="n">
        <v>0</v>
      </c>
    </row>
    <row r="89">
      <c r="A89" t="n">
        <v>191833</v>
      </c>
      <c r="B89" t="inlineStr">
        <is>
          <t>نباید بتوان یک شناسه ملی را برای دو مشتری ثبت کرد</t>
        </is>
      </c>
      <c r="C89" t="inlineStr">
        <is>
          <t>تکمیل توضیحات: نباید بتوان یک شناسه ملی را برای دو مشتری ثبت کرد...</t>
        </is>
      </c>
      <c r="D89" t="inlineStr">
        <is>
          <t>Medium</t>
        </is>
      </c>
      <c r="E89" t="inlineStr">
        <is>
          <t>P2</t>
        </is>
      </c>
      <c r="F89" t="inlineStr">
        <is>
          <t>Resolved</t>
        </is>
      </c>
      <c r="G89" t="inlineStr">
        <is>
          <t>Security</t>
        </is>
      </c>
      <c r="H89" t="b">
        <v>0</v>
      </c>
      <c r="I89" t="b">
        <v>0</v>
      </c>
      <c r="J89" t="inlineStr">
        <is>
          <t>PRJ-001</t>
        </is>
      </c>
      <c r="K89" t="inlineStr">
        <is>
          <t>Dem System</t>
        </is>
      </c>
      <c r="L89" t="inlineStr">
        <is>
          <t>Team Gamma</t>
        </is>
      </c>
      <c r="M89" t="inlineStr">
        <is>
          <t>T03</t>
        </is>
      </c>
      <c r="N89" t="inlineStr">
        <is>
          <t>M09</t>
        </is>
      </c>
      <c r="O89" t="inlineStr">
        <is>
          <t>Dem\DemBiz\SP_88</t>
        </is>
      </c>
      <c r="P89" t="inlineStr">
        <is>
          <t>Sprint 26</t>
        </is>
      </c>
      <c r="Q89" t="inlineStr">
        <is>
          <t>S26</t>
        </is>
      </c>
      <c r="R89" t="inlineStr">
        <is>
          <t>Security;Medium</t>
        </is>
      </c>
      <c r="S89" t="n">
        <v/>
      </c>
      <c r="T89" t="inlineStr">
        <is>
          <t>کامنت 0 مورد</t>
        </is>
      </c>
      <c r="U89" t="inlineStr">
        <is>
          <t>Hassan Karimi</t>
        </is>
      </c>
      <c r="V89" t="inlineStr">
        <is>
          <t>U829</t>
        </is>
      </c>
      <c r="W89" t="inlineStr">
        <is>
          <t>Fateme Akbari</t>
        </is>
      </c>
      <c r="X89" t="inlineStr">
        <is>
          <t>U511</t>
        </is>
      </c>
      <c r="Y89" t="inlineStr">
        <is>
          <t>Mina Hosseini</t>
        </is>
      </c>
      <c r="Z89" t="inlineStr">
        <is>
          <t>U860</t>
        </is>
      </c>
      <c r="AA89" t="inlineStr">
        <is>
          <t>Mohammad Safari</t>
        </is>
      </c>
      <c r="AB89" t="inlineStr">
        <is>
          <t>U093</t>
        </is>
      </c>
      <c r="AC89" t="inlineStr">
        <is>
          <t>2024-01-07</t>
        </is>
      </c>
      <c r="AD89" t="inlineStr">
        <is>
          <t>2024-01-08 02:00:00</t>
        </is>
      </c>
      <c r="AE89" t="inlineStr">
        <is>
          <t>2024-01-08 21:00:00</t>
        </is>
      </c>
      <c r="AF89" t="inlineStr">
        <is>
          <t>2024-01-09 02:00:00</t>
        </is>
      </c>
      <c r="AG89" t="inlineStr">
        <is>
          <t>2024-01-09 02:00:00</t>
        </is>
      </c>
      <c r="AH89" t="inlineStr">
        <is>
          <t>2024-01-09 20:00:00</t>
        </is>
      </c>
      <c r="AI89" t="inlineStr">
        <is>
          <t>2024-01-11 17:00:00</t>
        </is>
      </c>
      <c r="AJ89" t="n">
        <v/>
      </c>
      <c r="AK89" t="n">
        <v/>
      </c>
      <c r="AL89" t="n">
        <v/>
      </c>
      <c r="AM89" t="inlineStr">
        <is>
          <t>2024-01-11 17:00:00</t>
        </is>
      </c>
      <c r="AN89" t="inlineStr">
        <is>
          <t>2024-02-10</t>
        </is>
      </c>
      <c r="AO89" t="n">
        <v>0</v>
      </c>
      <c r="AP89" t="n">
        <v/>
      </c>
      <c r="AQ89" t="n">
        <v/>
      </c>
      <c r="AR89" t="inlineStr">
        <is>
          <t>Ready for Retest</t>
        </is>
      </c>
      <c r="AS89" t="n">
        <v>5</v>
      </c>
      <c r="AT89" t="n">
        <v>19</v>
      </c>
      <c r="AU89" t="n">
        <v>5</v>
      </c>
      <c r="AV89" t="n">
        <v>18</v>
      </c>
      <c r="AW89" t="n">
        <v>45</v>
      </c>
      <c r="AX89" t="inlineStr">
        <is>
          <t>[{"state": "Open", "timestamp": "2024-01-07T00:00:00"}, {"state": "Triage", "timestamp": "2024-01-08T02:00:00"}]</t>
        </is>
      </c>
      <c r="AY89" t="n">
        <v>0</v>
      </c>
      <c r="AZ89" t="n">
        <v>5</v>
      </c>
      <c r="BA89" t="n">
        <v>1</v>
      </c>
      <c r="BB89" t="n">
        <v>4.19388270364148</v>
      </c>
      <c r="BC89" t="n">
        <v>5.526832979769734</v>
      </c>
      <c r="BD89" t="n">
        <v>2.471892184394409</v>
      </c>
      <c r="BE89" t="n">
        <v>9.331475584039412</v>
      </c>
      <c r="BF89" t="n">
        <v>0</v>
      </c>
      <c r="BG89" t="n">
        <v>21.52408345184504</v>
      </c>
      <c r="BH89" t="n">
        <v>21.8219607283947</v>
      </c>
      <c r="BI89" t="n">
        <v/>
      </c>
      <c r="BJ89" t="n">
        <v/>
      </c>
      <c r="BK89" t="n">
        <v>45</v>
      </c>
      <c r="BL89" t="n">
        <v>69</v>
      </c>
      <c r="BM89" t="n">
        <v>18</v>
      </c>
      <c r="BN89" t="n">
        <v>718.7707912764121</v>
      </c>
      <c r="BO89" t="inlineStr">
        <is>
          <t>Config</t>
        </is>
      </c>
      <c r="BP89" t="inlineStr">
        <is>
          <t>Fixed</t>
        </is>
      </c>
      <c r="BQ89" t="n">
        <v/>
      </c>
      <c r="BR89" t="inlineStr">
        <is>
          <t>TC-2290</t>
        </is>
      </c>
      <c r="BS89" t="b">
        <v>0</v>
      </c>
      <c r="BT89" t="n">
        <v/>
      </c>
      <c r="BU89" t="n">
        <v>0</v>
      </c>
      <c r="BV89" t="n">
        <v>2</v>
      </c>
    </row>
    <row r="90">
      <c r="A90" t="n">
        <v>191837</v>
      </c>
      <c r="B90" t="inlineStr">
        <is>
          <t>ثبت شماره مشتری تکراری در فرم ویرایش ،بعداز کلیک بر دکمه انصراف و ذخیره</t>
        </is>
      </c>
      <c r="C90" t="inlineStr">
        <is>
          <t>تکمیل توضیحات: ثبت شماره مشتری تکراری در فرم ویرایش ،بعداز کلیک ب...</t>
        </is>
      </c>
      <c r="D90" t="inlineStr">
        <is>
          <t>Low</t>
        </is>
      </c>
      <c r="E90" t="inlineStr">
        <is>
          <t>P2</t>
        </is>
      </c>
      <c r="F90" t="inlineStr">
        <is>
          <t>In Progress</t>
        </is>
      </c>
      <c r="G90" t="inlineStr">
        <is>
          <t>UI</t>
        </is>
      </c>
      <c r="H90" t="b">
        <v>1</v>
      </c>
      <c r="I90" t="b">
        <v>1</v>
      </c>
      <c r="J90" t="inlineStr">
        <is>
          <t>PRJ-001</t>
        </is>
      </c>
      <c r="K90" t="inlineStr">
        <is>
          <t>Dem System</t>
        </is>
      </c>
      <c r="L90" t="inlineStr">
        <is>
          <t>Team Alpha</t>
        </is>
      </c>
      <c r="M90" t="inlineStr">
        <is>
          <t>T01</t>
        </is>
      </c>
      <c r="N90" t="inlineStr">
        <is>
          <t>M09</t>
        </is>
      </c>
      <c r="O90" t="inlineStr">
        <is>
          <t>Dem\DemBiz\SP_88</t>
        </is>
      </c>
      <c r="P90" t="inlineStr">
        <is>
          <t>Sprint 23</t>
        </is>
      </c>
      <c r="Q90" t="inlineStr">
        <is>
          <t>S23</t>
        </is>
      </c>
      <c r="R90" t="inlineStr">
        <is>
          <t>UI;Low</t>
        </is>
      </c>
      <c r="S90" t="inlineStr">
        <is>
          <t>EXT-191837</t>
        </is>
      </c>
      <c r="T90" t="inlineStr">
        <is>
          <t>کامنت 5 مورد</t>
        </is>
      </c>
      <c r="U90" t="inlineStr">
        <is>
          <t>Fateme Akbari</t>
        </is>
      </c>
      <c r="V90" t="inlineStr">
        <is>
          <t>U511</t>
        </is>
      </c>
      <c r="W90" t="inlineStr">
        <is>
          <t>Mina Hosseini</t>
        </is>
      </c>
      <c r="X90" t="inlineStr">
        <is>
          <t>U860</t>
        </is>
      </c>
      <c r="Y90" t="n">
        <v/>
      </c>
      <c r="Z90" t="n">
        <v/>
      </c>
      <c r="AA90" t="n">
        <v/>
      </c>
      <c r="AB90" t="n">
        <v/>
      </c>
      <c r="AC90" t="inlineStr">
        <is>
          <t>2024-02-04</t>
        </is>
      </c>
      <c r="AD90" t="inlineStr">
        <is>
          <t>2024-02-05 06:00:00</t>
        </is>
      </c>
      <c r="AE90" t="inlineStr">
        <is>
          <t>2024-02-05 12:00:00</t>
        </is>
      </c>
      <c r="AF90" t="inlineStr">
        <is>
          <t>2024-02-05 20:00:00</t>
        </is>
      </c>
      <c r="AG90" t="inlineStr">
        <is>
          <t>2024-02-05 20:00:00</t>
        </is>
      </c>
      <c r="AH90" t="n">
        <v/>
      </c>
      <c r="AI90" t="n">
        <v/>
      </c>
      <c r="AJ90" t="n">
        <v/>
      </c>
      <c r="AK90" t="n">
        <v/>
      </c>
      <c r="AL90" t="n">
        <v/>
      </c>
      <c r="AM90" t="inlineStr">
        <is>
          <t>2024-02-05 20:00:00</t>
        </is>
      </c>
      <c r="AN90" t="inlineStr">
        <is>
          <t>2024-02-27</t>
        </is>
      </c>
      <c r="AO90" t="n">
        <v>0</v>
      </c>
      <c r="AP90" t="n">
        <v/>
      </c>
      <c r="AQ90" t="n">
        <v/>
      </c>
      <c r="AR90" t="inlineStr">
        <is>
          <t>Active</t>
        </is>
      </c>
      <c r="AS90" t="n">
        <v>6</v>
      </c>
      <c r="AT90" t="n">
        <v>6</v>
      </c>
      <c r="AU90" t="n">
        <v>8</v>
      </c>
      <c r="AV90" t="n">
        <v/>
      </c>
      <c r="AW90" t="n">
        <v/>
      </c>
      <c r="AX90" t="inlineStr">
        <is>
          <t>[{"state": "Open", "timestamp": "2024-02-04T00:00:00"}, {"state": "Triage", "timestamp": "2024-02-05T06:00:00"}]</t>
        </is>
      </c>
      <c r="AY90" t="n">
        <v>3</v>
      </c>
      <c r="AZ90" t="n">
        <v>7</v>
      </c>
      <c r="BA90" t="n">
        <v>1</v>
      </c>
      <c r="BB90" t="n">
        <v>1.964322408485334</v>
      </c>
      <c r="BC90" t="n">
        <v>2.794103038848357</v>
      </c>
      <c r="BD90" t="n">
        <v>2.14008271924245</v>
      </c>
      <c r="BE90" t="n">
        <v>12.53481122770766</v>
      </c>
      <c r="BF90" t="n">
        <v>0</v>
      </c>
      <c r="BG90" t="n">
        <v>19.4333193942838</v>
      </c>
      <c r="BH90" t="n">
        <v>17.78728401982516</v>
      </c>
      <c r="BI90" t="n">
        <v/>
      </c>
      <c r="BJ90" t="n">
        <v/>
      </c>
      <c r="BK90" t="n">
        <v>36</v>
      </c>
      <c r="BL90" t="n">
        <v>14</v>
      </c>
      <c r="BM90" t="n">
        <v>0</v>
      </c>
      <c r="BN90" t="n">
        <v>690.7707912765162</v>
      </c>
      <c r="BO90" t="n">
        <v/>
      </c>
      <c r="BP90" t="n">
        <v/>
      </c>
      <c r="BQ90" t="n">
        <v/>
      </c>
      <c r="BR90" t="inlineStr">
        <is>
          <t>TC-8962</t>
        </is>
      </c>
      <c r="BS90" t="b">
        <v>0</v>
      </c>
      <c r="BT90" t="n">
        <v/>
      </c>
      <c r="BU90" t="n">
        <v>0</v>
      </c>
      <c r="BV90" t="n">
        <v>0</v>
      </c>
    </row>
    <row r="91">
      <c r="A91" t="n">
        <v>191880</v>
      </c>
      <c r="B91" t="inlineStr">
        <is>
          <t>دکمه تایید و ادامه در فرم نمایش اطلاعات مشتری ، پیغام خطا می دهد</t>
        </is>
      </c>
      <c r="C91" t="inlineStr">
        <is>
          <t>تکمیل توضیحات: دکمه تایید و ادامه در فرم نمایش اطلاعات مشتری ، پی...</t>
        </is>
      </c>
      <c r="D91" t="inlineStr">
        <is>
          <t>Medium</t>
        </is>
      </c>
      <c r="E91" t="inlineStr">
        <is>
          <t>P1</t>
        </is>
      </c>
      <c r="F91" t="inlineStr">
        <is>
          <t>Done</t>
        </is>
      </c>
      <c r="G91" t="inlineStr">
        <is>
          <t>UI</t>
        </is>
      </c>
      <c r="H91" t="b">
        <v>0</v>
      </c>
      <c r="I91" t="b">
        <v>1</v>
      </c>
      <c r="J91" t="inlineStr">
        <is>
          <t>PRJ-001</t>
        </is>
      </c>
      <c r="K91" t="inlineStr">
        <is>
          <t>Dem System</t>
        </is>
      </c>
      <c r="L91" t="inlineStr">
        <is>
          <t>Team Beta</t>
        </is>
      </c>
      <c r="M91" t="inlineStr">
        <is>
          <t>T02</t>
        </is>
      </c>
      <c r="N91" t="inlineStr">
        <is>
          <t>M09</t>
        </is>
      </c>
      <c r="O91" t="inlineStr">
        <is>
          <t>Dem\DemBiz\SP_88</t>
        </is>
      </c>
      <c r="P91" t="inlineStr">
        <is>
          <t>Sprint 24</t>
        </is>
      </c>
      <c r="Q91" t="inlineStr">
        <is>
          <t>S24</t>
        </is>
      </c>
      <c r="R91" t="inlineStr">
        <is>
          <t>UI;Medium</t>
        </is>
      </c>
      <c r="S91" t="inlineStr">
        <is>
          <t>EXT-191880</t>
        </is>
      </c>
      <c r="T91" t="inlineStr">
        <is>
          <t>کامنت 5 مورد</t>
        </is>
      </c>
      <c r="U91" t="inlineStr">
        <is>
          <t>Fateme Akbari</t>
        </is>
      </c>
      <c r="V91" t="inlineStr">
        <is>
          <t>U511</t>
        </is>
      </c>
      <c r="W91" t="inlineStr">
        <is>
          <t>Hassan Karimi</t>
        </is>
      </c>
      <c r="X91" t="inlineStr">
        <is>
          <t>U829</t>
        </is>
      </c>
      <c r="Y91" t="inlineStr">
        <is>
          <t>Reza Mohammadi</t>
        </is>
      </c>
      <c r="Z91" t="inlineStr">
        <is>
          <t>U493</t>
        </is>
      </c>
      <c r="AA91" t="inlineStr">
        <is>
          <t>Sara Ahmadi</t>
        </is>
      </c>
      <c r="AB91" t="inlineStr">
        <is>
          <t>U091</t>
        </is>
      </c>
      <c r="AC91" t="inlineStr">
        <is>
          <t>2024-04-07</t>
        </is>
      </c>
      <c r="AD91" t="inlineStr">
        <is>
          <t>2024-04-07 21:00:00</t>
        </is>
      </c>
      <c r="AE91" t="inlineStr">
        <is>
          <t>2024-04-08 04:00:00</t>
        </is>
      </c>
      <c r="AF91" t="inlineStr">
        <is>
          <t>2024-04-10 16:00:00</t>
        </is>
      </c>
      <c r="AG91" t="inlineStr">
        <is>
          <t>2024-04-10 16:00:00</t>
        </is>
      </c>
      <c r="AH91" t="inlineStr">
        <is>
          <t>2024-04-12 17:00:00</t>
        </is>
      </c>
      <c r="AI91" t="inlineStr">
        <is>
          <t>2024-04-13 18:00:00</t>
        </is>
      </c>
      <c r="AJ91" t="inlineStr">
        <is>
          <t>2024-04-14 08:00:00</t>
        </is>
      </c>
      <c r="AK91" t="inlineStr">
        <is>
          <t>2024-04-14 08:00:00</t>
        </is>
      </c>
      <c r="AL91" t="n">
        <v/>
      </c>
      <c r="AM91" t="inlineStr">
        <is>
          <t>2024-04-14 08:00:00</t>
        </is>
      </c>
      <c r="AN91" t="inlineStr">
        <is>
          <t>2024-05-01</t>
        </is>
      </c>
      <c r="AO91" t="n">
        <v>0</v>
      </c>
      <c r="AP91" t="n">
        <v/>
      </c>
      <c r="AQ91" t="n">
        <v/>
      </c>
      <c r="AR91" t="inlineStr">
        <is>
          <t>Resolved</t>
        </is>
      </c>
      <c r="AS91" t="n">
        <v>7</v>
      </c>
      <c r="AT91" t="n">
        <v>7</v>
      </c>
      <c r="AU91" t="n">
        <v>60</v>
      </c>
      <c r="AV91" t="n">
        <v>49</v>
      </c>
      <c r="AW91" t="n">
        <v>25</v>
      </c>
      <c r="AX91" t="inlineStr">
        <is>
          <t>[{"state": "Open", "timestamp": "2024-04-07T00:00:00"}, {"state": "Triage", "timestamp": "2024-04-07T21:00:00"}]</t>
        </is>
      </c>
      <c r="AY91" t="n">
        <v>2</v>
      </c>
      <c r="AZ91" t="n">
        <v>7</v>
      </c>
      <c r="BA91" t="n">
        <v>1</v>
      </c>
      <c r="BB91" t="n">
        <v>5.91839086446129</v>
      </c>
      <c r="BC91" t="n">
        <v>2.588423290439835</v>
      </c>
      <c r="BD91" t="n">
        <v>14.16889806345284</v>
      </c>
      <c r="BE91" t="n">
        <v>15.17148594823642</v>
      </c>
      <c r="BF91" t="n">
        <v>0</v>
      </c>
      <c r="BG91" t="n">
        <v>37.84719816659039</v>
      </c>
      <c r="BH91" t="n">
        <v>46.41278833660965</v>
      </c>
      <c r="BI91" t="n">
        <v/>
      </c>
      <c r="BJ91" t="n">
        <v/>
      </c>
      <c r="BK91" t="n">
        <v>28</v>
      </c>
      <c r="BL91" t="n">
        <v>92</v>
      </c>
      <c r="BM91" t="n">
        <v>49</v>
      </c>
      <c r="BN91" t="n">
        <v>627.7707912766203</v>
      </c>
      <c r="BO91" t="inlineStr">
        <is>
          <t>Testing</t>
        </is>
      </c>
      <c r="BP91" t="inlineStr">
        <is>
          <t>Fixed</t>
        </is>
      </c>
      <c r="BQ91" t="n">
        <v/>
      </c>
      <c r="BR91" t="n">
        <v/>
      </c>
      <c r="BS91" t="b">
        <v>0</v>
      </c>
      <c r="BT91" t="n">
        <v/>
      </c>
      <c r="BU91" t="n">
        <v>3</v>
      </c>
      <c r="BV91" t="n">
        <v>2</v>
      </c>
    </row>
    <row r="92">
      <c r="A92" t="n">
        <v>191892</v>
      </c>
      <c r="B92" t="inlineStr">
        <is>
          <t>دکمه تایید در فرم ثبت گزارش نویسی ، پیغام شماره مشتری ، خود مشتری انتخابی را می دهد</t>
        </is>
      </c>
      <c r="C92" t="inlineStr">
        <is>
          <t>تکمیل توضیحات: دکمه تایید در فرم ثبت گزارش نویسی ، پیغام شماره مش...</t>
        </is>
      </c>
      <c r="D92" t="inlineStr">
        <is>
          <t>High</t>
        </is>
      </c>
      <c r="E92" t="inlineStr">
        <is>
          <t>P1</t>
        </is>
      </c>
      <c r="F92" t="inlineStr">
        <is>
          <t>Open</t>
        </is>
      </c>
      <c r="G92" t="inlineStr">
        <is>
          <t>Data</t>
        </is>
      </c>
      <c r="H92" t="b">
        <v>1</v>
      </c>
      <c r="I92" t="b">
        <v>0</v>
      </c>
      <c r="J92" t="inlineStr">
        <is>
          <t>PRJ-001</t>
        </is>
      </c>
      <c r="K92" t="inlineStr">
        <is>
          <t>Dem System</t>
        </is>
      </c>
      <c r="L92" t="inlineStr">
        <is>
          <t>Team Gamma</t>
        </is>
      </c>
      <c r="M92" t="inlineStr">
        <is>
          <t>T03</t>
        </is>
      </c>
      <c r="N92" t="inlineStr">
        <is>
          <t>M09</t>
        </is>
      </c>
      <c r="O92" t="inlineStr">
        <is>
          <t>Dem\DemBiz\SP_88</t>
        </is>
      </c>
      <c r="P92" t="inlineStr">
        <is>
          <t>Sprint 27</t>
        </is>
      </c>
      <c r="Q92" t="inlineStr">
        <is>
          <t>S27</t>
        </is>
      </c>
      <c r="R92" t="inlineStr">
        <is>
          <t>Data;High</t>
        </is>
      </c>
      <c r="S92" t="inlineStr">
        <is>
          <t>EXT-191892</t>
        </is>
      </c>
      <c r="T92" t="inlineStr">
        <is>
          <t>کامنت 0 مورد</t>
        </is>
      </c>
      <c r="U92" t="inlineStr">
        <is>
          <t>Reza Mohammadi</t>
        </is>
      </c>
      <c r="V92" t="inlineStr">
        <is>
          <t>U493</t>
        </is>
      </c>
      <c r="W92" t="inlineStr">
        <is>
          <t>Fateme Akbari</t>
        </is>
      </c>
      <c r="X92" t="inlineStr">
        <is>
          <t>U511</t>
        </is>
      </c>
      <c r="Y92" t="n">
        <v/>
      </c>
      <c r="Z92" t="n">
        <v/>
      </c>
      <c r="AA92" t="n">
        <v/>
      </c>
      <c r="AB92" t="n">
        <v/>
      </c>
      <c r="AC92" t="inlineStr">
        <is>
          <t>2024-04-17</t>
        </is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t="n">
        <v/>
      </c>
      <c r="AL92" t="n">
        <v/>
      </c>
      <c r="AM92" t="inlineStr">
        <is>
          <t>2024-04-17 00:00:00</t>
        </is>
      </c>
      <c r="AN92" t="inlineStr">
        <is>
          <t>2024-05-10</t>
        </is>
      </c>
      <c r="AO92" t="n">
        <v>0</v>
      </c>
      <c r="AP92" t="n">
        <v/>
      </c>
      <c r="AQ92" t="n">
        <v/>
      </c>
      <c r="AR92" t="n">
        <v/>
      </c>
      <c r="AS92" t="n">
        <v>3</v>
      </c>
      <c r="AT92" t="n">
        <v/>
      </c>
      <c r="AU92" t="n">
        <v/>
      </c>
      <c r="AV92" t="n">
        <v/>
      </c>
      <c r="AW92" t="n">
        <v/>
      </c>
      <c r="AX92" t="inlineStr">
        <is>
          <t>[{"state": "Open", "timestamp": "2024-04-17T00:00:00"}, {"state": "Triage", "timestamp": ""}]</t>
        </is>
      </c>
      <c r="AY92" t="n">
        <v>2</v>
      </c>
      <c r="AZ92" t="n">
        <v>4</v>
      </c>
      <c r="BA92" t="n">
        <v>1</v>
      </c>
      <c r="BB92" t="n">
        <v>2.605792718306418</v>
      </c>
      <c r="BC92" t="n">
        <v>34.36296277642928</v>
      </c>
      <c r="BD92" t="n">
        <v>1.918878624101774</v>
      </c>
      <c r="BE92" t="n">
        <v>13.74471086016117</v>
      </c>
      <c r="BF92" t="n">
        <v>0</v>
      </c>
      <c r="BG92" t="n">
        <v>52.63234497899865</v>
      </c>
      <c r="BH92" t="n">
        <v>49.23582525281205</v>
      </c>
      <c r="BI92" t="n">
        <v/>
      </c>
      <c r="BJ92" t="n">
        <v/>
      </c>
      <c r="BK92" t="n">
        <v/>
      </c>
      <c r="BL92" t="n">
        <v>0</v>
      </c>
      <c r="BM92" t="n">
        <v>0</v>
      </c>
      <c r="BN92" t="n">
        <v>617.7707912767361</v>
      </c>
      <c r="BO92" t="n">
        <v/>
      </c>
      <c r="BP92" t="n">
        <v/>
      </c>
      <c r="BQ92" t="n">
        <v/>
      </c>
      <c r="BR92" t="n">
        <v/>
      </c>
      <c r="BS92" t="b">
        <v>0</v>
      </c>
      <c r="BT92" t="n">
        <v/>
      </c>
      <c r="BU92" t="n">
        <v>0</v>
      </c>
      <c r="BV92" t="n">
        <v>0</v>
      </c>
    </row>
    <row r="93">
      <c r="A93" t="n">
        <v>191984</v>
      </c>
      <c r="B93" t="inlineStr">
        <is>
          <t>فیلد نوع مالکیت در فرم ثبت شخص حقوقی اجباری شود</t>
        </is>
      </c>
      <c r="C93" t="inlineStr">
        <is>
          <t>تکمیل توضیحات: فیلد نوع مالکیت در فرم ثبت شخص حقوقی اجباری شود...</t>
        </is>
      </c>
      <c r="D93" t="inlineStr">
        <is>
          <t>Medium</t>
        </is>
      </c>
      <c r="E93" t="inlineStr">
        <is>
          <t>P3</t>
        </is>
      </c>
      <c r="F93" t="inlineStr">
        <is>
          <t>Open</t>
        </is>
      </c>
      <c r="G93" t="inlineStr">
        <is>
          <t>Performance</t>
        </is>
      </c>
      <c r="H93" t="b">
        <v>1</v>
      </c>
      <c r="I93" t="b">
        <v>0</v>
      </c>
      <c r="J93" t="inlineStr">
        <is>
          <t>PRJ-001</t>
        </is>
      </c>
      <c r="K93" t="inlineStr">
        <is>
          <t>Dem System</t>
        </is>
      </c>
      <c r="L93" t="inlineStr">
        <is>
          <t>Team Delta</t>
        </is>
      </c>
      <c r="M93" t="inlineStr">
        <is>
          <t>T04</t>
        </is>
      </c>
      <c r="N93" t="inlineStr">
        <is>
          <t>M09</t>
        </is>
      </c>
      <c r="O93" t="inlineStr">
        <is>
          <t>Dem\DemBiz\SP_88</t>
        </is>
      </c>
      <c r="P93" t="inlineStr">
        <is>
          <t>Sprint 25</t>
        </is>
      </c>
      <c r="Q93" t="inlineStr">
        <is>
          <t>S25</t>
        </is>
      </c>
      <c r="R93" t="inlineStr">
        <is>
          <t>Performance;Medium</t>
        </is>
      </c>
      <c r="S93" t="n">
        <v/>
      </c>
      <c r="T93" t="inlineStr">
        <is>
          <t>کامنت 1 مورد</t>
        </is>
      </c>
      <c r="U93" t="inlineStr">
        <is>
          <t>Mohammad Safari</t>
        </is>
      </c>
      <c r="V93" t="inlineStr">
        <is>
          <t>U093</t>
        </is>
      </c>
      <c r="W93" t="inlineStr">
        <is>
          <t>Hassan Karimi</t>
        </is>
      </c>
      <c r="X93" t="inlineStr">
        <is>
          <t>U829</t>
        </is>
      </c>
      <c r="Y93" t="n">
        <v/>
      </c>
      <c r="Z93" t="n">
        <v/>
      </c>
      <c r="AA93" t="n">
        <v/>
      </c>
      <c r="AB93" t="n">
        <v/>
      </c>
      <c r="AC93" t="inlineStr">
        <is>
          <t>2024-01-21</t>
        </is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t="n">
        <v/>
      </c>
      <c r="AL93" t="n">
        <v/>
      </c>
      <c r="AM93" t="inlineStr">
        <is>
          <t>2024-01-21 00:00:00</t>
        </is>
      </c>
      <c r="AN93" t="inlineStr">
        <is>
          <t>2024-02-27</t>
        </is>
      </c>
      <c r="AO93" t="n">
        <v>0</v>
      </c>
      <c r="AP93" t="n">
        <v/>
      </c>
      <c r="AQ93" t="n">
        <v/>
      </c>
      <c r="AR93" t="n">
        <v/>
      </c>
      <c r="AS93" t="n">
        <v>3</v>
      </c>
      <c r="AT93" t="n">
        <v/>
      </c>
      <c r="AU93" t="n">
        <v/>
      </c>
      <c r="AV93" t="n">
        <v/>
      </c>
      <c r="AW93" t="n">
        <v/>
      </c>
      <c r="AX93" t="inlineStr">
        <is>
          <t>[{"state": "Open", "timestamp": "2024-01-21T00:00:00"}, {"state": "Triage", "timestamp": ""}]</t>
        </is>
      </c>
      <c r="AY93" t="n">
        <v>0</v>
      </c>
      <c r="AZ93" t="n">
        <v>4</v>
      </c>
      <c r="BA93" t="n">
        <v>1</v>
      </c>
      <c r="BB93" t="n">
        <v>0.6823697482359038</v>
      </c>
      <c r="BC93" t="n">
        <v>28.44265651582093</v>
      </c>
      <c r="BD93" t="n">
        <v>16.52627115616195</v>
      </c>
      <c r="BE93" t="n">
        <v>4.710221526147965</v>
      </c>
      <c r="BF93" t="n">
        <v>0</v>
      </c>
      <c r="BG93" t="n">
        <v>50.36151894636674</v>
      </c>
      <c r="BH93" t="n">
        <v>59.9281761479809</v>
      </c>
      <c r="BI93" t="n">
        <v/>
      </c>
      <c r="BJ93" t="n">
        <v/>
      </c>
      <c r="BK93" t="n">
        <v/>
      </c>
      <c r="BL93" t="n">
        <v>0</v>
      </c>
      <c r="BM93" t="n">
        <v>0</v>
      </c>
      <c r="BN93" t="n">
        <v>704.7707912768403</v>
      </c>
      <c r="BO93" t="n">
        <v/>
      </c>
      <c r="BP93" t="n">
        <v/>
      </c>
      <c r="BQ93" t="n">
        <v/>
      </c>
      <c r="BR93" t="inlineStr">
        <is>
          <t>TC-3060</t>
        </is>
      </c>
      <c r="BS93" t="b">
        <v>0</v>
      </c>
      <c r="BT93" t="n">
        <v/>
      </c>
      <c r="BU93" t="n">
        <v>0</v>
      </c>
      <c r="BV93" t="n">
        <v>0</v>
      </c>
    </row>
    <row r="94">
      <c r="A94" t="n">
        <v>191994</v>
      </c>
      <c r="B94" t="inlineStr">
        <is>
          <t>سندازفرم ورود اطلاعات دریافتی پیشنهاد شعبه به تکمیل ،باتایم طولانی وپیغام خطانکست می شود</t>
        </is>
      </c>
      <c r="C94" t="inlineStr">
        <is>
          <t>تکمیل توضیحات: سندازفرم ورود اطلاعات دریافتی پیشنهاد شعبه به تکمی...</t>
        </is>
      </c>
      <c r="D94" t="inlineStr">
        <is>
          <t>Low</t>
        </is>
      </c>
      <c r="E94" t="inlineStr">
        <is>
          <t>P3</t>
        </is>
      </c>
      <c r="F94" t="inlineStr">
        <is>
          <t>Closed</t>
        </is>
      </c>
      <c r="G94" t="inlineStr">
        <is>
          <t>Performance</t>
        </is>
      </c>
      <c r="H94" t="b">
        <v>1</v>
      </c>
      <c r="I94" t="b">
        <v>0</v>
      </c>
      <c r="J94" t="inlineStr">
        <is>
          <t>PRJ-001</t>
        </is>
      </c>
      <c r="K94" t="inlineStr">
        <is>
          <t>Dem System</t>
        </is>
      </c>
      <c r="L94" t="inlineStr">
        <is>
          <t>Team Beta</t>
        </is>
      </c>
      <c r="M94" t="inlineStr">
        <is>
          <t>T02</t>
        </is>
      </c>
      <c r="N94" t="inlineStr">
        <is>
          <t>M09</t>
        </is>
      </c>
      <c r="O94" t="inlineStr">
        <is>
          <t>Dem\DemBiz\SP_88</t>
        </is>
      </c>
      <c r="P94" t="inlineStr">
        <is>
          <t>Sprint 26</t>
        </is>
      </c>
      <c r="Q94" t="inlineStr">
        <is>
          <t>S26</t>
        </is>
      </c>
      <c r="R94" t="inlineStr">
        <is>
          <t>Performance;Low</t>
        </is>
      </c>
      <c r="S94" t="n">
        <v/>
      </c>
      <c r="T94" t="inlineStr">
        <is>
          <t>کامنت 0 مورد</t>
        </is>
      </c>
      <c r="U94" t="inlineStr">
        <is>
          <t>Reza Mohammadi</t>
        </is>
      </c>
      <c r="V94" t="inlineStr">
        <is>
          <t>U493</t>
        </is>
      </c>
      <c r="W94" t="inlineStr">
        <is>
          <t>Fateme Akbari</t>
        </is>
      </c>
      <c r="X94" t="inlineStr">
        <is>
          <t>U511</t>
        </is>
      </c>
      <c r="Y94" t="inlineStr">
        <is>
          <t>Reza Mohammadi</t>
        </is>
      </c>
      <c r="Z94" t="inlineStr">
        <is>
          <t>U493</t>
        </is>
      </c>
      <c r="AA94" t="inlineStr">
        <is>
          <t>Sara Ahmadi</t>
        </is>
      </c>
      <c r="AB94" t="inlineStr">
        <is>
          <t>U091</t>
        </is>
      </c>
      <c r="AC94" t="inlineStr">
        <is>
          <t>2024-01-05</t>
        </is>
      </c>
      <c r="AD94" t="inlineStr">
        <is>
          <t>2024-01-07 00:00:00</t>
        </is>
      </c>
      <c r="AE94" t="inlineStr">
        <is>
          <t>2024-01-07 18:00:00</t>
        </is>
      </c>
      <c r="AF94" t="inlineStr">
        <is>
          <t>2024-01-08 02:00:00</t>
        </is>
      </c>
      <c r="AG94" t="inlineStr">
        <is>
          <t>2024-01-08 02:00:00</t>
        </is>
      </c>
      <c r="AH94" t="inlineStr">
        <is>
          <t>2024-01-10 06:00:00</t>
        </is>
      </c>
      <c r="AI94" t="inlineStr">
        <is>
          <t>2024-01-11 00:00:00</t>
        </is>
      </c>
      <c r="AJ94" t="inlineStr">
        <is>
          <t>2024-01-11 22:00:00</t>
        </is>
      </c>
      <c r="AK94" t="inlineStr">
        <is>
          <t>2024-01-12 00:00:00</t>
        </is>
      </c>
      <c r="AL94" t="inlineStr">
        <is>
          <t>2024-01-13 18:00:00</t>
        </is>
      </c>
      <c r="AM94" t="inlineStr">
        <is>
          <t>2024-01-13 18:00:00</t>
        </is>
      </c>
      <c r="AN94" t="inlineStr">
        <is>
          <t>2024-01-14</t>
        </is>
      </c>
      <c r="AO94" t="n">
        <v>0</v>
      </c>
      <c r="AP94" t="n">
        <v/>
      </c>
      <c r="AQ94" t="n">
        <v/>
      </c>
      <c r="AR94" t="inlineStr">
        <is>
          <t>Done</t>
        </is>
      </c>
      <c r="AS94" t="n">
        <v>8</v>
      </c>
      <c r="AT94" t="n">
        <v>18</v>
      </c>
      <c r="AU94" t="n">
        <v>8</v>
      </c>
      <c r="AV94" t="n">
        <v>52</v>
      </c>
      <c r="AW94" t="n">
        <v>18</v>
      </c>
      <c r="AX94" t="inlineStr">
        <is>
          <t>[{"state": "Open", "timestamp": "2024-01-05T00:00:00"}, {"state": "Triage", "timestamp": "2024-01-07T00:00:00"}]</t>
        </is>
      </c>
      <c r="AY94" t="n">
        <v>2</v>
      </c>
      <c r="AZ94" t="n">
        <v>10</v>
      </c>
      <c r="BA94" t="n">
        <v>1</v>
      </c>
      <c r="BB94" t="n">
        <v>5.341042219303759</v>
      </c>
      <c r="BC94" t="n">
        <v>19.49277933440568</v>
      </c>
      <c r="BD94" t="n">
        <v>14.27172342955168</v>
      </c>
      <c r="BE94" t="n">
        <v>7.758162029651403</v>
      </c>
      <c r="BF94" t="n">
        <v>0</v>
      </c>
      <c r="BG94" t="n">
        <v>46.86370701291252</v>
      </c>
      <c r="BH94" t="n">
        <v>45.15228872566488</v>
      </c>
      <c r="BI94" t="n">
        <v>210</v>
      </c>
      <c r="BJ94" t="n">
        <v>136</v>
      </c>
      <c r="BK94" t="n">
        <v>66</v>
      </c>
      <c r="BL94" t="n">
        <v>44</v>
      </c>
      <c r="BM94" t="n">
        <v>52</v>
      </c>
      <c r="BN94" t="n">
        <v>720.7707912769445</v>
      </c>
      <c r="BO94" t="inlineStr">
        <is>
          <t>Data</t>
        </is>
      </c>
      <c r="BP94" t="inlineStr">
        <is>
          <t>Fixed</t>
        </is>
      </c>
      <c r="BQ94" t="inlineStr">
        <is>
          <t>Obsolete</t>
        </is>
      </c>
      <c r="BR94" t="inlineStr">
        <is>
          <t>TC-8787</t>
        </is>
      </c>
      <c r="BS94" t="b">
        <v>0</v>
      </c>
      <c r="BT94" t="n">
        <v/>
      </c>
      <c r="BU94" t="n">
        <v>1</v>
      </c>
      <c r="BV94" t="n">
        <v>2</v>
      </c>
    </row>
    <row r="95">
      <c r="A95" t="n">
        <v>192010</v>
      </c>
      <c r="B95" t="inlineStr">
        <is>
          <t>نمایش اشتباه پیغام شماره پیشنهاد شعبه در اتوماسیون قبلی ثبت شده است</t>
        </is>
      </c>
      <c r="C95" t="inlineStr">
        <is>
          <t>تکمیل توضیحات: نمایش اشتباه پیغام شماره پیشنهاد شعبه در اتوماسیون...</t>
        </is>
      </c>
      <c r="D95" t="inlineStr">
        <is>
          <t>Medium</t>
        </is>
      </c>
      <c r="E95" t="inlineStr">
        <is>
          <t>P2</t>
        </is>
      </c>
      <c r="F95" t="inlineStr">
        <is>
          <t>In Progress</t>
        </is>
      </c>
      <c r="G95" t="inlineStr">
        <is>
          <t>Data</t>
        </is>
      </c>
      <c r="H95" t="b">
        <v>0</v>
      </c>
      <c r="I95" t="b">
        <v>0</v>
      </c>
      <c r="J95" t="inlineStr">
        <is>
          <t>PRJ-001</t>
        </is>
      </c>
      <c r="K95" t="inlineStr">
        <is>
          <t>Dem System</t>
        </is>
      </c>
      <c r="L95" t="inlineStr">
        <is>
          <t>Team Gamma</t>
        </is>
      </c>
      <c r="M95" t="inlineStr">
        <is>
          <t>T03</t>
        </is>
      </c>
      <c r="N95" t="inlineStr">
        <is>
          <t>M09</t>
        </is>
      </c>
      <c r="O95" t="inlineStr">
        <is>
          <t>Dem\DemBiz\SP_88</t>
        </is>
      </c>
      <c r="P95" t="inlineStr">
        <is>
          <t>Sprint 27</t>
        </is>
      </c>
      <c r="Q95" t="inlineStr">
        <is>
          <t>S27</t>
        </is>
      </c>
      <c r="R95" t="inlineStr">
        <is>
          <t>Data;Medium</t>
        </is>
      </c>
      <c r="S95" t="n">
        <v/>
      </c>
      <c r="T95" t="inlineStr">
        <is>
          <t>کامنت 0 مورد</t>
        </is>
      </c>
      <c r="U95" t="inlineStr">
        <is>
          <t>Zahra Ebrahimi</t>
        </is>
      </c>
      <c r="V95" t="inlineStr">
        <is>
          <t>U002</t>
        </is>
      </c>
      <c r="W95" t="inlineStr">
        <is>
          <t>Mohammad Safari</t>
        </is>
      </c>
      <c r="X95" t="inlineStr">
        <is>
          <t>U093</t>
        </is>
      </c>
      <c r="Y95" t="n">
        <v/>
      </c>
      <c r="Z95" t="n">
        <v/>
      </c>
      <c r="AA95" t="n">
        <v/>
      </c>
      <c r="AB95" t="n">
        <v/>
      </c>
      <c r="AC95" t="inlineStr">
        <is>
          <t>2024-03-04</t>
        </is>
      </c>
      <c r="AD95" t="inlineStr">
        <is>
          <t>2024-03-04 13:00:00</t>
        </is>
      </c>
      <c r="AE95" t="inlineStr">
        <is>
          <t>2024-03-04 14:00:00</t>
        </is>
      </c>
      <c r="AF95" t="inlineStr">
        <is>
          <t>2024-03-05 11:00:00</t>
        </is>
      </c>
      <c r="AG95" t="inlineStr">
        <is>
          <t>2024-03-05 11:00:00</t>
        </is>
      </c>
      <c r="AH95" t="n">
        <v/>
      </c>
      <c r="AI95" t="n">
        <v/>
      </c>
      <c r="AJ95" t="n">
        <v/>
      </c>
      <c r="AK95" t="n">
        <v/>
      </c>
      <c r="AL95" t="n">
        <v/>
      </c>
      <c r="AM95" t="inlineStr">
        <is>
          <t>2024-03-05 11:00:00</t>
        </is>
      </c>
      <c r="AN95" t="inlineStr">
        <is>
          <t>2024-03-26</t>
        </is>
      </c>
      <c r="AO95" t="n">
        <v>0</v>
      </c>
      <c r="AP95" t="n">
        <v/>
      </c>
      <c r="AQ95" t="n">
        <v/>
      </c>
      <c r="AR95" t="inlineStr">
        <is>
          <t>Active</t>
        </is>
      </c>
      <c r="AS95" t="n">
        <v>4</v>
      </c>
      <c r="AT95" t="n">
        <v>1</v>
      </c>
      <c r="AU95" t="n">
        <v>21</v>
      </c>
      <c r="AV95" t="n">
        <v/>
      </c>
      <c r="AW95" t="n">
        <v/>
      </c>
      <c r="AX95" t="inlineStr">
        <is>
          <t>[{"state": "Open", "timestamp": "2024-03-04T00:00:00"}, {"state": "Triage", "timestamp": "2024-03-04T13:00:00"}]</t>
        </is>
      </c>
      <c r="AY95" t="n">
        <v>2</v>
      </c>
      <c r="AZ95" t="n">
        <v>5</v>
      </c>
      <c r="BA95" t="n">
        <v>1</v>
      </c>
      <c r="BB95" t="n">
        <v>1.828330095552867</v>
      </c>
      <c r="BC95" t="n">
        <v>4.815532265389058</v>
      </c>
      <c r="BD95" t="n">
        <v>2.086301222517045</v>
      </c>
      <c r="BE95" t="n">
        <v>2.937391227272425</v>
      </c>
      <c r="BF95" t="n">
        <v>0</v>
      </c>
      <c r="BG95" t="n">
        <v>11.6675548107314</v>
      </c>
      <c r="BH95" t="n">
        <v>10.80610024206097</v>
      </c>
      <c r="BI95" t="n">
        <v/>
      </c>
      <c r="BJ95" t="n">
        <v/>
      </c>
      <c r="BK95" t="n">
        <v>14</v>
      </c>
      <c r="BL95" t="n">
        <v>22</v>
      </c>
      <c r="BM95" t="n">
        <v>0</v>
      </c>
      <c r="BN95" t="n">
        <v>661.7707912770602</v>
      </c>
      <c r="BO95" t="n">
        <v/>
      </c>
      <c r="BP95" t="n">
        <v/>
      </c>
      <c r="BQ95" t="n">
        <v/>
      </c>
      <c r="BR95" t="n">
        <v/>
      </c>
      <c r="BS95" t="b">
        <v>0</v>
      </c>
      <c r="BT95" t="n">
        <v/>
      </c>
      <c r="BU95" t="n">
        <v>0</v>
      </c>
      <c r="BV95" t="n">
        <v>0</v>
      </c>
    </row>
    <row r="96">
      <c r="A96" t="n">
        <v>192014</v>
      </c>
      <c r="B96" t="inlineStr">
        <is>
          <t>نمایش اشتباه پیغام درخواست مورد نظر را انتخاب کنید</t>
        </is>
      </c>
      <c r="C96" t="inlineStr">
        <is>
          <t>تکمیل توضیحات: نمایش اشتباه پیغام درخواست مورد نظر را انتخاب کنید...</t>
        </is>
      </c>
      <c r="D96" t="inlineStr">
        <is>
          <t>Low</t>
        </is>
      </c>
      <c r="E96" t="inlineStr">
        <is>
          <t>P2</t>
        </is>
      </c>
      <c r="F96" t="inlineStr">
        <is>
          <t>Triage</t>
        </is>
      </c>
      <c r="G96" t="inlineStr">
        <is>
          <t>Security</t>
        </is>
      </c>
      <c r="H96" t="b">
        <v>0</v>
      </c>
      <c r="I96" t="b">
        <v>1</v>
      </c>
      <c r="J96" t="inlineStr">
        <is>
          <t>PRJ-001</t>
        </is>
      </c>
      <c r="K96" t="inlineStr">
        <is>
          <t>Dem System</t>
        </is>
      </c>
      <c r="L96" t="inlineStr">
        <is>
          <t>Team Gamma</t>
        </is>
      </c>
      <c r="M96" t="inlineStr">
        <is>
          <t>T03</t>
        </is>
      </c>
      <c r="N96" t="inlineStr">
        <is>
          <t>M09</t>
        </is>
      </c>
      <c r="O96" t="inlineStr">
        <is>
          <t>Dem\DemBiz\SP_88</t>
        </is>
      </c>
      <c r="P96" t="inlineStr">
        <is>
          <t>Sprint 25</t>
        </is>
      </c>
      <c r="Q96" t="inlineStr">
        <is>
          <t>S25</t>
        </is>
      </c>
      <c r="R96" t="inlineStr">
        <is>
          <t>Security;Low</t>
        </is>
      </c>
      <c r="S96" t="inlineStr">
        <is>
          <t>EXT-192014</t>
        </is>
      </c>
      <c r="T96" t="inlineStr">
        <is>
          <t>کامنت 2 مورد</t>
        </is>
      </c>
      <c r="U96" t="inlineStr">
        <is>
          <t>Zahra Ebrahimi</t>
        </is>
      </c>
      <c r="V96" t="inlineStr">
        <is>
          <t>U002</t>
        </is>
      </c>
      <c r="W96" t="inlineStr">
        <is>
          <t>Sara Ahmadi</t>
        </is>
      </c>
      <c r="X96" t="inlineStr">
        <is>
          <t>U091</t>
        </is>
      </c>
      <c r="Y96" t="n">
        <v/>
      </c>
      <c r="Z96" t="n">
        <v/>
      </c>
      <c r="AA96" t="n">
        <v/>
      </c>
      <c r="AB96" t="n">
        <v/>
      </c>
      <c r="AC96" t="inlineStr">
        <is>
          <t>2024-02-02</t>
        </is>
      </c>
      <c r="AD96" t="inlineStr">
        <is>
          <t>2024-02-03 07:00:00</t>
        </is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t="n">
        <v/>
      </c>
      <c r="AL96" t="n">
        <v/>
      </c>
      <c r="AM96" t="inlineStr">
        <is>
          <t>2024-02-03 07:00:00</t>
        </is>
      </c>
      <c r="AN96" t="inlineStr">
        <is>
          <t>2024-03-22</t>
        </is>
      </c>
      <c r="AO96" t="n">
        <v>0</v>
      </c>
      <c r="AP96" t="n">
        <v/>
      </c>
      <c r="AQ96" t="n">
        <v/>
      </c>
      <c r="AR96" t="inlineStr">
        <is>
          <t>Open</t>
        </is>
      </c>
      <c r="AS96" t="n">
        <v>2</v>
      </c>
      <c r="AT96" t="n">
        <v/>
      </c>
      <c r="AU96" t="n">
        <v/>
      </c>
      <c r="AV96" t="n">
        <v/>
      </c>
      <c r="AW96" t="n">
        <v/>
      </c>
      <c r="AX96" t="inlineStr">
        <is>
          <t>[{"state": "Open", "timestamp": "2024-02-02T00:00:00"}, {"state": "Triage", "timestamp": "2024-02-03T07:00:00"}]</t>
        </is>
      </c>
      <c r="AY96" t="n">
        <v>0</v>
      </c>
      <c r="AZ96" t="n">
        <v>4</v>
      </c>
      <c r="BA96" t="n">
        <v>1</v>
      </c>
      <c r="BB96" t="n">
        <v>7.553439382646857</v>
      </c>
      <c r="BC96" t="n">
        <v>20.17301912955646</v>
      </c>
      <c r="BD96" t="n">
        <v>2.154335424661242</v>
      </c>
      <c r="BE96" t="n">
        <v>15.31076540888084</v>
      </c>
      <c r="BF96" t="n">
        <v>0</v>
      </c>
      <c r="BG96" t="n">
        <v>45.1915593457454</v>
      </c>
      <c r="BH96" t="n">
        <v>44.17962413732064</v>
      </c>
      <c r="BI96" t="n">
        <v/>
      </c>
      <c r="BJ96" t="n">
        <v/>
      </c>
      <c r="BK96" t="n">
        <v/>
      </c>
      <c r="BL96" t="n">
        <v>0</v>
      </c>
      <c r="BM96" t="n">
        <v>0</v>
      </c>
      <c r="BN96" t="n">
        <v>692.7707912771643</v>
      </c>
      <c r="BO96" t="n">
        <v/>
      </c>
      <c r="BP96" t="n">
        <v/>
      </c>
      <c r="BQ96" t="n">
        <v/>
      </c>
      <c r="BR96" t="inlineStr">
        <is>
          <t>TC-9645</t>
        </is>
      </c>
      <c r="BS96" t="b">
        <v>0</v>
      </c>
      <c r="BT96" t="n">
        <v/>
      </c>
      <c r="BU96" t="n">
        <v>0</v>
      </c>
      <c r="BV96" t="n">
        <v>0</v>
      </c>
    </row>
    <row r="97">
      <c r="A97" t="n">
        <v>192019</v>
      </c>
      <c r="B97" t="inlineStr">
        <is>
          <t>شریک جدید بعد از ذخیره به لیست کمبوی نام شخص/شرکت اضافه نمی‌شود</t>
        </is>
      </c>
      <c r="C97" t="inlineStr">
        <is>
          <t>تکمیل توضیحات: شریک جدید بعد از ذخیره به لیست کمبوی نام شخص/شرکت ...</t>
        </is>
      </c>
      <c r="D97" t="inlineStr">
        <is>
          <t>Medium</t>
        </is>
      </c>
      <c r="E97" t="inlineStr">
        <is>
          <t>P2</t>
        </is>
      </c>
      <c r="F97" t="inlineStr">
        <is>
          <t>Resolved</t>
        </is>
      </c>
      <c r="G97" t="inlineStr">
        <is>
          <t>Performance</t>
        </is>
      </c>
      <c r="H97" t="b">
        <v>0</v>
      </c>
      <c r="I97" t="b">
        <v>1</v>
      </c>
      <c r="J97" t="inlineStr">
        <is>
          <t>PRJ-001</t>
        </is>
      </c>
      <c r="K97" t="inlineStr">
        <is>
          <t>Dem System</t>
        </is>
      </c>
      <c r="L97" t="inlineStr">
        <is>
          <t>Team Delta</t>
        </is>
      </c>
      <c r="M97" t="inlineStr">
        <is>
          <t>T04</t>
        </is>
      </c>
      <c r="N97" t="inlineStr">
        <is>
          <t>M09</t>
        </is>
      </c>
      <c r="O97" t="inlineStr">
        <is>
          <t>Dem\DemBiz\SP_88</t>
        </is>
      </c>
      <c r="P97" t="inlineStr">
        <is>
          <t>Sprint 25</t>
        </is>
      </c>
      <c r="Q97" t="inlineStr">
        <is>
          <t>S25</t>
        </is>
      </c>
      <c r="R97" t="inlineStr">
        <is>
          <t>Performance;Medium</t>
        </is>
      </c>
      <c r="S97" t="n">
        <v/>
      </c>
      <c r="T97" t="inlineStr">
        <is>
          <t>کامنت 0 مورد</t>
        </is>
      </c>
      <c r="U97" t="inlineStr">
        <is>
          <t>Reza Mohammadi</t>
        </is>
      </c>
      <c r="V97" t="inlineStr">
        <is>
          <t>U493</t>
        </is>
      </c>
      <c r="W97" t="inlineStr">
        <is>
          <t>Ali Rezaei</t>
        </is>
      </c>
      <c r="X97" t="inlineStr">
        <is>
          <t>U374</t>
        </is>
      </c>
      <c r="Y97" t="inlineStr">
        <is>
          <t>Zahra Ebrahimi</t>
        </is>
      </c>
      <c r="Z97" t="inlineStr">
        <is>
          <t>U002</t>
        </is>
      </c>
      <c r="AA97" t="inlineStr">
        <is>
          <t>Zahra Ebrahimi</t>
        </is>
      </c>
      <c r="AB97" t="inlineStr">
        <is>
          <t>U002</t>
        </is>
      </c>
      <c r="AC97" t="inlineStr">
        <is>
          <t>2024-01-30</t>
        </is>
      </c>
      <c r="AD97" t="inlineStr">
        <is>
          <t>2024-01-31 13:00:00</t>
        </is>
      </c>
      <c r="AE97" t="inlineStr">
        <is>
          <t>2024-01-31 20:00:00</t>
        </is>
      </c>
      <c r="AF97" t="inlineStr">
        <is>
          <t>2024-02-03 09:00:00</t>
        </is>
      </c>
      <c r="AG97" t="inlineStr">
        <is>
          <t>2024-02-03 09:00:00</t>
        </is>
      </c>
      <c r="AH97" t="inlineStr">
        <is>
          <t>2024-02-07 10:00:00</t>
        </is>
      </c>
      <c r="AI97" t="inlineStr">
        <is>
          <t>2024-02-08 06:00:00</t>
        </is>
      </c>
      <c r="AJ97" t="n">
        <v/>
      </c>
      <c r="AK97" t="n">
        <v/>
      </c>
      <c r="AL97" t="n">
        <v/>
      </c>
      <c r="AM97" t="inlineStr">
        <is>
          <t>2024-02-08 06:00:00</t>
        </is>
      </c>
      <c r="AN97" t="inlineStr">
        <is>
          <t>2024-03-26</t>
        </is>
      </c>
      <c r="AO97" t="n">
        <v>0</v>
      </c>
      <c r="AP97" t="n">
        <v/>
      </c>
      <c r="AQ97" t="n">
        <v/>
      </c>
      <c r="AR97" t="inlineStr">
        <is>
          <t>Ready for Retest</t>
        </is>
      </c>
      <c r="AS97" t="n">
        <v>6</v>
      </c>
      <c r="AT97" t="n">
        <v>7</v>
      </c>
      <c r="AU97" t="n">
        <v>61</v>
      </c>
      <c r="AV97" t="n">
        <v>97</v>
      </c>
      <c r="AW97" t="n">
        <v>20</v>
      </c>
      <c r="AX97" t="inlineStr">
        <is>
          <t>[{"state": "Open", "timestamp": "2024-01-30T00:00:00"}, {"state": "Triage", "timestamp": "2024-01-31T13:00:00"}]</t>
        </is>
      </c>
      <c r="AY97" t="n">
        <v>2</v>
      </c>
      <c r="AZ97" t="n">
        <v>6</v>
      </c>
      <c r="BA97" t="n">
        <v>1</v>
      </c>
      <c r="BB97" t="n">
        <v>7.654464327519405</v>
      </c>
      <c r="BC97" t="n">
        <v>19.46539906044206</v>
      </c>
      <c r="BD97" t="n">
        <v>19.73947178077292</v>
      </c>
      <c r="BE97" t="n">
        <v>10.0926195167632</v>
      </c>
      <c r="BF97" t="n">
        <v>0</v>
      </c>
      <c r="BG97" t="n">
        <v>56.95195468549759</v>
      </c>
      <c r="BH97" t="n">
        <v>50.164803699413</v>
      </c>
      <c r="BI97" t="n">
        <v/>
      </c>
      <c r="BJ97" t="n">
        <v/>
      </c>
      <c r="BK97" t="n">
        <v>44</v>
      </c>
      <c r="BL97" t="n">
        <v>88</v>
      </c>
      <c r="BM97" t="n">
        <v>97</v>
      </c>
      <c r="BN97" t="n">
        <v>695.7707912772685</v>
      </c>
      <c r="BO97" t="inlineStr">
        <is>
          <t>Config</t>
        </is>
      </c>
      <c r="BP97" t="inlineStr">
        <is>
          <t>Cannot Reproduce</t>
        </is>
      </c>
      <c r="BQ97" t="n">
        <v/>
      </c>
      <c r="BR97" t="n">
        <v/>
      </c>
      <c r="BS97" t="b">
        <v>0</v>
      </c>
      <c r="BT97" t="n">
        <v/>
      </c>
      <c r="BU97" t="n">
        <v>0</v>
      </c>
      <c r="BV97" t="n">
        <v>0</v>
      </c>
    </row>
    <row r="98">
      <c r="A98" t="n">
        <v>192022</v>
      </c>
      <c r="B98" t="inlineStr">
        <is>
          <t>ادیتبل نبودن فیلد نوع صورت مالی، در فرم ثبت صورت مالی</t>
        </is>
      </c>
      <c r="C98" t="inlineStr">
        <is>
          <t>تکمیل توضیحات: ادیتبل نبودن فیلد نوع صورت مالی، در فرم ثبت صورت م...</t>
        </is>
      </c>
      <c r="D98" t="inlineStr">
        <is>
          <t>Medium</t>
        </is>
      </c>
      <c r="E98" t="inlineStr">
        <is>
          <t>P3</t>
        </is>
      </c>
      <c r="F98" t="inlineStr">
        <is>
          <t>Closed</t>
        </is>
      </c>
      <c r="G98" t="inlineStr">
        <is>
          <t>UI</t>
        </is>
      </c>
      <c r="H98" t="b">
        <v>0</v>
      </c>
      <c r="I98" t="b">
        <v>0</v>
      </c>
      <c r="J98" t="inlineStr">
        <is>
          <t>PRJ-001</t>
        </is>
      </c>
      <c r="K98" t="inlineStr">
        <is>
          <t>Dem System</t>
        </is>
      </c>
      <c r="L98" t="inlineStr">
        <is>
          <t>Team Alpha</t>
        </is>
      </c>
      <c r="M98" t="inlineStr">
        <is>
          <t>T01</t>
        </is>
      </c>
      <c r="N98" t="inlineStr">
        <is>
          <t>M09</t>
        </is>
      </c>
      <c r="O98" t="inlineStr">
        <is>
          <t>Dem\DemBiz\SP_88</t>
        </is>
      </c>
      <c r="P98" t="inlineStr">
        <is>
          <t>Sprint 23</t>
        </is>
      </c>
      <c r="Q98" t="inlineStr">
        <is>
          <t>S23</t>
        </is>
      </c>
      <c r="R98" t="inlineStr">
        <is>
          <t>UI;Medium</t>
        </is>
      </c>
      <c r="S98" t="n">
        <v/>
      </c>
      <c r="T98" t="inlineStr">
        <is>
          <t>کامنت 4 مورد</t>
        </is>
      </c>
      <c r="U98" t="inlineStr">
        <is>
          <t>Mohammad Safari</t>
        </is>
      </c>
      <c r="V98" t="inlineStr">
        <is>
          <t>U093</t>
        </is>
      </c>
      <c r="W98" t="inlineStr">
        <is>
          <t>Mina Hosseini</t>
        </is>
      </c>
      <c r="X98" t="inlineStr">
        <is>
          <t>U860</t>
        </is>
      </c>
      <c r="Y98" t="inlineStr">
        <is>
          <t>Fateme Akbari</t>
        </is>
      </c>
      <c r="Z98" t="inlineStr">
        <is>
          <t>U511</t>
        </is>
      </c>
      <c r="AA98" t="inlineStr">
        <is>
          <t>Mina Hosseini</t>
        </is>
      </c>
      <c r="AB98" t="inlineStr">
        <is>
          <t>U860</t>
        </is>
      </c>
      <c r="AC98" t="inlineStr">
        <is>
          <t>2024-04-04</t>
        </is>
      </c>
      <c r="AD98" t="inlineStr">
        <is>
          <t>2024-04-04 11:00:00</t>
        </is>
      </c>
      <c r="AE98" t="inlineStr">
        <is>
          <t>2024-04-05 07:00:00</t>
        </is>
      </c>
      <c r="AF98" t="inlineStr">
        <is>
          <t>2024-04-05 23:00:00</t>
        </is>
      </c>
      <c r="AG98" t="inlineStr">
        <is>
          <t>2024-04-05 23:00:00</t>
        </is>
      </c>
      <c r="AH98" t="inlineStr">
        <is>
          <t>2024-04-10 10:00:00</t>
        </is>
      </c>
      <c r="AI98" t="inlineStr">
        <is>
          <t>2024-04-11 00:00:00</t>
        </is>
      </c>
      <c r="AJ98" t="inlineStr">
        <is>
          <t>2024-04-11 11:00:00</t>
        </is>
      </c>
      <c r="AK98" t="inlineStr">
        <is>
          <t>2024-04-11 13:00:00</t>
        </is>
      </c>
      <c r="AL98" t="inlineStr">
        <is>
          <t>2024-04-13 03:00:00</t>
        </is>
      </c>
      <c r="AM98" t="inlineStr">
        <is>
          <t>2024-04-13 03:00:00</t>
        </is>
      </c>
      <c r="AN98" t="inlineStr">
        <is>
          <t>2024-04-12</t>
        </is>
      </c>
      <c r="AO98" t="n">
        <v>2</v>
      </c>
      <c r="AP98" t="inlineStr">
        <is>
          <t>2024-04-23 03:00:00</t>
        </is>
      </c>
      <c r="AQ98" t="inlineStr">
        <is>
          <t>2024-04-28 03:00:00</t>
        </is>
      </c>
      <c r="AR98" t="inlineStr">
        <is>
          <t>Done</t>
        </is>
      </c>
      <c r="AS98" t="n">
        <v>8</v>
      </c>
      <c r="AT98" t="n">
        <v>20</v>
      </c>
      <c r="AU98" t="n">
        <v>16</v>
      </c>
      <c r="AV98" t="n">
        <v>107</v>
      </c>
      <c r="AW98" t="n">
        <v>14</v>
      </c>
      <c r="AX98" t="inlineStr">
        <is>
          <t>[{"state": "Open", "timestamp": "2024-04-04T00:00:00"}, {"state": "Triage", "timestamp": "2024-04-04T11:00:00"}]</t>
        </is>
      </c>
      <c r="AY98" t="n">
        <v>4</v>
      </c>
      <c r="AZ98" t="n">
        <v>8</v>
      </c>
      <c r="BA98" t="n">
        <v>3</v>
      </c>
      <c r="BB98" t="n">
        <v>7.361482926653364</v>
      </c>
      <c r="BC98" t="n">
        <v>7.754872926490592</v>
      </c>
      <c r="BD98" t="n">
        <v>7.798280517244346</v>
      </c>
      <c r="BE98" t="n">
        <v>4.429642082551941</v>
      </c>
      <c r="BF98" t="n">
        <v>4.228960139930892</v>
      </c>
      <c r="BG98" t="n">
        <v>31.57323859287113</v>
      </c>
      <c r="BH98" t="n">
        <v>36.26393661575376</v>
      </c>
      <c r="BI98" t="n">
        <v>219</v>
      </c>
      <c r="BJ98" t="n">
        <v>172</v>
      </c>
      <c r="BK98" t="n">
        <v>31</v>
      </c>
      <c r="BL98" t="n">
        <v>50</v>
      </c>
      <c r="BM98" t="n">
        <v>107</v>
      </c>
      <c r="BN98" t="n">
        <v>630.7707912773842</v>
      </c>
      <c r="BO98" t="inlineStr">
        <is>
          <t>Integration</t>
        </is>
      </c>
      <c r="BP98" t="inlineStr">
        <is>
          <t>Fixed</t>
        </is>
      </c>
      <c r="BQ98" t="inlineStr">
        <is>
          <t>Duplicate</t>
        </is>
      </c>
      <c r="BR98" t="inlineStr">
        <is>
          <t>TC-4470</t>
        </is>
      </c>
      <c r="BS98" t="b">
        <v>1</v>
      </c>
      <c r="BT98" t="n">
        <v>192256</v>
      </c>
      <c r="BU98" t="n">
        <v>3</v>
      </c>
      <c r="BV98" t="n">
        <v>2</v>
      </c>
    </row>
    <row r="99">
      <c r="A99" t="n">
        <v>192020</v>
      </c>
      <c r="B99" t="inlineStr">
        <is>
          <t>عدم نمایش صورت مالی جدیدثبت شده ، در گزارش کاربرگ برسی</t>
        </is>
      </c>
      <c r="C99" t="inlineStr">
        <is>
          <t>تکمیل توضیحات: عدم نمایش صورت مالی جدیدثبت شده ، در گزارش کاربرگ ...</t>
        </is>
      </c>
      <c r="D99" t="inlineStr">
        <is>
          <t>Medium</t>
        </is>
      </c>
      <c r="E99" t="inlineStr">
        <is>
          <t>P3</t>
        </is>
      </c>
      <c r="F99" t="inlineStr">
        <is>
          <t>Active</t>
        </is>
      </c>
      <c r="G99" t="inlineStr">
        <is>
          <t>UI</t>
        </is>
      </c>
      <c r="H99" t="b">
        <v>0</v>
      </c>
      <c r="I99" t="b">
        <v>0</v>
      </c>
      <c r="J99" t="inlineStr">
        <is>
          <t>PRJ-001</t>
        </is>
      </c>
      <c r="K99" t="inlineStr">
        <is>
          <t>Dem System</t>
        </is>
      </c>
      <c r="L99" t="inlineStr">
        <is>
          <t>Team Alpha</t>
        </is>
      </c>
      <c r="M99" t="inlineStr">
        <is>
          <t>T01</t>
        </is>
      </c>
      <c r="N99" t="inlineStr">
        <is>
          <t>M09</t>
        </is>
      </c>
      <c r="O99" t="inlineStr">
        <is>
          <t>Dem\DemBiz\SP_88</t>
        </is>
      </c>
      <c r="P99" t="inlineStr">
        <is>
          <t>Sprint 24</t>
        </is>
      </c>
      <c r="Q99" t="inlineStr">
        <is>
          <t>S24</t>
        </is>
      </c>
      <c r="R99" t="inlineStr">
        <is>
          <t>UI;Medium</t>
        </is>
      </c>
      <c r="S99" t="n">
        <v/>
      </c>
      <c r="T99" t="inlineStr">
        <is>
          <t>کامنت 1 مورد</t>
        </is>
      </c>
      <c r="U99" t="inlineStr">
        <is>
          <t>Reza Mohammadi</t>
        </is>
      </c>
      <c r="V99" t="inlineStr">
        <is>
          <t>U493</t>
        </is>
      </c>
      <c r="W99" t="inlineStr">
        <is>
          <t>Mohammad Safari</t>
        </is>
      </c>
      <c r="X99" t="inlineStr">
        <is>
          <t>U093</t>
        </is>
      </c>
      <c r="Y99" t="n">
        <v/>
      </c>
      <c r="Z99" t="n">
        <v/>
      </c>
      <c r="AA99" t="n">
        <v/>
      </c>
      <c r="AB99" t="n">
        <v/>
      </c>
      <c r="AC99" t="inlineStr">
        <is>
          <t>2024-04-06</t>
        </is>
      </c>
      <c r="AD99" t="inlineStr">
        <is>
          <t>2024-04-07 02:00:00</t>
        </is>
      </c>
      <c r="AE99" t="inlineStr">
        <is>
          <t>2024-04-08 01:00:00</t>
        </is>
      </c>
      <c r="AF99" t="n">
        <v/>
      </c>
      <c r="AG99" t="n">
        <v/>
      </c>
      <c r="AH99" t="n">
        <v/>
      </c>
      <c r="AI99" t="n">
        <v/>
      </c>
      <c r="AJ99" t="n">
        <v/>
      </c>
      <c r="AK99" t="n">
        <v/>
      </c>
      <c r="AL99" t="n">
        <v/>
      </c>
      <c r="AM99" t="inlineStr">
        <is>
          <t>2024-04-08 01:00:00</t>
        </is>
      </c>
      <c r="AN99" t="inlineStr">
        <is>
          <t>2024-04-25</t>
        </is>
      </c>
      <c r="AO99" t="n">
        <v>0</v>
      </c>
      <c r="AP99" t="n">
        <v/>
      </c>
      <c r="AQ99" t="n">
        <v/>
      </c>
      <c r="AR99" t="inlineStr">
        <is>
          <t>Triage</t>
        </is>
      </c>
      <c r="AS99" t="n">
        <v>5</v>
      </c>
      <c r="AT99" t="n">
        <v>23</v>
      </c>
      <c r="AU99" t="n">
        <v/>
      </c>
      <c r="AV99" t="n">
        <v/>
      </c>
      <c r="AW99" t="n">
        <v/>
      </c>
      <c r="AX99" t="inlineStr">
        <is>
          <t>[{"state": "Open", "timestamp": "2024-04-06T00:00:00"}, {"state": "Triage", "timestamp": "2024-04-07T02:00:00"}]</t>
        </is>
      </c>
      <c r="AY99" t="n">
        <v>1</v>
      </c>
      <c r="AZ99" t="n">
        <v>5</v>
      </c>
      <c r="BA99" t="n">
        <v>1</v>
      </c>
      <c r="BB99" t="n">
        <v>3.276190251915833</v>
      </c>
      <c r="BC99" t="n">
        <v>17.92021432028095</v>
      </c>
      <c r="BD99" t="n">
        <v>7.727521867804373</v>
      </c>
      <c r="BE99" t="n">
        <v>11.07551026608785</v>
      </c>
      <c r="BF99" t="n">
        <v>0</v>
      </c>
      <c r="BG99" t="n">
        <v>39.99943670608901</v>
      </c>
      <c r="BH99" t="n">
        <v>40.064725148881</v>
      </c>
      <c r="BI99" t="n">
        <v/>
      </c>
      <c r="BJ99" t="n">
        <v/>
      </c>
      <c r="BK99" t="n">
        <v>49</v>
      </c>
      <c r="BL99" t="n">
        <v>23</v>
      </c>
      <c r="BM99" t="n">
        <v>0</v>
      </c>
      <c r="BN99" t="n">
        <v>628.7707912774885</v>
      </c>
      <c r="BO99" t="n">
        <v/>
      </c>
      <c r="BP99" t="n">
        <v/>
      </c>
      <c r="BQ99" t="n">
        <v/>
      </c>
      <c r="BR99" t="n">
        <v/>
      </c>
      <c r="BS99" t="b">
        <v>0</v>
      </c>
      <c r="BT99" t="n">
        <v/>
      </c>
      <c r="BU99" t="n">
        <v>0</v>
      </c>
      <c r="BV99" t="n">
        <v>0</v>
      </c>
    </row>
    <row r="100">
      <c r="A100" t="n">
        <v>192047</v>
      </c>
      <c r="B100" t="inlineStr">
        <is>
          <t>دکمه ذخیره در لینک کپی اطلاعات از سایر پیشنهادات ، پیغام خطا می دهد</t>
        </is>
      </c>
      <c r="C100" t="inlineStr">
        <is>
          <t>تکمیل توضیحات: دکمه ذخیره در لینک کپی اطلاعات از سایر پیشنهادات ،...</t>
        </is>
      </c>
      <c r="D100" t="inlineStr">
        <is>
          <t>Critical</t>
        </is>
      </c>
      <c r="E100" t="inlineStr">
        <is>
          <t>P3</t>
        </is>
      </c>
      <c r="F100" t="inlineStr">
        <is>
          <t>Done</t>
        </is>
      </c>
      <c r="G100" t="inlineStr">
        <is>
          <t>Backend</t>
        </is>
      </c>
      <c r="H100" t="b">
        <v>0</v>
      </c>
      <c r="I100" t="b">
        <v>0</v>
      </c>
      <c r="J100" t="inlineStr">
        <is>
          <t>PRJ-001</t>
        </is>
      </c>
      <c r="K100" t="inlineStr">
        <is>
          <t>Dem System</t>
        </is>
      </c>
      <c r="L100" t="inlineStr">
        <is>
          <t>Team Beta</t>
        </is>
      </c>
      <c r="M100" t="inlineStr">
        <is>
          <t>T02</t>
        </is>
      </c>
      <c r="N100" t="inlineStr">
        <is>
          <t>M09</t>
        </is>
      </c>
      <c r="O100" t="inlineStr">
        <is>
          <t>Dem\DemBiz\SP_88</t>
        </is>
      </c>
      <c r="P100" t="inlineStr">
        <is>
          <t>Sprint 24</t>
        </is>
      </c>
      <c r="Q100" t="inlineStr">
        <is>
          <t>S24</t>
        </is>
      </c>
      <c r="R100" t="inlineStr">
        <is>
          <t>Backend;Critical</t>
        </is>
      </c>
      <c r="S100" t="n">
        <v/>
      </c>
      <c r="T100" t="inlineStr">
        <is>
          <t>کامنت 2 مورد</t>
        </is>
      </c>
      <c r="U100" t="inlineStr">
        <is>
          <t>Fateme Akbari</t>
        </is>
      </c>
      <c r="V100" t="inlineStr">
        <is>
          <t>U511</t>
        </is>
      </c>
      <c r="W100" t="inlineStr">
        <is>
          <t>Sara Ahmadi</t>
        </is>
      </c>
      <c r="X100" t="inlineStr">
        <is>
          <t>U091</t>
        </is>
      </c>
      <c r="Y100" t="inlineStr">
        <is>
          <t>Ali Rezaei</t>
        </is>
      </c>
      <c r="Z100" t="inlineStr">
        <is>
          <t>U374</t>
        </is>
      </c>
      <c r="AA100" t="inlineStr">
        <is>
          <t>Ali Rezaei</t>
        </is>
      </c>
      <c r="AB100" t="inlineStr">
        <is>
          <t>U374</t>
        </is>
      </c>
      <c r="AC100" t="inlineStr">
        <is>
          <t>2024-01-20</t>
        </is>
      </c>
      <c r="AD100" t="inlineStr">
        <is>
          <t>2024-01-21 14:00:00</t>
        </is>
      </c>
      <c r="AE100" t="inlineStr">
        <is>
          <t>2024-01-22 13:00:00</t>
        </is>
      </c>
      <c r="AF100" t="inlineStr">
        <is>
          <t>2024-01-23 22:00:00</t>
        </is>
      </c>
      <c r="AG100" t="inlineStr">
        <is>
          <t>2024-01-23 22:00:00</t>
        </is>
      </c>
      <c r="AH100" t="inlineStr">
        <is>
          <t>2024-01-24 19:00:00</t>
        </is>
      </c>
      <c r="AI100" t="inlineStr">
        <is>
          <t>2024-01-26 19:00:00</t>
        </is>
      </c>
      <c r="AJ100" t="inlineStr">
        <is>
          <t>2024-01-27 06:00:00</t>
        </is>
      </c>
      <c r="AK100" t="inlineStr">
        <is>
          <t>2024-01-27 06:00:00</t>
        </is>
      </c>
      <c r="AL100" t="n">
        <v/>
      </c>
      <c r="AM100" t="inlineStr">
        <is>
          <t>2024-01-27 06:00:00</t>
        </is>
      </c>
      <c r="AN100" t="inlineStr">
        <is>
          <t>2024-03-10</t>
        </is>
      </c>
      <c r="AO100" t="n">
        <v>0</v>
      </c>
      <c r="AP100" t="n">
        <v/>
      </c>
      <c r="AQ100" t="n">
        <v/>
      </c>
      <c r="AR100" t="inlineStr">
        <is>
          <t>Resolved</t>
        </is>
      </c>
      <c r="AS100" t="n">
        <v>7</v>
      </c>
      <c r="AT100" t="n">
        <v>23</v>
      </c>
      <c r="AU100" t="n">
        <v>33</v>
      </c>
      <c r="AV100" t="n">
        <v>21</v>
      </c>
      <c r="AW100" t="n">
        <v>48</v>
      </c>
      <c r="AX100" t="inlineStr">
        <is>
          <t>[{"state": "Open", "timestamp": "2024-01-20T00:00:00"}, {"state": "Triage", "timestamp": "2024-01-21T14:00:00"}]</t>
        </is>
      </c>
      <c r="AY100" t="n">
        <v>1</v>
      </c>
      <c r="AZ100" t="n">
        <v>7</v>
      </c>
      <c r="BA100" t="n">
        <v>1</v>
      </c>
      <c r="BB100" t="n">
        <v>0.6159246239665057</v>
      </c>
      <c r="BC100" t="n">
        <v>16.54168464149756</v>
      </c>
      <c r="BD100" t="n">
        <v>16.3495915615213</v>
      </c>
      <c r="BE100" t="n">
        <v>10.27192360686844</v>
      </c>
      <c r="BF100" t="n">
        <v>0</v>
      </c>
      <c r="BG100" t="n">
        <v>43.77912443385381</v>
      </c>
      <c r="BH100" t="n">
        <v>36.74502818926951</v>
      </c>
      <c r="BI100" t="n">
        <v/>
      </c>
      <c r="BJ100" t="n">
        <v/>
      </c>
      <c r="BK100" t="n">
        <v>61</v>
      </c>
      <c r="BL100" t="n">
        <v>104</v>
      </c>
      <c r="BM100" t="n">
        <v>21</v>
      </c>
      <c r="BN100" t="n">
        <v>705.7707912776042</v>
      </c>
      <c r="BO100" t="inlineStr">
        <is>
          <t>Coding</t>
        </is>
      </c>
      <c r="BP100" t="inlineStr">
        <is>
          <t>Fixed</t>
        </is>
      </c>
      <c r="BQ100" t="n">
        <v/>
      </c>
      <c r="BR100" t="n">
        <v/>
      </c>
      <c r="BS100" t="b">
        <v>0</v>
      </c>
      <c r="BT100" t="n">
        <v/>
      </c>
      <c r="BU100" t="n">
        <v>3</v>
      </c>
      <c r="BV100" t="n">
        <v>1</v>
      </c>
    </row>
    <row r="101">
      <c r="A101" t="n">
        <v>189219</v>
      </c>
      <c r="B101" t="inlineStr">
        <is>
          <t>دکمه امضا در کمیته اداره کل اعتبارات پیغام خطا می د هد</t>
        </is>
      </c>
      <c r="C101" t="inlineStr">
        <is>
          <t>تکمیل توضیحات: دکمه امضا در کمیته اداره کل اعتبارات پیغام خطا می ...</t>
        </is>
      </c>
      <c r="D101" t="inlineStr">
        <is>
          <t>High</t>
        </is>
      </c>
      <c r="E101" t="inlineStr">
        <is>
          <t>P3</t>
        </is>
      </c>
      <c r="F101" t="inlineStr">
        <is>
          <t>Triage</t>
        </is>
      </c>
      <c r="G101" t="inlineStr">
        <is>
          <t>Performance</t>
        </is>
      </c>
      <c r="H101" t="b">
        <v>0</v>
      </c>
      <c r="I101" t="b">
        <v>0</v>
      </c>
      <c r="J101" t="inlineStr">
        <is>
          <t>PRJ-001</t>
        </is>
      </c>
      <c r="K101" t="inlineStr">
        <is>
          <t>Dem System</t>
        </is>
      </c>
      <c r="L101" t="inlineStr">
        <is>
          <t>Team Delta</t>
        </is>
      </c>
      <c r="M101" t="inlineStr">
        <is>
          <t>T04</t>
        </is>
      </c>
      <c r="N101" t="inlineStr">
        <is>
          <t>M09</t>
        </is>
      </c>
      <c r="O101" t="inlineStr">
        <is>
          <t>Dem\DemBiz\SP_88</t>
        </is>
      </c>
      <c r="P101" t="inlineStr">
        <is>
          <t>Sprint 27</t>
        </is>
      </c>
      <c r="Q101" t="inlineStr">
        <is>
          <t>S27</t>
        </is>
      </c>
      <c r="R101" t="inlineStr">
        <is>
          <t>Performance;High</t>
        </is>
      </c>
      <c r="S101" t="n">
        <v/>
      </c>
      <c r="T101" t="inlineStr">
        <is>
          <t>کامنت 5 مورد</t>
        </is>
      </c>
      <c r="U101" t="inlineStr">
        <is>
          <t>Sara Ahmadi</t>
        </is>
      </c>
      <c r="V101" t="inlineStr">
        <is>
          <t>U091</t>
        </is>
      </c>
      <c r="W101" t="inlineStr">
        <is>
          <t>Ali Rezaei</t>
        </is>
      </c>
      <c r="X101" t="inlineStr">
        <is>
          <t>U374</t>
        </is>
      </c>
      <c r="Y101" t="n">
        <v/>
      </c>
      <c r="Z101" t="n">
        <v/>
      </c>
      <c r="AA101" t="n">
        <v/>
      </c>
      <c r="AB101" t="n">
        <v/>
      </c>
      <c r="AC101" t="inlineStr">
        <is>
          <t>2024-06-02</t>
        </is>
      </c>
      <c r="AD101" t="inlineStr">
        <is>
          <t>2024-06-02 08:00:00</t>
        </is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t="n">
        <v/>
      </c>
      <c r="AL101" t="n">
        <v/>
      </c>
      <c r="AM101" t="inlineStr">
        <is>
          <t>2024-06-02 08:00:00</t>
        </is>
      </c>
      <c r="AN101" t="inlineStr">
        <is>
          <t>2024-07-29</t>
        </is>
      </c>
      <c r="AO101" t="n">
        <v>0</v>
      </c>
      <c r="AP101" t="n">
        <v/>
      </c>
      <c r="AQ101" t="n">
        <v/>
      </c>
      <c r="AR101" t="inlineStr">
        <is>
          <t>Open</t>
        </is>
      </c>
      <c r="AS101" t="n">
        <v>1</v>
      </c>
      <c r="AT101" t="n">
        <v/>
      </c>
      <c r="AU101" t="n">
        <v/>
      </c>
      <c r="AV101" t="n">
        <v/>
      </c>
      <c r="AW101" t="n">
        <v/>
      </c>
      <c r="AX101" t="inlineStr">
        <is>
          <t>[{"state": "Open", "timestamp": "2024-06-02T00:00:00"}, {"state": "Triage", "timestamp": "2024-06-02T08:00:00"}]</t>
        </is>
      </c>
      <c r="AY101" t="n">
        <v>0</v>
      </c>
      <c r="AZ101" t="n">
        <v>3</v>
      </c>
      <c r="BA101" t="n">
        <v>1</v>
      </c>
      <c r="BB101" t="n">
        <v>7.462389219407941</v>
      </c>
      <c r="BC101" t="n">
        <v>25.01815382403644</v>
      </c>
      <c r="BD101" t="n">
        <v>18.97134725898524</v>
      </c>
      <c r="BE101" t="n">
        <v>6.372440770492608</v>
      </c>
      <c r="BF101" t="n">
        <v>0</v>
      </c>
      <c r="BG101" t="n">
        <v>57.82433107292224</v>
      </c>
      <c r="BH101" t="n">
        <v>71.6874105209324</v>
      </c>
      <c r="BI101" t="n">
        <v/>
      </c>
      <c r="BJ101" t="n">
        <v/>
      </c>
      <c r="BK101" t="n">
        <v/>
      </c>
      <c r="BL101" t="n">
        <v>0</v>
      </c>
      <c r="BM101" t="n">
        <v>0</v>
      </c>
      <c r="BN101" t="n">
        <v>571.7707912777083</v>
      </c>
      <c r="BO101" t="n">
        <v/>
      </c>
      <c r="BP101" t="n">
        <v/>
      </c>
      <c r="BQ101" t="n">
        <v/>
      </c>
      <c r="BR101" t="n">
        <v/>
      </c>
      <c r="BS101" t="b">
        <v>0</v>
      </c>
      <c r="BT101" t="n">
        <v/>
      </c>
      <c r="BU101" t="n">
        <v>0</v>
      </c>
      <c r="BV101" t="n">
        <v>0</v>
      </c>
    </row>
  </sheetData>
  <autoFilter ref="A1:BV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Code</t>
        </is>
      </c>
      <c r="B1" s="13" t="inlineStr">
        <is>
          <t>Metric_Name</t>
        </is>
      </c>
      <c r="C1" s="13" t="inlineStr">
        <is>
          <t>Value</t>
        </is>
      </c>
      <c r="D1" s="13" t="inlineStr">
        <is>
          <t>Formula_Text</t>
        </is>
      </c>
      <c r="E1" s="13" t="inlineStr">
        <is>
          <t>Description</t>
        </is>
      </c>
    </row>
    <row r="2">
      <c r="A2" t="inlineStr">
        <is>
          <t>B03</t>
        </is>
      </c>
      <c r="B2" t="inlineStr">
        <is>
          <t>B03_Revenue_at_Risk</t>
        </is>
      </c>
      <c r="C2" t="n">
        <v>0</v>
      </c>
      <c r="D2">
        <f>SUM('Bugs'[BusinessImpact])</f>
        <v/>
      </c>
      <c r="E2" t="inlineStr">
        <is>
          <t>Auto-generated from MD: Revenue at Risk</t>
        </is>
      </c>
    </row>
    <row r="3">
      <c r="A3" t="inlineStr">
        <is>
          <t>B04</t>
        </is>
      </c>
      <c r="B3" t="inlineStr">
        <is>
          <t>B04_Avg_Revenue_Impact_per_Bug</t>
        </is>
      </c>
      <c r="C3" t="n">
        <v>0</v>
      </c>
      <c r="D3">
        <f>AVERAGE('Bugs'[BusinessImpact])</f>
        <v/>
      </c>
      <c r="E3" t="inlineStr">
        <is>
          <t>Auto-generated from MD: Avg Revenue Impact per Bug</t>
        </is>
      </c>
    </row>
    <row r="4">
      <c r="A4" t="inlineStr">
        <is>
          <t>B05</t>
        </is>
      </c>
      <c r="B4" t="inlineStr">
        <is>
          <t>B05_High_Impact_Bugs</t>
        </is>
      </c>
      <c r="C4" t="n">
        <v>0</v>
      </c>
      <c r="D4">
        <f>CALCULATE(COUNTA(raw_data!A:A)-1, 'Bugs'[BusinessImpact] &gt; 10000)</f>
        <v/>
      </c>
      <c r="E4" t="inlineStr">
        <is>
          <t>Auto-generated from MD: High Impact Bugs</t>
        </is>
      </c>
    </row>
    <row r="5">
      <c r="A5" t="inlineStr">
        <is>
          <t>B09</t>
        </is>
      </c>
      <c r="B5" t="inlineStr">
        <is>
          <t>B09_Security_Risk_Level</t>
        </is>
      </c>
      <c r="C5" t="n">
        <v>0</v>
      </c>
      <c r="D5">
        <f>SWITCH(TRUE(),
        [V23_Security_Bugs] &gt; 10, "High",
        [V23_Security_Bugs] &gt; 5, "Medium",
        "Low"
    )</f>
        <v/>
      </c>
      <c r="E5" t="inlineStr">
        <is>
          <t>Auto-generated from MD: Security Risk Level</t>
        </is>
      </c>
    </row>
    <row r="6">
      <c r="A6" t="inlineStr">
        <is>
          <t>B10</t>
        </is>
      </c>
      <c r="B6" t="inlineStr">
        <is>
          <t>B10_Compliance_Risk_Bugs</t>
        </is>
      </c>
      <c r="C6" t="n">
        <v>0</v>
      </c>
      <c r="D6">
        <f>CALCULATE(COUNTA(raw_data!A:A)-1, 'Bugs'[Category] = "Compliance")</f>
        <v/>
      </c>
      <c r="E6" t="inlineStr">
        <is>
          <t>Auto-generated from MD: Compliance Risk Bugs</t>
        </is>
      </c>
    </row>
    <row r="7">
      <c r="A7" t="inlineStr">
        <is>
          <t>B11</t>
        </is>
      </c>
      <c r="B7" t="inlineStr">
        <is>
          <t>B11_Data_Loss_Risk_Bugs</t>
        </is>
      </c>
      <c r="C7" t="n">
        <v>0</v>
      </c>
      <c r="D7">
        <f>CALCULATE(COUNTA(raw_data!A:A)-1, 'Bugs'[Category] = "Data Loss")</f>
        <v/>
      </c>
      <c r="E7" t="inlineStr">
        <is>
          <t>Auto-generated from MD: Data Loss Risk Bugs</t>
        </is>
      </c>
    </row>
    <row r="8">
      <c r="A8" t="inlineStr">
        <is>
          <t>B12</t>
        </is>
      </c>
      <c r="B8" t="inlineStr">
        <is>
          <t>B12_Critical_Business_Impact_Bugs</t>
        </is>
      </c>
      <c r="C8" t="n">
        <v>0</v>
      </c>
      <c r="D8">
        <f>CALCULATE(
        COUNTA(raw_data!A:A)-1,
        raw_data!D:D = "Critical",
        'Bugs'[BusinessImpact] &gt; 0
    )</f>
        <v/>
      </c>
      <c r="E8" t="inlineStr">
        <is>
          <t>Auto-generated from MD: Critical Business Impact Bugs</t>
        </is>
      </c>
    </row>
    <row r="9">
      <c r="A9" t="inlineStr">
        <is>
          <t>B13</t>
        </is>
      </c>
      <c r="B9" t="inlineStr">
        <is>
          <t>B13_Cost_of_Poor_Quality</t>
        </is>
      </c>
      <c r="C9" t="n">
        <v>0</v>
      </c>
      <c r="D9">
        <f>[J18_Project_Cost_of_Quality]</f>
        <v/>
      </c>
      <c r="E9" t="inlineStr">
        <is>
          <t>Auto-generated from MD: Cost of Poor Quality</t>
        </is>
      </c>
    </row>
    <row r="10">
      <c r="A10" t="inlineStr">
        <is>
          <t>B14</t>
        </is>
      </c>
      <c r="B10" t="inlineStr">
        <is>
          <t>B14_Avg_Impact_by_Severity</t>
        </is>
      </c>
      <c r="C10" t="n">
        <v>0</v>
      </c>
      <c r="D10">
        <f>AVERAGEX(
        VALUES(raw_data!D:D),
        CALCULATE(AVERAGE('Bugs'[BusinessImpact]))
    )</f>
        <v/>
      </c>
      <c r="E10" t="inlineStr">
        <is>
          <t>Auto-generated from MD: Avg Impact by Severity</t>
        </is>
      </c>
    </row>
    <row r="11">
      <c r="A11" t="inlineStr">
        <is>
          <t>B15</t>
        </is>
      </c>
      <c r="B11" t="inlineStr">
        <is>
          <t>B15_Total_Business_Impact</t>
        </is>
      </c>
      <c r="C11" t="n">
        <v>0</v>
      </c>
      <c r="D11">
        <f>SUM('Bugs'[BusinessImpact])</f>
        <v/>
      </c>
      <c r="E11" t="inlineStr">
        <is>
          <t>Auto-generated from MD: Total Business Impact</t>
        </is>
      </c>
    </row>
    <row r="12">
      <c r="A12" t="inlineStr">
        <is>
          <t>B16</t>
        </is>
      </c>
      <c r="B12" t="inlineStr">
        <is>
          <t>B16_Impact_per_Module</t>
        </is>
      </c>
      <c r="C12" t="n">
        <v>0</v>
      </c>
      <c r="D12">
        <f>AVERAGEX(
        VALUES('Bugs'[ModuleName]),
        CALCULATE(SUM('Bugs'[BusinessImpact]))
    )</f>
        <v/>
      </c>
      <c r="E12" t="inlineStr">
        <is>
          <t>Auto-generated from MD: Impact per Module</t>
        </is>
      </c>
    </row>
    <row r="13">
      <c r="A13" t="inlineStr">
        <is>
          <t>B17</t>
        </is>
      </c>
      <c r="B13" t="inlineStr">
        <is>
          <t>B17_High_Severity_Impact</t>
        </is>
      </c>
      <c r="C13" t="n">
        <v>0</v>
      </c>
      <c r="D13">
        <f>CALCULATE(
        SUM('Bugs'[BusinessImpact]),
        raw_data!D:D IN {"Critical", "High"}
    )</f>
        <v/>
      </c>
      <c r="E13" t="inlineStr">
        <is>
          <t>Auto-generated from MD: High Severity Impact</t>
        </is>
      </c>
    </row>
    <row r="14">
      <c r="A14" t="inlineStr">
        <is>
          <t>B18</t>
        </is>
      </c>
      <c r="B14" t="inlineStr">
        <is>
          <t>B18_Production_Bug_Impact</t>
        </is>
      </c>
      <c r="C14" t="n">
        <v>0</v>
      </c>
      <c r="D14">
        <f>CALCULATE(
        SUM('Bugs'[BusinessImpact]),
        'Bugs'[Tags] CONTAINS "Production"
    )</f>
        <v/>
      </c>
      <c r="E14" t="inlineStr">
        <is>
          <t>Auto-generated from MD: Production Bug Impact</t>
        </is>
      </c>
    </row>
    <row r="15">
      <c r="A15" t="inlineStr">
        <is>
          <t>B19</t>
        </is>
      </c>
      <c r="B15" t="inlineStr">
        <is>
          <t>B19_Escaped_Bug_Impact</t>
        </is>
      </c>
      <c r="C15" t="n">
        <v>0</v>
      </c>
      <c r="D15">
        <f>CALCULATE(
        SUM('Bugs'[BusinessImpact]),
        raw_data!I:I = TRUE
    )</f>
        <v/>
      </c>
      <c r="E15" t="inlineStr">
        <is>
          <t>Auto-generated from MD: Escaped Bug Impact</t>
        </is>
      </c>
    </row>
    <row r="16">
      <c r="A16" t="inlineStr">
        <is>
          <t>B20</t>
        </is>
      </c>
      <c r="B16" t="inlineStr">
        <is>
          <t>B20_Impact_Risk_Score</t>
        </is>
      </c>
      <c r="C16" t="n">
        <v>0</v>
      </c>
      <c r="D16">
        <f>([B15_Total_Business_Impact] * 0.4) +
    ([B19_Escaped_Bug_Impact] * 0.35) +
    ([B17_High_Severity_Impact] * 0.25)</f>
        <v/>
      </c>
      <c r="E16" t="inlineStr">
        <is>
          <t>Auto-generated from MD: Impact Risk Score</t>
        </is>
      </c>
    </row>
    <row r="17">
      <c r="A17" t="inlineStr">
        <is>
          <t>B21</t>
        </is>
      </c>
      <c r="B17" t="inlineStr">
        <is>
          <t>B21_Avg_Resolution_Cost</t>
        </is>
      </c>
      <c r="C17" t="n">
        <v>0</v>
      </c>
      <c r="D17">
        <f>AVERAGE('Bugs'[TotalEffortHrs]) * 100</f>
        <v/>
      </c>
      <c r="E17" t="inlineStr">
        <is>
          <t>Auto-generated from MD: Avg Resolution Cost</t>
        </is>
      </c>
    </row>
    <row r="18">
      <c r="A18" t="inlineStr">
        <is>
          <t>B22</t>
        </is>
      </c>
      <c r="B18" t="inlineStr">
        <is>
          <t>B22_Security_Bug_Impact</t>
        </is>
      </c>
      <c r="C18" t="n">
        <v>0</v>
      </c>
      <c r="D18">
        <f>CALCULATE(
        SUM('Bugs'[BusinessImpact]),
        'Bugs'[Category] = "Security"
    )</f>
        <v/>
      </c>
      <c r="E18" t="inlineStr">
        <is>
          <t>Auto-generated from MD: Security Bug Impact</t>
        </is>
      </c>
    </row>
    <row r="19">
      <c r="A19" t="inlineStr">
        <is>
          <t>B23</t>
        </is>
      </c>
      <c r="B19" t="inlineStr">
        <is>
          <t>B23_Performance_Bug_Impact</t>
        </is>
      </c>
      <c r="C19" t="n">
        <v>0</v>
      </c>
      <c r="D19">
        <f>CALCULATE(
        SUM('Bugs'[BusinessImpact]),
        'Bugs'[Category] = "Performance"
    )</f>
        <v/>
      </c>
      <c r="E19" t="inlineStr">
        <is>
          <t>Auto-generated from MD: Performance Bug Impact</t>
        </is>
      </c>
    </row>
    <row r="20">
      <c r="A20" t="inlineStr">
        <is>
          <t>B24</t>
        </is>
      </c>
      <c r="B20" t="inlineStr">
        <is>
          <t>B24_Compliance_Cost</t>
        </is>
      </c>
      <c r="C20" t="n">
        <v>0</v>
      </c>
      <c r="D20">
        <f>CALCULATE(
        SUM('Bugs'[TotalEffortHrs]),
        'Bugs'[Category] = "Compliance"
    ) * 100</f>
        <v/>
      </c>
      <c r="E20" t="inlineStr">
        <is>
          <t>Auto-generated from MD: Compliance Cost</t>
        </is>
      </c>
    </row>
    <row r="21">
      <c r="A21" t="inlineStr">
        <is>
          <t>B25</t>
        </is>
      </c>
      <c r="B21" t="inlineStr">
        <is>
          <t>B25_Revenue_Impact_by_Priority</t>
        </is>
      </c>
      <c r="C21" t="n">
        <v>0</v>
      </c>
      <c r="D21">
        <f>CALCULATE(
        SUM('Bugs'[BusinessImpact]),
        ALLEXCEPT('Bugs', raw_data!E:E)
    )</f>
        <v/>
      </c>
      <c r="E21" t="inlineStr">
        <is>
          <t>Auto-generated from MD: Revenue Impact by Priority</t>
        </is>
      </c>
    </row>
    <row r="22">
      <c r="A22" t="inlineStr">
        <is>
          <t>C01</t>
        </is>
      </c>
      <c r="B22" t="inlineStr">
        <is>
          <t>C01_Customer_Reported_Bugs</t>
        </is>
      </c>
      <c r="C22" t="n">
        <v>0</v>
      </c>
      <c r="D22">
        <f>[V22_Customer_Reported_Bugs]</f>
        <v/>
      </c>
      <c r="E22" t="inlineStr">
        <is>
          <t>Auto-generated from MD: Customer Reported Bugs</t>
        </is>
      </c>
    </row>
    <row r="23">
      <c r="A23" t="inlineStr">
        <is>
          <t>C02</t>
        </is>
      </c>
      <c r="B23" t="inlineStr">
        <is>
          <t>C02_Customer_Bug_Rate</t>
        </is>
      </c>
      <c r="C23" t="n">
        <v>0</v>
      </c>
      <c r="D23">
        <f>DIVIDE([C01_Customer_Reported_Bugs], [V01_Total_Bugs], 0)</f>
        <v/>
      </c>
      <c r="E23" t="inlineStr">
        <is>
          <t>Auto-generated from MD: Customer Bug Rate</t>
        </is>
      </c>
    </row>
    <row r="24">
      <c r="A24" t="inlineStr">
        <is>
          <t>C03</t>
        </is>
      </c>
      <c r="B24" t="inlineStr">
        <is>
          <t>C03_Avg_Customer_Response_Time</t>
        </is>
      </c>
      <c r="C24" t="n">
        <v>0</v>
      </c>
      <c r="D24">
        <f>AVERAGEX(
        FILTER('Bugs', raw_data!I:I = TRUE),
        'Bugs'[ResponseTimeHrs]
    )</f>
        <v/>
      </c>
      <c r="E24" t="inlineStr">
        <is>
          <t>Auto-generated from MD: Avg Customer Response Time</t>
        </is>
      </c>
    </row>
    <row r="25">
      <c r="A25" t="inlineStr">
        <is>
          <t>C04</t>
        </is>
      </c>
      <c r="B25" t="inlineStr">
        <is>
          <t>C04_Avg_Customer_Resolution_Time</t>
        </is>
      </c>
      <c r="C25" t="n">
        <v>0</v>
      </c>
      <c r="D25">
        <f>AVERAGEX(
        FILTER('Bugs', raw_data!I:I = TRUE),
        'Bugs'[LeadTimeHrs]
    )</f>
        <v/>
      </c>
      <c r="E25" t="inlineStr">
        <is>
          <t>Auto-generated from MD: Avg Customer Resolution Time</t>
        </is>
      </c>
    </row>
    <row r="26">
      <c r="A26" t="inlineStr">
        <is>
          <t>C05</t>
        </is>
      </c>
      <c r="B26" t="inlineStr">
        <is>
          <t>C05_Customer_Critical_Bugs</t>
        </is>
      </c>
      <c r="C26" t="n">
        <v>0</v>
      </c>
      <c r="D26">
        <f>CALCULATE(
        COUNTA(raw_data!A:A)-1,
        raw_data!I:I = TRUE,
        raw_data!D:D = "Critical"
    )</f>
        <v/>
      </c>
      <c r="E26" t="inlineStr">
        <is>
          <t>Auto-generated from MD: Customer Critical Bugs</t>
        </is>
      </c>
    </row>
    <row r="27">
      <c r="A27" t="inlineStr">
        <is>
          <t>C06</t>
        </is>
      </c>
      <c r="B27" t="inlineStr">
        <is>
          <t>C06_Customer_High_Bugs</t>
        </is>
      </c>
      <c r="C27" t="n">
        <v>0</v>
      </c>
      <c r="D27">
        <f>CALCULATE(
        COUNTA(raw_data!A:A)-1,
        raw_data!I:I = TRUE,
        raw_data!D:D = "High"
    )</f>
        <v/>
      </c>
      <c r="E27" t="inlineStr">
        <is>
          <t>Auto-generated from MD: Customer High Bugs</t>
        </is>
      </c>
    </row>
    <row r="28">
      <c r="A28" t="inlineStr">
        <is>
          <t>C07</t>
        </is>
      </c>
      <c r="B28" t="inlineStr">
        <is>
          <t>C07_Customer_Satisfaction_Index</t>
        </is>
      </c>
      <c r="C28" t="n">
        <v>0</v>
      </c>
      <c r="D28">
        <f>1 - ([C02_Customer_Bug_Rate] * 0.4 + [Q01_Escape_Rate] * 0.6)</f>
        <v/>
      </c>
      <c r="E28" t="inlineStr">
        <is>
          <t>Auto-generated from MD: Customer Satisfaction Index</t>
        </is>
      </c>
    </row>
    <row r="29">
      <c r="A29" t="inlineStr">
        <is>
          <t>C08</t>
        </is>
      </c>
      <c r="B29" t="inlineStr">
        <is>
          <t>C08_Customer_Impact_Score</t>
        </is>
      </c>
      <c r="C29" t="n">
        <v>0</v>
      </c>
      <c r="D29">
        <f>([C05_Customer_Critical_Bugs] * 10) +
    ([C06_Customer_High_Bugs] * 5) +
    ([C01_Customer_Reported_Bugs] * 1)</f>
        <v/>
      </c>
      <c r="E29" t="inlineStr">
        <is>
          <t>Auto-generated from MD: Customer Impact Score</t>
        </is>
      </c>
    </row>
    <row r="30">
      <c r="A30" t="inlineStr">
        <is>
          <t>C09</t>
        </is>
      </c>
      <c r="B30" t="inlineStr">
        <is>
          <t>C09_SLA_Compliance_Rate</t>
        </is>
      </c>
      <c r="C30" t="n">
        <v>0</v>
      </c>
      <c r="D30">
        <f>Complex formula (see DAX reference)</f>
        <v/>
      </c>
      <c r="E30" t="inlineStr">
        <is>
          <t>Auto-generated from MD: SLA Compliance Rate</t>
        </is>
      </c>
    </row>
    <row r="31">
      <c r="A31" t="inlineStr">
        <is>
          <t>C10</t>
        </is>
      </c>
      <c r="B31" t="inlineStr">
        <is>
          <t>C10_Customer_Reopen_Rate</t>
        </is>
      </c>
      <c r="C31" t="n">
        <v>0</v>
      </c>
      <c r="D31">
        <f>DIVIDE(
        CALCULATE(COUNTA(raw_data!A:A)-1, raw_data!AM:AM &gt; 0, raw_data!I:I = TRUE),
        [C01_Customer_Reported_Bugs],
        0
    )</f>
        <v/>
      </c>
      <c r="E31" t="inlineStr">
        <is>
          <t>Auto-generated from MD: Customer Reopen Rate</t>
        </is>
      </c>
    </row>
    <row r="32">
      <c r="A32" t="inlineStr">
        <is>
          <t>C11</t>
        </is>
      </c>
      <c r="B32" t="inlineStr">
        <is>
          <t>C11_Avg_Customer_Effort</t>
        </is>
      </c>
      <c r="C32" t="n">
        <v>0</v>
      </c>
      <c r="D32">
        <f>AVERAGEX(
        FILTER('Bugs', raw_data!I:I = TRUE),
        'Bugs'[TotalEffortHrs]
    )</f>
        <v/>
      </c>
      <c r="E32" t="inlineStr">
        <is>
          <t>Auto-generated from MD: Avg Customer Effort</t>
        </is>
      </c>
    </row>
    <row r="33">
      <c r="A33" t="inlineStr">
        <is>
          <t>C12</t>
        </is>
      </c>
      <c r="B33" t="inlineStr">
        <is>
          <t>C12_Customer_Escalation_Rate</t>
        </is>
      </c>
      <c r="C33" t="n">
        <v>0</v>
      </c>
      <c r="D33">
        <f>DIVIDE(
        CALCULATE(COUNTA(raw_data!A:A)-1, raw_data!E:E = "P0", raw_data!I:I = TRUE),
        [C01_Customer_Reported_Bugs],
        0
    )</f>
        <v/>
      </c>
      <c r="E33" t="inlineStr">
        <is>
          <t>Auto-generated from MD: Customer Escalation Rate</t>
        </is>
      </c>
    </row>
    <row r="34">
      <c r="A34" t="inlineStr">
        <is>
          <t>C14</t>
        </is>
      </c>
      <c r="B34" t="inlineStr">
        <is>
          <t>C14_Customer_Experience_Score</t>
        </is>
      </c>
      <c r="C34" t="n">
        <v>0</v>
      </c>
      <c r="D34">
        <f>([C07_Customer_Satisfaction_Index] * 0.4) +
    ((1 - [C10_Customer_Reopen_Rate]) * 0.3) +
    ([C09_SLA_Compliance_Rate] * 0.3)</f>
        <v/>
      </c>
      <c r="E34" t="inlineStr">
        <is>
          <t>Auto-generated from MD: Customer Experience Score</t>
        </is>
      </c>
    </row>
    <row r="35">
      <c r="A35" t="inlineStr">
        <is>
          <t>C16</t>
        </is>
      </c>
      <c r="B35" t="inlineStr">
        <is>
          <t>C16_Escaped_Bug_Fix_Rate</t>
        </is>
      </c>
      <c r="C35" t="n">
        <v>0</v>
      </c>
      <c r="D35">
        <f>DIVIDE(
        CALCULATE(COUNTA(raw_data!A:A)-1, raw_data!F:F IN {"Resolved", "Done", "Closed"}, raw_data!I:I = TRUE),
        [C01_Customer_Reported_Bugs],
        0
    )</f>
        <v/>
      </c>
      <c r="E35" t="inlineStr">
        <is>
          <t>Auto-generated from MD: Escaped Bug Fix Rate</t>
        </is>
      </c>
    </row>
    <row r="36">
      <c r="A36" t="inlineStr">
        <is>
          <t>C17</t>
        </is>
      </c>
      <c r="B36" t="inlineStr">
        <is>
          <t>C17_Customer_Waiting_Bugs</t>
        </is>
      </c>
      <c r="C36" t="n">
        <v>0</v>
      </c>
      <c r="D36">
        <f>CALCULATE(
        COUNTA(raw_data!A:A)-1,
        raw_data!F:F NOT IN {"Resolved", "Done", "Closed"},
        raw_data!I:I = TRUE
    )</f>
        <v/>
      </c>
      <c r="E36" t="inlineStr">
        <is>
          <t>Auto-generated from MD: Customer Waiting Bugs</t>
        </is>
      </c>
    </row>
    <row r="37">
      <c r="A37" t="inlineStr">
        <is>
          <t>C18</t>
        </is>
      </c>
      <c r="B37" t="inlineStr">
        <is>
          <t>C18_Avg_Customer_Wait_Time</t>
        </is>
      </c>
      <c r="C37" t="n">
        <v>0</v>
      </c>
      <c r="D37">
        <f>AVERAGEX(
        FILTER('Bugs', raw_data!I:I = TRUE),
        'Bugs'[WaitTimeHrs]
    )</f>
        <v/>
      </c>
      <c r="E37" t="inlineStr">
        <is>
          <t>Auto-generated from MD: Avg Customer Wait Time</t>
        </is>
      </c>
    </row>
    <row r="38">
      <c r="A38" t="inlineStr">
        <is>
          <t>C19</t>
        </is>
      </c>
      <c r="B38" t="inlineStr">
        <is>
          <t>C19_Customer_Bug_Trend</t>
        </is>
      </c>
      <c r="C38" t="n">
        <v>0</v>
      </c>
      <c r="D38">
        <f>Complex formula (see DAX reference)</f>
        <v/>
      </c>
      <c r="E38" t="inlineStr">
        <is>
          <t>Auto-generated from MD: Customer Bug Trend</t>
        </is>
      </c>
    </row>
    <row r="39">
      <c r="A39" t="inlineStr">
        <is>
          <t>C20</t>
        </is>
      </c>
      <c r="B39" t="inlineStr">
        <is>
          <t>C20_Customer_Priority_Response</t>
        </is>
      </c>
      <c r="C39" t="n">
        <v>0</v>
      </c>
      <c r="D39">
        <f>AVERAGEX(
        FILTER('Bugs', raw_data!I:I = TRUE &amp;&amp; raw_data!E:E = "P0"),
        'Bugs'[ResponseTimeHrs]
    )</f>
        <v/>
      </c>
      <c r="E39" t="inlineStr">
        <is>
          <t>Auto-generated from MD: Customer Priority Response</t>
        </is>
      </c>
    </row>
    <row r="40">
      <c r="A40" t="inlineStr">
        <is>
          <t>CR01</t>
        </is>
      </c>
      <c r="B40" t="inlineStr">
        <is>
          <t>CR01_By_Design_Count</t>
        </is>
      </c>
      <c r="C40" t="n">
        <v>1</v>
      </c>
      <c r="D40">
        <f>COUNTIF(raw_data!BR:BR,"By Design")</f>
        <v/>
      </c>
      <c r="E40" t="inlineStr">
        <is>
          <t>Bugs closed as By Design</t>
        </is>
      </c>
    </row>
    <row r="41">
      <c r="A41" t="inlineStr">
        <is>
          <t>CR02</t>
        </is>
      </c>
      <c r="B41" t="inlineStr">
        <is>
          <t>CR02_Cannot_Reproduce_Count</t>
        </is>
      </c>
      <c r="C41" t="n">
        <v>4</v>
      </c>
      <c r="D41">
        <f>COUNTIF(raw_data!BR:BR,"Cannot Reproduce")</f>
        <v/>
      </c>
      <c r="E41" t="inlineStr">
        <is>
          <t>Bugs closed as Cannot Reproduce</t>
        </is>
      </c>
    </row>
    <row r="42">
      <c r="A42" t="inlineStr">
        <is>
          <t>CR03</t>
        </is>
      </c>
      <c r="B42" t="inlineStr">
        <is>
          <t>CR03_Completed_Count</t>
        </is>
      </c>
      <c r="C42" t="n">
        <v>21</v>
      </c>
      <c r="D42">
        <f>COUNTIF(raw_data!BR:BR,"Completed")</f>
        <v/>
      </c>
      <c r="E42" t="inlineStr">
        <is>
          <t>Bugs closed as Completed</t>
        </is>
      </c>
    </row>
    <row r="43">
      <c r="A43" t="inlineStr">
        <is>
          <t>CR04</t>
        </is>
      </c>
      <c r="B43" t="inlineStr">
        <is>
          <t>CR04_Duplicate_Count</t>
        </is>
      </c>
      <c r="C43" t="n">
        <v>4</v>
      </c>
      <c r="D43">
        <f>COUNTIF(raw_data!BR:BR,"Duplicate")</f>
        <v/>
      </c>
      <c r="E43" t="inlineStr">
        <is>
          <t>Bugs closed as Duplicate</t>
        </is>
      </c>
    </row>
    <row r="44">
      <c r="A44" t="inlineStr">
        <is>
          <t>CR05</t>
        </is>
      </c>
      <c r="B44" t="inlineStr">
        <is>
          <t>CR05_Invalid_Count</t>
        </is>
      </c>
      <c r="C44" t="n">
        <v>0</v>
      </c>
      <c r="D44">
        <f>COUNTIF(raw_data!BR:BR,"Invalid")</f>
        <v/>
      </c>
      <c r="E44" t="inlineStr">
        <is>
          <t>Bugs closed as Invalid</t>
        </is>
      </c>
    </row>
    <row r="45">
      <c r="A45" t="inlineStr">
        <is>
          <t>CR06</t>
        </is>
      </c>
      <c r="B45" t="inlineStr">
        <is>
          <t>CR06_Obsolete_Count</t>
        </is>
      </c>
      <c r="C45" t="n">
        <v>1</v>
      </c>
      <c r="D45">
        <f>COUNTIF(raw_data!BR:BR,"Obsolete")</f>
        <v/>
      </c>
      <c r="E45" t="inlineStr">
        <is>
          <t>Bugs closed as Obsolete</t>
        </is>
      </c>
    </row>
    <row r="46">
      <c r="A46" t="inlineStr">
        <is>
          <t>CR07</t>
        </is>
      </c>
      <c r="B46" t="inlineStr">
        <is>
          <t>CR07_Wont_Fix_Count</t>
        </is>
      </c>
      <c r="C46" t="n">
        <v>0</v>
      </c>
      <c r="D46">
        <f>COUNTIF(raw_data!BR:BR,"Won't Fix")</f>
        <v/>
      </c>
      <c r="E46" t="inlineStr">
        <is>
          <t>Bugs closed as Won't Fix</t>
        </is>
      </c>
    </row>
    <row r="47">
      <c r="A47" t="inlineStr">
        <is>
          <t>CR08</t>
        </is>
      </c>
      <c r="B47" t="inlineStr">
        <is>
          <t>CR08_Close_Reason_Distribution</t>
        </is>
      </c>
      <c r="C47" t="n">
        <v>0</v>
      </c>
      <c r="D47">
        <f>DIVIDE(
        COUNTA(raw_data!A:A)-1,
        CALCULATE(COUNTA(raw_data!A:A)-1, ALL('Bugs'[CloseReason])),
        0
    )</f>
        <v/>
      </c>
      <c r="E47" t="inlineStr">
        <is>
          <t>Auto-generated from MD: Close Reason Distribution</t>
        </is>
      </c>
    </row>
    <row r="48">
      <c r="A48" t="inlineStr">
        <is>
          <t>CR09</t>
        </is>
      </c>
      <c r="B48" t="inlineStr">
        <is>
          <t>CR09_Cannot_Reproduce_Rate</t>
        </is>
      </c>
      <c r="C48" t="n">
        <v>12.90322580645161</v>
      </c>
      <c r="D48">
        <f>CR02_Cannot_Reproduce_Count/V09_Closed_Bugs*100</f>
        <v/>
      </c>
      <c r="E48" t="inlineStr">
        <is>
          <t>Cannot Reproduce rate (%)</t>
        </is>
      </c>
    </row>
    <row r="49">
      <c r="A49" t="inlineStr">
        <is>
          <t>CR10</t>
        </is>
      </c>
      <c r="B49" t="inlineStr">
        <is>
          <t>CR10_Duplicate_Detection_Rate</t>
        </is>
      </c>
      <c r="C49" t="n">
        <v>12.90322580645161</v>
      </c>
      <c r="D49">
        <f>CR04_Duplicate_Count/V09_Closed_Bugs*100</f>
        <v/>
      </c>
      <c r="E49" t="inlineStr">
        <is>
          <t>Duplicate detection rate (%)</t>
        </is>
      </c>
    </row>
    <row r="50">
      <c r="A50" t="inlineStr">
        <is>
          <t>CR11</t>
        </is>
      </c>
      <c r="B50" t="inlineStr">
        <is>
          <t>CR11_Invalid_Report_Rate</t>
        </is>
      </c>
      <c r="C50" t="n">
        <v>0</v>
      </c>
      <c r="D50">
        <f>DIVIDE(
        [CR05_Invalid_Count],
        [V09_Closed_Bugs],
        0
    )</f>
        <v/>
      </c>
      <c r="E50" t="inlineStr">
        <is>
          <t>Auto-generated from MD: Invalid Report Rate</t>
        </is>
      </c>
    </row>
    <row r="51">
      <c r="A51" t="inlineStr">
        <is>
          <t>CR12</t>
        </is>
      </c>
      <c r="B51" t="inlineStr">
        <is>
          <t>CR12_Successful_Completion_Rate</t>
        </is>
      </c>
      <c r="C51" t="n">
        <v>67.74193548387096</v>
      </c>
      <c r="D51">
        <f>CR03_Completed_Count/V09_Closed_Bugs*100</f>
        <v/>
      </c>
      <c r="E51" t="inlineStr">
        <is>
          <t>Successful completion rate (%)</t>
        </is>
      </c>
    </row>
    <row r="52">
      <c r="A52" t="inlineStr">
        <is>
          <t>CR13</t>
        </is>
      </c>
      <c r="B52" t="inlineStr">
        <is>
          <t>CR13_By_Design_Rate</t>
        </is>
      </c>
      <c r="C52" t="n">
        <v>0</v>
      </c>
      <c r="D52">
        <f>DIVIDE(
        [CR01_By_Design_Count],
        [V09_Closed_Bugs],
        0
    )</f>
        <v/>
      </c>
      <c r="E52" t="inlineStr">
        <is>
          <t>Auto-generated from MD: By Design Rate</t>
        </is>
      </c>
    </row>
    <row r="53">
      <c r="A53" t="inlineStr">
        <is>
          <t>CR14</t>
        </is>
      </c>
      <c r="B53" t="inlineStr">
        <is>
          <t>CR14_Wont_Fix_Rate</t>
        </is>
      </c>
      <c r="C53" t="n">
        <v>0</v>
      </c>
      <c r="D53">
        <f>DIVIDE(
        [CR07_Wont_Fix_Count],
        [V09_Closed_Bugs],
        0
    )</f>
        <v/>
      </c>
      <c r="E53" t="inlineStr">
        <is>
          <t>Auto-generated from MD: Wont Fix Rate</t>
        </is>
      </c>
    </row>
    <row r="54">
      <c r="A54" t="inlineStr">
        <is>
          <t>CR15</t>
        </is>
      </c>
      <c r="B54" t="inlineStr">
        <is>
          <t>CR15_Actionable_Bugs_Rate</t>
        </is>
      </c>
      <c r="C54" t="n">
        <v>0</v>
      </c>
      <c r="D54">
        <f>DIVIDE(
        [CR03_Completed_Count],
        [V09_Closed_Bugs] - [CR04_Duplicate_Count] - [CR05_Invalid_Count],
        0
    )</f>
        <v/>
      </c>
      <c r="E54" t="inlineStr">
        <is>
          <t>Auto-generated from MD: Actionable Bugs Rate</t>
        </is>
      </c>
    </row>
    <row r="55">
      <c r="A55" t="inlineStr">
        <is>
          <t>E01</t>
        </is>
      </c>
      <c r="B55" t="inlineStr">
        <is>
          <t>E01_Total_Effort</t>
        </is>
      </c>
      <c r="C55" t="n">
        <v>4680.708123076106</v>
      </c>
      <c r="D55">
        <f>SUM(raw_data!BA:BA)</f>
        <v/>
      </c>
      <c r="E55" t="inlineStr">
        <is>
          <t>Total effort (hours)</t>
        </is>
      </c>
    </row>
    <row r="56">
      <c r="A56" t="inlineStr">
        <is>
          <t>E02</t>
        </is>
      </c>
      <c r="B56" t="inlineStr">
        <is>
          <t>E02_Avg_Effort_per_Bug</t>
        </is>
      </c>
      <c r="C56" t="n">
        <v>46.80708123076106</v>
      </c>
      <c r="D56">
        <f>AVERAGE(raw_data!BA:BA)</f>
        <v/>
      </c>
      <c r="E56" t="inlineStr">
        <is>
          <t>Average effort per bug (hours)</t>
        </is>
      </c>
    </row>
    <row r="57">
      <c r="A57" t="inlineStr">
        <is>
          <t>E03</t>
        </is>
      </c>
      <c r="B57" t="inlineStr">
        <is>
          <t>E03_Median_Effort_per_Bug</t>
        </is>
      </c>
      <c r="C57" t="n">
        <v>46.55906400149468</v>
      </c>
      <c r="D57">
        <f>MEDIAN(raw_data!BA:BA)</f>
        <v/>
      </c>
      <c r="E57" t="inlineStr">
        <is>
          <t>Median effort per bug (hours)</t>
        </is>
      </c>
    </row>
    <row r="58">
      <c r="A58" t="inlineStr">
        <is>
          <t>E04</t>
        </is>
      </c>
      <c r="B58" t="inlineStr">
        <is>
          <t>E04_Total_Dev_Effort</t>
        </is>
      </c>
      <c r="C58" t="n">
        <v>2063.355320835314</v>
      </c>
      <c r="D58">
        <f>SUM(raw_data!AX:AX)</f>
        <v/>
      </c>
      <c r="E58" t="inlineStr">
        <is>
          <t>Total development effort (hours)</t>
        </is>
      </c>
    </row>
    <row r="59">
      <c r="A59" t="inlineStr">
        <is>
          <t>E05</t>
        </is>
      </c>
      <c r="B59" t="inlineStr">
        <is>
          <t>E05_Total_Test_Effort</t>
        </is>
      </c>
      <c r="C59" t="n">
        <v>943.477047758079</v>
      </c>
      <c r="D59">
        <f>SUM(raw_data!AZ:AZ)</f>
        <v/>
      </c>
      <c r="E59" t="inlineStr">
        <is>
          <t>Total test effort (hours)</t>
        </is>
      </c>
    </row>
    <row r="60">
      <c r="A60" t="inlineStr">
        <is>
          <t>E06</t>
        </is>
      </c>
      <c r="B60" t="inlineStr">
        <is>
          <t>E06_Total_Analysis_Effort</t>
        </is>
      </c>
      <c r="C60" t="n">
        <v>424.2621741689522</v>
      </c>
      <c r="D60">
        <f>SUM(raw_data!AW:AW)</f>
        <v/>
      </c>
      <c r="E60" t="inlineStr">
        <is>
          <t>Total analysis effort (hours)</t>
        </is>
      </c>
    </row>
    <row r="61">
      <c r="A61" t="inlineStr">
        <is>
          <t>E07</t>
        </is>
      </c>
      <c r="B61" t="inlineStr">
        <is>
          <t>E07_Total_Fix_Effort</t>
        </is>
      </c>
      <c r="C61" t="n">
        <v>1045.48169488181</v>
      </c>
      <c r="D61">
        <f>SUM(raw_data!AY:AY)</f>
        <v/>
      </c>
      <c r="E61" t="inlineStr">
        <is>
          <t>Total fix effort (hours)</t>
        </is>
      </c>
    </row>
    <row r="62">
      <c r="A62" t="inlineStr">
        <is>
          <t>E08</t>
        </is>
      </c>
      <c r="B62" t="inlineStr">
        <is>
          <t>E08_Total_Reopen_Effort</t>
        </is>
      </c>
      <c r="C62" t="n">
        <v>0</v>
      </c>
      <c r="D62">
        <f>SUM('Bugs'[ReopenEffortHrs])</f>
        <v/>
      </c>
      <c r="E62" t="inlineStr">
        <is>
          <t>Auto-generated from MD: Total Reopen Effort</t>
        </is>
      </c>
    </row>
    <row r="63">
      <c r="A63" t="inlineStr">
        <is>
          <t>E09</t>
        </is>
      </c>
      <c r="B63" t="inlineStr">
        <is>
          <t>E09_Avg_Dev_Effort</t>
        </is>
      </c>
      <c r="C63" t="n">
        <v>20.63355320835315</v>
      </c>
      <c r="D63">
        <f>AVERAGE(raw_data!AX:AX)</f>
        <v/>
      </c>
      <c r="E63" t="inlineStr">
        <is>
          <t>Average dev effort per bug (hours)</t>
        </is>
      </c>
    </row>
    <row r="64">
      <c r="A64" t="inlineStr">
        <is>
          <t>E10</t>
        </is>
      </c>
      <c r="B64" t="inlineStr">
        <is>
          <t>E10_Avg_Test_Effort</t>
        </is>
      </c>
      <c r="C64" t="n">
        <v>9.434770477580791</v>
      </c>
      <c r="D64">
        <f>AVERAGE(raw_data!AZ:AZ)</f>
        <v/>
      </c>
      <c r="E64" t="inlineStr">
        <is>
          <t>Average test effort per bug (hours)</t>
        </is>
      </c>
    </row>
    <row r="65">
      <c r="A65" t="inlineStr">
        <is>
          <t>E11</t>
        </is>
      </c>
      <c r="B65" t="inlineStr">
        <is>
          <t>E11_Avg_Analysis_Effort</t>
        </is>
      </c>
      <c r="C65" t="n">
        <v>0</v>
      </c>
      <c r="D65">
        <f>AVERAGE('Bugs'[AnalysisEffortHrs])</f>
        <v/>
      </c>
      <c r="E65" t="inlineStr">
        <is>
          <t>Auto-generated from MD: Avg Analysis Effort</t>
        </is>
      </c>
    </row>
    <row r="66">
      <c r="A66" t="inlineStr">
        <is>
          <t>E12</t>
        </is>
      </c>
      <c r="B66" t="inlineStr">
        <is>
          <t>E12_Avg_Fix_Effort</t>
        </is>
      </c>
      <c r="C66" t="n">
        <v>0</v>
      </c>
      <c r="D66">
        <f>AVERAGE('Bugs'[FixEffortHrs])</f>
        <v/>
      </c>
      <c r="E66" t="inlineStr">
        <is>
          <t>Auto-generated from MD: Avg Fix Effort</t>
        </is>
      </c>
    </row>
    <row r="67">
      <c r="A67" t="inlineStr">
        <is>
          <t>E13</t>
        </is>
      </c>
      <c r="B67" t="inlineStr">
        <is>
          <t>E13_Dev_Effort_Pct</t>
        </is>
      </c>
      <c r="C67" t="n">
        <v>44.08211891407793</v>
      </c>
      <c r="D67">
        <f>E04_Total_Dev_Effort/E01_Total_Effort*100</f>
        <v/>
      </c>
      <c r="E67" t="inlineStr">
        <is>
          <t>Development effort percentage</t>
        </is>
      </c>
    </row>
    <row r="68">
      <c r="A68" t="inlineStr">
        <is>
          <t>E14</t>
        </is>
      </c>
      <c r="B68" t="inlineStr">
        <is>
          <t>E14_Test_Effort_Pct</t>
        </is>
      </c>
      <c r="C68" t="n">
        <v>20.15671609829064</v>
      </c>
      <c r="D68">
        <f>E05_Total_Test_Effort/E01_Total_Effort*100</f>
        <v/>
      </c>
      <c r="E68" t="inlineStr">
        <is>
          <t>Test effort percentage</t>
        </is>
      </c>
    </row>
    <row r="69">
      <c r="A69" t="inlineStr">
        <is>
          <t>E15</t>
        </is>
      </c>
      <c r="B69" t="inlineStr">
        <is>
          <t>E15_Analysis_Effort_Pct</t>
        </is>
      </c>
      <c r="C69" t="n">
        <v>0</v>
      </c>
      <c r="D69">
        <f>DIVIDE([E06_Total_Analysis_Effort], [E01_Total_Effort], 0)</f>
        <v/>
      </c>
      <c r="E69" t="inlineStr">
        <is>
          <t>Auto-generated from MD: Analysis Effort Pct</t>
        </is>
      </c>
    </row>
    <row r="70">
      <c r="A70" t="inlineStr">
        <is>
          <t>E16</t>
        </is>
      </c>
      <c r="B70" t="inlineStr">
        <is>
          <t>E16_Fix_Effort_Pct</t>
        </is>
      </c>
      <c r="C70" t="n">
        <v>0</v>
      </c>
      <c r="D70">
        <f>DIVIDE([E07_Total_Fix_Effort], [E01_Total_Effort], 0)</f>
        <v/>
      </c>
      <c r="E70" t="inlineStr">
        <is>
          <t>Auto-generated from MD: Fix Effort Pct</t>
        </is>
      </c>
    </row>
    <row r="71">
      <c r="A71" t="inlineStr">
        <is>
          <t>E17</t>
        </is>
      </c>
      <c r="B71" t="inlineStr">
        <is>
          <t>E17_Reopen_Effort_Pct</t>
        </is>
      </c>
      <c r="C71" t="n">
        <v>0</v>
      </c>
      <c r="D71">
        <f>DIVIDE([E08_Total_Reopen_Effort], [E01_Total_Effort], 0)</f>
        <v/>
      </c>
      <c r="E71" t="inlineStr">
        <is>
          <t>Auto-generated from MD: Reopen Effort Pct</t>
        </is>
      </c>
    </row>
    <row r="72">
      <c r="A72" t="inlineStr">
        <is>
          <t>E18</t>
        </is>
      </c>
      <c r="B72" t="inlineStr">
        <is>
          <t>E18_Critical_Bugs_Effort</t>
        </is>
      </c>
      <c r="C72" t="n">
        <v>0</v>
      </c>
      <c r="D72">
        <f>CALCULATE(
        SUM('Bugs'[TotalEffortHrs]),
        raw_data!D:D = "Critical"
    )</f>
        <v/>
      </c>
      <c r="E72" t="inlineStr">
        <is>
          <t>Auto-generated from MD: Critical Bugs Effort</t>
        </is>
      </c>
    </row>
    <row r="73">
      <c r="A73" t="inlineStr">
        <is>
          <t>E19</t>
        </is>
      </c>
      <c r="B73" t="inlineStr">
        <is>
          <t>E19_High_Bugs_Effort</t>
        </is>
      </c>
      <c r="C73" t="n">
        <v>0</v>
      </c>
      <c r="D73">
        <f>CALCULATE(
        SUM('Bugs'[TotalEffortHrs]),
        raw_data!D:D = "High"
    )</f>
        <v/>
      </c>
      <c r="E73" t="inlineStr">
        <is>
          <t>Auto-generated from MD: High Bugs Effort</t>
        </is>
      </c>
    </row>
    <row r="74">
      <c r="A74" t="inlineStr">
        <is>
          <t>E20</t>
        </is>
      </c>
      <c r="B74" t="inlineStr">
        <is>
          <t>E20_Escaped_Bugs_Effort</t>
        </is>
      </c>
      <c r="C74" t="n">
        <v>0</v>
      </c>
      <c r="D74">
        <f>CALCULATE(
        SUM('Bugs'[TotalEffortHrs]),
        raw_data!I:I = TRUE
    )</f>
        <v/>
      </c>
      <c r="E74" t="inlineStr">
        <is>
          <t>Auto-generated from MD: Escaped Bugs Effort</t>
        </is>
      </c>
    </row>
    <row r="75">
      <c r="A75" t="inlineStr">
        <is>
          <t>E21</t>
        </is>
      </c>
      <c r="B75" t="inlineStr">
        <is>
          <t>E21_Effort_Variance</t>
        </is>
      </c>
      <c r="C75" t="n">
        <v>0</v>
      </c>
      <c r="D75">
        <f>AVERAGEX(
        'Bugs',
        'Bugs'[TotalEffortHrs] - 'Bugs'[EstimatedEffortHrs]
    )</f>
        <v/>
      </c>
      <c r="E75" t="inlineStr">
        <is>
          <t>Auto-generated from MD: Effort Variance</t>
        </is>
      </c>
    </row>
    <row r="76">
      <c r="A76" t="inlineStr">
        <is>
          <t>E22</t>
        </is>
      </c>
      <c r="B76" t="inlineStr">
        <is>
          <t>E22_Effort_Variance_Pct</t>
        </is>
      </c>
      <c r="C76" t="n">
        <v>0</v>
      </c>
      <c r="D76">
        <f>DIVIDE(
        [E21_Effort_Variance],
        AVERAGE('Bugs'[EstimatedEffortHrs]),
        0
    )</f>
        <v/>
      </c>
      <c r="E76" t="inlineStr">
        <is>
          <t>Auto-generated from MD: Effort Variance Pct</t>
        </is>
      </c>
    </row>
    <row r="77">
      <c r="A77" t="inlineStr">
        <is>
          <t>E23</t>
        </is>
      </c>
      <c r="B77" t="inlineStr">
        <is>
          <t>E23_Estimate_Accuracy</t>
        </is>
      </c>
      <c r="C77" t="n">
        <v>0</v>
      </c>
      <c r="D77">
        <f>1 - ABS([E22_Effort_Variance_Pct])</f>
        <v/>
      </c>
      <c r="E77" t="inlineStr">
        <is>
          <t>Auto-generated from MD: Estimate Accuracy</t>
        </is>
      </c>
    </row>
    <row r="78">
      <c r="A78" t="inlineStr">
        <is>
          <t>E24</t>
        </is>
      </c>
      <c r="B78" t="inlineStr">
        <is>
          <t>E24_Effort_per_Severity_Critical</t>
        </is>
      </c>
      <c r="C78" t="n">
        <v>0</v>
      </c>
      <c r="D78">
        <f>DIVIDE(
        [E18_Critical_Bugs_Effort],
        CALCULATE(COUNTA(raw_data!A:A)-1, raw_data!D:D = "Critical"),
        0
    )</f>
        <v/>
      </c>
      <c r="E78" t="inlineStr">
        <is>
          <t>Auto-generated from MD: Effort per Severity Critical</t>
        </is>
      </c>
    </row>
    <row r="79">
      <c r="A79" t="inlineStr">
        <is>
          <t>E25</t>
        </is>
      </c>
      <c r="B79" t="inlineStr">
        <is>
          <t>E25_Effort_per_Severity_High</t>
        </is>
      </c>
      <c r="C79" t="n">
        <v>0</v>
      </c>
      <c r="D79">
        <f>DIVIDE(
        [E19_High_Bugs_Effort],
        CALCULATE(COUNTA(raw_data!A:A)-1, raw_data!D:D = "High"),
        0
    )</f>
        <v/>
      </c>
      <c r="E79" t="inlineStr">
        <is>
          <t>Auto-generated from MD: Effort per Severity High</t>
        </is>
      </c>
    </row>
    <row r="80">
      <c r="A80" t="inlineStr">
        <is>
          <t>E26</t>
        </is>
      </c>
      <c r="B80" t="inlineStr">
        <is>
          <t>E26_Wasted_Effort_Reopen</t>
        </is>
      </c>
      <c r="C80" t="n">
        <v>0</v>
      </c>
      <c r="D80">
        <f>[E08_Total_Reopen_Effort]</f>
        <v/>
      </c>
      <c r="E80" t="inlineStr">
        <is>
          <t>Auto-generated from MD: Wasted Effort Reopen</t>
        </is>
      </c>
    </row>
    <row r="81">
      <c r="A81" t="inlineStr">
        <is>
          <t>J01</t>
        </is>
      </c>
      <c r="B81" t="inlineStr">
        <is>
          <t>J01_Project_Total_Bugs</t>
        </is>
      </c>
      <c r="C81" t="n">
        <v>100</v>
      </c>
      <c r="D81">
        <f>V01_Total_Bugs</f>
        <v/>
      </c>
      <c r="E81" t="inlineStr">
        <is>
          <t>Total bugs in project</t>
        </is>
      </c>
    </row>
    <row r="82">
      <c r="A82" t="inlineStr">
        <is>
          <t>J02</t>
        </is>
      </c>
      <c r="B82" t="inlineStr">
        <is>
          <t>J02_Project_Bug_Density</t>
        </is>
      </c>
      <c r="C82" t="n">
        <v>0</v>
      </c>
      <c r="D82">
        <f>[Q14_Bug_Density]</f>
        <v/>
      </c>
      <c r="E82" t="inlineStr">
        <is>
          <t>Auto-generated from MD: Project Bug Density</t>
        </is>
      </c>
    </row>
    <row r="83">
      <c r="A83" t="inlineStr">
        <is>
          <t>J03</t>
        </is>
      </c>
      <c r="B83" t="inlineStr">
        <is>
          <t>J03_Project_Defect_Density</t>
        </is>
      </c>
      <c r="C83" t="n">
        <v>0</v>
      </c>
      <c r="D83">
        <f>[J02_Project_Bug_Density]</f>
        <v/>
      </c>
      <c r="E83" t="inlineStr">
        <is>
          <t>Auto-generated from MD: Project Defect Density</t>
        </is>
      </c>
    </row>
    <row r="84">
      <c r="A84" t="inlineStr">
        <is>
          <t>J04</t>
        </is>
      </c>
      <c r="B84" t="inlineStr">
        <is>
          <t>J04_Project_Critical_Bug_Density</t>
        </is>
      </c>
      <c r="C84" t="n">
        <v>0</v>
      </c>
      <c r="D84">
        <f>[Q15_Critical_Bug_Density]</f>
        <v/>
      </c>
      <c r="E84" t="inlineStr">
        <is>
          <t>Auto-generated from MD: Project Critical Bug Density</t>
        </is>
      </c>
    </row>
    <row r="85">
      <c r="A85" t="inlineStr">
        <is>
          <t>J05</t>
        </is>
      </c>
      <c r="B85" t="inlineStr">
        <is>
          <t>J05_Project_Escape_Rate</t>
        </is>
      </c>
      <c r="C85" t="n">
        <v>0</v>
      </c>
      <c r="D85">
        <f>Q01_Escape_Rate</f>
        <v/>
      </c>
      <c r="E85" t="inlineStr">
        <is>
          <t>Project escape rate</t>
        </is>
      </c>
    </row>
    <row r="86">
      <c r="A86" t="inlineStr">
        <is>
          <t>J06</t>
        </is>
      </c>
      <c r="B86" t="inlineStr">
        <is>
          <t>J06_Project_Reopen_Rate</t>
        </is>
      </c>
      <c r="C86" t="n">
        <v>0</v>
      </c>
      <c r="D86">
        <f>[Q03_Reopen_Rate]</f>
        <v/>
      </c>
      <c r="E86" t="inlineStr">
        <is>
          <t>Auto-generated from MD: Project Reopen Rate</t>
        </is>
      </c>
    </row>
    <row r="87">
      <c r="A87" t="inlineStr">
        <is>
          <t>J07</t>
        </is>
      </c>
      <c r="B87" t="inlineStr">
        <is>
          <t>J07_Project_Quality_Index</t>
        </is>
      </c>
      <c r="C87" t="n">
        <v>0</v>
      </c>
      <c r="D87">
        <f>Q13_Quality_Index</f>
        <v/>
      </c>
      <c r="E87" t="inlineStr">
        <is>
          <t>Project quality index</t>
        </is>
      </c>
    </row>
    <row r="88">
      <c r="A88" t="inlineStr">
        <is>
          <t>J08</t>
        </is>
      </c>
      <c r="B88" t="inlineStr">
        <is>
          <t>J08_Project_Avg_Lead_Time</t>
        </is>
      </c>
      <c r="C88" t="n">
        <v>209.4193548387097</v>
      </c>
      <c r="D88">
        <f>T01_Avg_Lead_Time</f>
        <v/>
      </c>
      <c r="E88" t="inlineStr">
        <is>
          <t>Project average lead time</t>
        </is>
      </c>
    </row>
    <row r="89">
      <c r="A89" t="inlineStr">
        <is>
          <t>J09</t>
        </is>
      </c>
      <c r="B89" t="inlineStr">
        <is>
          <t>J09_Project_Avg_Cycle_Time</t>
        </is>
      </c>
      <c r="C89" t="n">
        <v>0</v>
      </c>
      <c r="D89">
        <f>[T03_Avg_Cycle_Time]</f>
        <v/>
      </c>
      <c r="E89" t="inlineStr">
        <is>
          <t>Auto-generated from MD: Project Avg Cycle Time</t>
        </is>
      </c>
    </row>
    <row r="90">
      <c r="A90" t="inlineStr">
        <is>
          <t>J10</t>
        </is>
      </c>
      <c r="B90" t="inlineStr">
        <is>
          <t>J10_Project_Total_Effort</t>
        </is>
      </c>
      <c r="C90" t="n">
        <v>0</v>
      </c>
      <c r="D90">
        <f>[E01_Total_Effort]</f>
        <v/>
      </c>
      <c r="E90" t="inlineStr">
        <is>
          <t>Auto-generated from MD: Project Total Effort</t>
        </is>
      </c>
    </row>
    <row r="91">
      <c r="A91" t="inlineStr">
        <is>
          <t>J11</t>
        </is>
      </c>
      <c r="B91" t="inlineStr">
        <is>
          <t>J11_Project_Schedule_Variance</t>
        </is>
      </c>
      <c r="C91" t="n">
        <v>0</v>
      </c>
      <c r="D91">
        <f>AVERAGEX(
        'Bugs',
        DATEDIFF('Bugs'[DueDate], 'Bugs'[ClosedDate], DAY)
    )</f>
        <v/>
      </c>
      <c r="E91" t="inlineStr">
        <is>
          <t>Auto-generated from MD: Project Schedule Variance</t>
        </is>
      </c>
    </row>
    <row r="92">
      <c r="A92" t="inlineStr">
        <is>
          <t>J12</t>
        </is>
      </c>
      <c r="B92" t="inlineStr">
        <is>
          <t>J12_Project_Cost_Variance</t>
        </is>
      </c>
      <c r="C92" t="n">
        <v>0</v>
      </c>
      <c r="D92">
        <f>[E21_Effort_Variance]</f>
        <v/>
      </c>
      <c r="E92" t="inlineStr">
        <is>
          <t>Auto-generated from MD: Project Cost Variance</t>
        </is>
      </c>
    </row>
    <row r="93">
      <c r="A93" t="inlineStr">
        <is>
          <t>J13</t>
        </is>
      </c>
      <c r="B93" t="inlineStr">
        <is>
          <t>J13_Project_On_Time_Delivery_Rate</t>
        </is>
      </c>
      <c r="C93" t="n">
        <v>0</v>
      </c>
      <c r="D93">
        <f>Complex formula (see DAX reference)</f>
        <v/>
      </c>
      <c r="E93" t="inlineStr">
        <is>
          <t>Auto-generated from MD: Project On Time Delivery Rate</t>
        </is>
      </c>
    </row>
    <row r="94">
      <c r="A94" t="inlineStr">
        <is>
          <t>J14</t>
        </is>
      </c>
      <c r="B94" t="inlineStr">
        <is>
          <t>J14_Project_Escaped_Bugs</t>
        </is>
      </c>
      <c r="C94" t="n">
        <v>0</v>
      </c>
      <c r="D94">
        <f>[V12_Escaped_Bugs]</f>
        <v/>
      </c>
      <c r="E94" t="inlineStr">
        <is>
          <t>Auto-generated from MD: Project Escaped Bugs</t>
        </is>
      </c>
    </row>
    <row r="95">
      <c r="A95" t="inlineStr">
        <is>
          <t>J15</t>
        </is>
      </c>
      <c r="B95" t="inlineStr">
        <is>
          <t>J15_Project_Regression_Bugs</t>
        </is>
      </c>
      <c r="C95" t="n">
        <v>0</v>
      </c>
      <c r="D95">
        <f>[V13_Regression_Bugs]</f>
        <v/>
      </c>
      <c r="E95" t="inlineStr">
        <is>
          <t>Auto-generated from MD: Project Regression Bugs</t>
        </is>
      </c>
    </row>
    <row r="96">
      <c r="A96" t="inlineStr">
        <is>
          <t>J16</t>
        </is>
      </c>
      <c r="B96" t="inlineStr">
        <is>
          <t>J16_Project_Health_Score</t>
        </is>
      </c>
      <c r="C96" t="n">
        <v>0</v>
      </c>
      <c r="D96">
        <f>([J07_Project_Quality_Index] * 0.4) +
    ([J13_Project_On_Time_Delivery_Rate] * 0.3) +
    ((1 - [J05_Project_Escape_Rate]) * 0.3)</f>
        <v/>
      </c>
      <c r="E96" t="inlineStr">
        <is>
          <t>Auto-generated from MD: Project Health Score</t>
        </is>
      </c>
    </row>
    <row r="97">
      <c r="A97" t="inlineStr">
        <is>
          <t>J17</t>
        </is>
      </c>
      <c r="B97" t="inlineStr">
        <is>
          <t>J17_Project_Productivity</t>
        </is>
      </c>
      <c r="C97" t="n">
        <v>0</v>
      </c>
      <c r="D97">
        <f>DIVIDE(
        [S02_Sprint_Completed_Bugs],
        [J10_Project_Total_Effort],
        0
    )</f>
        <v/>
      </c>
      <c r="E97" t="inlineStr">
        <is>
          <t>Auto-generated from MD: Project Productivity</t>
        </is>
      </c>
    </row>
    <row r="98">
      <c r="A98" t="inlineStr">
        <is>
          <t>J18</t>
        </is>
      </c>
      <c r="B98" t="inlineStr">
        <is>
          <t>J18_Project_Cost_of_Quality</t>
        </is>
      </c>
      <c r="C98" t="n">
        <v>0</v>
      </c>
      <c r="D98">
        <f>[E08_Total_Reopen_Effort] + [E20_Escaped_Bugs_Effort]</f>
        <v/>
      </c>
      <c r="E98" t="inlineStr">
        <is>
          <t>Auto-generated from MD: Project Cost of Quality</t>
        </is>
      </c>
    </row>
    <row r="99">
      <c r="A99" t="inlineStr">
        <is>
          <t>J19</t>
        </is>
      </c>
      <c r="B99" t="inlineStr">
        <is>
          <t>J19_Project_Rework_Rate</t>
        </is>
      </c>
      <c r="C99" t="n">
        <v>0</v>
      </c>
      <c r="D99">
        <f>DIVIDE([E08_Total_Reopen_Effort], [E01_Total_Effort], 0)</f>
        <v/>
      </c>
      <c r="E99" t="inlineStr">
        <is>
          <t>Auto-generated from MD: Project Rework Rate</t>
        </is>
      </c>
    </row>
    <row r="100">
      <c r="A100" t="inlineStr">
        <is>
          <t>J20</t>
        </is>
      </c>
      <c r="B100" t="inlineStr">
        <is>
          <t>J20_Project_First_Time_Quality</t>
        </is>
      </c>
      <c r="C100" t="n">
        <v>0</v>
      </c>
      <c r="D100">
        <f>1 - [J19_Project_Rework_Rate]</f>
        <v/>
      </c>
      <c r="E100" t="inlineStr">
        <is>
          <t>Auto-generated from MD: Project First Time Quality</t>
        </is>
      </c>
    </row>
    <row r="101">
      <c r="A101" t="inlineStr">
        <is>
          <t>P01</t>
        </is>
      </c>
      <c r="B101" t="inlineStr">
        <is>
          <t>P01_Bugs_per_Developer</t>
        </is>
      </c>
      <c r="C101" t="n">
        <v>12.5</v>
      </c>
      <c r="D101">
        <f>V01_Total_Bugs/COUNTA(UNIQUE(raw_data!W:W))</f>
        <v/>
      </c>
      <c r="E101" t="inlineStr">
        <is>
          <t>Average bugs per developer</t>
        </is>
      </c>
    </row>
    <row r="102">
      <c r="A102" t="inlineStr">
        <is>
          <t>P02</t>
        </is>
      </c>
      <c r="B102" t="inlineStr">
        <is>
          <t>P02_Avg_Resolution_Rate</t>
        </is>
      </c>
      <c r="C102" t="n">
        <v>0</v>
      </c>
      <c r="D102">
        <f>DIVIDE(
        CALCULATE(COUNTA(raw_data!A:A)-1, raw_data!F:F IN {"Resolved", "Done", "Closed"}),
        DISTINCTCOUNT('Bugs'[AssigneeName]),
        0
    )</f>
        <v/>
      </c>
      <c r="E102" t="inlineStr">
        <is>
          <t>Auto-generated from MD: Avg Resolution Rate</t>
        </is>
      </c>
    </row>
    <row r="103">
      <c r="A103" t="inlineStr">
        <is>
          <t>P03</t>
        </is>
      </c>
      <c r="B103" t="inlineStr">
        <is>
          <t>P03_Reopen_Rate_by_Developer</t>
        </is>
      </c>
      <c r="C103" t="n">
        <v>0</v>
      </c>
      <c r="D103">
        <f>DIVIDE(
        CALCULATE(COUNTA(raw_data!A:A)-1, raw_data!AM:AM &gt; 0),
        COUNTA(raw_data!A:A)-1,
        0
    )</f>
        <v/>
      </c>
      <c r="E103" t="inlineStr">
        <is>
          <t>Auto-generated from MD: Reopen Rate by Developer</t>
        </is>
      </c>
    </row>
    <row r="104">
      <c r="A104" t="inlineStr">
        <is>
          <t>P04</t>
        </is>
      </c>
      <c r="B104" t="inlineStr">
        <is>
          <t>P04_Avg_Fix_Time_by_Developer</t>
        </is>
      </c>
      <c r="C104" t="n">
        <v>0</v>
      </c>
      <c r="D104">
        <f>AVERAGE('Bugs'[FixEffortHrs])</f>
        <v/>
      </c>
      <c r="E104" t="inlineStr">
        <is>
          <t>Auto-generated from MD: Avg Fix Time by Developer</t>
        </is>
      </c>
    </row>
    <row r="105">
      <c r="A105" t="inlineStr">
        <is>
          <t>P05</t>
        </is>
      </c>
      <c r="B105" t="inlineStr">
        <is>
          <t>P05_Developer_Workload_Hours</t>
        </is>
      </c>
      <c r="C105" t="n">
        <v>0</v>
      </c>
      <c r="D105">
        <f>SUM('Bugs'[TotalEffortHrs])</f>
        <v/>
      </c>
      <c r="E105" t="inlineStr">
        <is>
          <t>Auto-generated from MD: Developer Workload Hours</t>
        </is>
      </c>
    </row>
    <row r="106">
      <c r="A106" t="inlineStr">
        <is>
          <t>P06</t>
        </is>
      </c>
      <c r="B106" t="inlineStr">
        <is>
          <t>P06_Developer_Efficiency</t>
        </is>
      </c>
      <c r="C106" t="n">
        <v>0</v>
      </c>
      <c r="D106">
        <f>DIVIDE(
        CALCULATE(COUNTA(raw_data!A:A)-1, raw_data!F:F IN {"Resolved", "Done", "Closed"}),
        [P05_Developer_Workload_Hours],
        0
    )</f>
        <v/>
      </c>
      <c r="E106" t="inlineStr">
        <is>
          <t>Auto-generated from MD: Developer Efficiency</t>
        </is>
      </c>
    </row>
    <row r="107">
      <c r="A107" t="inlineStr">
        <is>
          <t>P07</t>
        </is>
      </c>
      <c r="B107" t="inlineStr">
        <is>
          <t>P07_Top_Performer_Score</t>
        </is>
      </c>
      <c r="C107" t="n">
        <v>0</v>
      </c>
      <c r="D107">
        <f>([P06_Developer_Efficiency] * 0.4) +
    ((1 - [P03_Reopen_Rate_by_Developer]) * 0.3) +
    ([P02_Avg_Resolution_Rate] * 0.3)</f>
        <v/>
      </c>
      <c r="E107" t="inlineStr">
        <is>
          <t>Auto-generated from MD: Top Performer Score</t>
        </is>
      </c>
    </row>
    <row r="108">
      <c r="A108" t="inlineStr">
        <is>
          <t>P15</t>
        </is>
      </c>
      <c r="B108" t="inlineStr">
        <is>
          <t>P15_Reporter_Accuracy</t>
        </is>
      </c>
      <c r="C108" t="n">
        <v>0</v>
      </c>
      <c r="D108">
        <f>DIVIDE(
        CALCULATE(COUNTA(raw_data!A:A)-1, 'Bugs'[IsDuplicate] = FALSE &amp;&amp; 'Bugs'[CloseReason] != "Invalid"),
        COUNTA(raw_data!A:A)-1,
        0
    )</f>
        <v/>
      </c>
      <c r="E108" t="inlineStr">
        <is>
          <t>Auto-generated from MD: Reporter Accuracy</t>
        </is>
      </c>
    </row>
    <row r="109">
      <c r="A109" t="inlineStr">
        <is>
          <t>P16</t>
        </is>
      </c>
      <c r="B109" t="inlineStr">
        <is>
          <t>P16_Verifier_Rejection_Rate</t>
        </is>
      </c>
      <c r="C109" t="n">
        <v>0</v>
      </c>
      <c r="D109">
        <f>DIVIDE(
        CALCULATE(COUNTA(raw_data!A:A)-1, 'Bugs'[RetestFailCount] &gt; 0),
        CALCULATE(COUNTA(raw_data!A:A)-1, NOT(ISBLANK('Bugs'[VerifierName]))),
        0
    )</f>
        <v/>
      </c>
      <c r="E109" t="inlineStr">
        <is>
          <t>Auto-generated from MD: Verifier Rejection Rate</t>
        </is>
      </c>
    </row>
    <row r="110">
      <c r="A110" t="inlineStr">
        <is>
          <t>P18</t>
        </is>
      </c>
      <c r="B110" t="inlineStr">
        <is>
          <t>P18_Bugs_per_Team</t>
        </is>
      </c>
      <c r="C110" t="n">
        <v>25</v>
      </c>
      <c r="D110">
        <f>V01_Total_Bugs/COUNTA(UNIQUE(raw_data!L:L))</f>
        <v/>
      </c>
      <c r="E110" t="inlineStr">
        <is>
          <t>Average bugs per team</t>
        </is>
      </c>
    </row>
    <row r="111">
      <c r="A111" t="inlineStr">
        <is>
          <t>P19</t>
        </is>
      </c>
      <c r="B111" t="inlineStr">
        <is>
          <t>P19_Team_Avg_Lead_Time</t>
        </is>
      </c>
      <c r="C111" t="n">
        <v>0</v>
      </c>
      <c r="D111">
        <f>[T01_Avg_Lead_Time]</f>
        <v/>
      </c>
      <c r="E111" t="inlineStr">
        <is>
          <t>Auto-generated from MD: Team Avg Lead Time</t>
        </is>
      </c>
    </row>
    <row r="112">
      <c r="A112" t="inlineStr">
        <is>
          <t>P25</t>
        </is>
      </c>
      <c r="B112" t="inlineStr">
        <is>
          <t>P25_Team_Quality_Score</t>
        </is>
      </c>
      <c r="C112" t="n">
        <v>0</v>
      </c>
      <c r="D112">
        <f>([Q05_Fix_Success_Rate] * 0.35) +
    ((1 - [Q01_Escape_Rate]) * 0.35) +
    ([Q12_Testing_Effectiveness] * 0.30)</f>
        <v/>
      </c>
      <c r="E112" t="inlineStr">
        <is>
          <t>Auto-generated from MD: Team Quality Score</t>
        </is>
      </c>
    </row>
    <row r="113">
      <c r="A113" t="inlineStr">
        <is>
          <t>Q01</t>
        </is>
      </c>
      <c r="B113" t="inlineStr">
        <is>
          <t>Q01_Escape_Rate</t>
        </is>
      </c>
      <c r="C113" t="n">
        <v>17</v>
      </c>
      <c r="D113">
        <f>V12_Escaped_Bugs/V01_Total_Bugs*100</f>
        <v/>
      </c>
      <c r="E113" t="inlineStr">
        <is>
          <t>Escape rate (%)</t>
        </is>
      </c>
    </row>
    <row r="114">
      <c r="A114" t="inlineStr">
        <is>
          <t>Q02</t>
        </is>
      </c>
      <c r="B114" t="inlineStr">
        <is>
          <t>Q02_Regression_Rate</t>
        </is>
      </c>
      <c r="C114" t="n">
        <v>25</v>
      </c>
      <c r="D114">
        <f>V13_Regression_Bugs/V01_Total_Bugs*100</f>
        <v/>
      </c>
      <c r="E114" t="inlineStr">
        <is>
          <t>Regression rate (%)</t>
        </is>
      </c>
    </row>
    <row r="115">
      <c r="A115" t="inlineStr">
        <is>
          <t>Q03</t>
        </is>
      </c>
      <c r="B115" t="inlineStr">
        <is>
          <t>Q03_Reopen_Rate</t>
        </is>
      </c>
      <c r="C115" t="n">
        <v>77.41935483870968</v>
      </c>
      <c r="D115">
        <f>V10_Reopened_Bugs/V09_Closed_Bugs*100</f>
        <v/>
      </c>
      <c r="E115" t="inlineStr">
        <is>
          <t>Reopen rate (%)</t>
        </is>
      </c>
    </row>
    <row r="116">
      <c r="A116" t="inlineStr">
        <is>
          <t>Q04</t>
        </is>
      </c>
      <c r="B116" t="inlineStr">
        <is>
          <t>Q04_Multi_Reopen_Rate</t>
        </is>
      </c>
      <c r="C116" t="n">
        <v>0</v>
      </c>
      <c r="D116">
        <f>DIVIDE([V11_Multi_Reopened_Bugs], [V09_Closed_Bugs], 0)</f>
        <v/>
      </c>
      <c r="E116" t="inlineStr">
        <is>
          <t>Auto-generated from MD: Multi Reopen Rate</t>
        </is>
      </c>
    </row>
    <row r="117">
      <c r="A117" t="inlineStr">
        <is>
          <t>Q05</t>
        </is>
      </c>
      <c r="B117" t="inlineStr">
        <is>
          <t>Q05_Fix_Success_Rate</t>
        </is>
      </c>
      <c r="C117" t="n">
        <v>22.58064516129032</v>
      </c>
      <c r="D117">
        <f>(1-Q03_Reopen_Rate/100)*100</f>
        <v/>
      </c>
      <c r="E117" t="inlineStr">
        <is>
          <t>Fix success rate (%)</t>
        </is>
      </c>
    </row>
    <row r="118">
      <c r="A118" t="inlineStr">
        <is>
          <t>Q06</t>
        </is>
      </c>
      <c r="B118" t="inlineStr">
        <is>
          <t>Q06_First_Time_Fix_Rate</t>
        </is>
      </c>
      <c r="C118" t="n">
        <v>0</v>
      </c>
      <c r="D118">
        <f>DIVIDE(
        CALCULATE(COUNTA(raw_data!A:A)-1, 'Bugs'[FixAttempts] = 1),
        CALCULATE(COUNTA(raw_data!A:A)-1, NOT(ISBLANK('Bugs'[FixAttempts]))),
        0
    )</f>
        <v/>
      </c>
      <c r="E118" t="inlineStr">
        <is>
          <t>Auto-generated from MD: First Time Fix Rate</t>
        </is>
      </c>
    </row>
    <row r="119">
      <c r="A119" t="inlineStr">
        <is>
          <t>Q07</t>
        </is>
      </c>
      <c r="B119" t="inlineStr">
        <is>
          <t>Q07_Duplicate_Rate</t>
        </is>
      </c>
      <c r="C119" t="n">
        <v>7.000000000000001</v>
      </c>
      <c r="D119">
        <f>V35_Duplicate_Bugs/V01_Total_Bugs*100</f>
        <v/>
      </c>
      <c r="E119" t="inlineStr">
        <is>
          <t>Duplicate rate (%)</t>
        </is>
      </c>
    </row>
    <row r="120">
      <c r="A120" t="inlineStr">
        <is>
          <t>Q08</t>
        </is>
      </c>
      <c r="B120" t="inlineStr">
        <is>
          <t>Q08_Critical_Severity_Pct</t>
        </is>
      </c>
      <c r="C120" t="n">
        <v>13</v>
      </c>
      <c r="D120">
        <f>V14_Critical_Bugs/V01_Total_Bugs*100</f>
        <v/>
      </c>
      <c r="E120" t="inlineStr">
        <is>
          <t>Critical severity percentage</t>
        </is>
      </c>
    </row>
    <row r="121">
      <c r="A121" t="inlineStr">
        <is>
          <t>Q09</t>
        </is>
      </c>
      <c r="B121" t="inlineStr">
        <is>
          <t>Q09_High_Severity_Pct</t>
        </is>
      </c>
      <c r="C121" t="n">
        <v>0</v>
      </c>
      <c r="D121">
        <f>DIVIDE([V15_High_Severity_Bugs], [V01_Total_Bugs], 0)</f>
        <v/>
      </c>
      <c r="E121" t="inlineStr">
        <is>
          <t>Auto-generated from MD: High Severity Pct</t>
        </is>
      </c>
    </row>
    <row r="122">
      <c r="A122" t="inlineStr">
        <is>
          <t>Q10</t>
        </is>
      </c>
      <c r="B122" t="inlineStr">
        <is>
          <t>Q10_Defect_Detection_Effectiveness_DDE</t>
        </is>
      </c>
      <c r="C122" t="n">
        <v>83</v>
      </c>
      <c r="D122">
        <f>(V01_Total_Bugs-V12_Escaped_Bugs)/V01_Total_Bugs*100</f>
        <v/>
      </c>
      <c r="E122" t="inlineStr">
        <is>
          <t>Defect detection effectiveness (%)</t>
        </is>
      </c>
    </row>
    <row r="123">
      <c r="A123" t="inlineStr">
        <is>
          <t>Q11</t>
        </is>
      </c>
      <c r="B123" t="inlineStr">
        <is>
          <t>Q11_Defect_Removal_Efficiency_DRE</t>
        </is>
      </c>
      <c r="C123" t="n">
        <v>0</v>
      </c>
      <c r="D123">
        <f>[Q10_Defect_Detection_Effectiveness_DDE]</f>
        <v/>
      </c>
      <c r="E123" t="inlineStr">
        <is>
          <t>Auto-generated from MD: Defect Removal Efficiency DRE</t>
        </is>
      </c>
    </row>
    <row r="124">
      <c r="A124" t="inlineStr">
        <is>
          <t>Q12</t>
        </is>
      </c>
      <c r="B124" t="inlineStr">
        <is>
          <t>Q12_Testing_Effectiveness</t>
        </is>
      </c>
      <c r="C124" t="n">
        <v>0</v>
      </c>
      <c r="D124">
        <f>DIVIDE(
        CALCULATE(COUNTA(raw_data!A:A)-1, raw_data!F:F IN {"Resolved", "Done", "Closed"}),
        [V01_Total_Bugs],
        0
    )</f>
        <v/>
      </c>
      <c r="E124" t="inlineStr">
        <is>
          <t>Auto-generated from MD: Testing Effectiveness</t>
        </is>
      </c>
    </row>
    <row r="125">
      <c r="A125" t="inlineStr">
        <is>
          <t>Q13</t>
        </is>
      </c>
      <c r="B125" t="inlineStr">
        <is>
          <t>Q13_Quality_Index</t>
        </is>
      </c>
      <c r="C125" t="n">
        <v>0</v>
      </c>
      <c r="D125">
        <f>(Q05_Fix_Success_Rate*0.4+Q10_Defect_Detection_Effectiveness_DDE*0.3+(100-Q01_Escape_Rate)*0.3)</f>
        <v/>
      </c>
      <c r="E125" t="inlineStr">
        <is>
          <t>Overall quality index (composite)</t>
        </is>
      </c>
    </row>
    <row r="126">
      <c r="A126" t="inlineStr">
        <is>
          <t>Q14</t>
        </is>
      </c>
      <c r="B126" t="inlineStr">
        <is>
          <t>Q14_Bug_Density</t>
        </is>
      </c>
      <c r="C126" t="n">
        <v>0</v>
      </c>
      <c r="D126">
        <f>DIVIDE(
        [V01_Total_Bugs],
        1000,
        0
    )</f>
        <v/>
      </c>
      <c r="E126" t="inlineStr">
        <is>
          <t>Auto-generated from MD: Bug Density</t>
        </is>
      </c>
    </row>
    <row r="127">
      <c r="A127" t="inlineStr">
        <is>
          <t>Q15</t>
        </is>
      </c>
      <c r="B127" t="inlineStr">
        <is>
          <t>Q15_Critical_Bug_Density</t>
        </is>
      </c>
      <c r="C127" t="n">
        <v>0</v>
      </c>
      <c r="D127">
        <f>DIVIDE(
        [V14_Critical_Bugs],
        1000,
        0
    )</f>
        <v/>
      </c>
      <c r="E127" t="inlineStr">
        <is>
          <t>Auto-generated from MD: Critical Bug Density</t>
        </is>
      </c>
    </row>
    <row r="128">
      <c r="A128" t="inlineStr">
        <is>
          <t>Q16</t>
        </is>
      </c>
      <c r="B128" t="inlineStr">
        <is>
          <t>Q16_Security_Bug_Pct</t>
        </is>
      </c>
      <c r="C128" t="n">
        <v>0</v>
      </c>
      <c r="D128">
        <f>DIVIDE([V23_Security_Bugs], [V01_Total_Bugs], 0)</f>
        <v/>
      </c>
      <c r="E128" t="inlineStr">
        <is>
          <t>Auto-generated from MD: Security Bug Pct</t>
        </is>
      </c>
    </row>
    <row r="129">
      <c r="A129" t="inlineStr">
        <is>
          <t>Q17</t>
        </is>
      </c>
      <c r="B129" t="inlineStr">
        <is>
          <t>Q17_Performance_Bug_Pct</t>
        </is>
      </c>
      <c r="C129" t="n">
        <v>0</v>
      </c>
      <c r="D129">
        <f>DIVIDE([V24_Performance_Bugs], [V01_Total_Bugs], 0)</f>
        <v/>
      </c>
      <c r="E129" t="inlineStr">
        <is>
          <t>Auto-generated from MD: Performance Bug Pct</t>
        </is>
      </c>
    </row>
    <row r="130">
      <c r="A130" t="inlineStr">
        <is>
          <t>Q18</t>
        </is>
      </c>
      <c r="B130" t="inlineStr">
        <is>
          <t>Q18_Regression_Leak_Rate</t>
        </is>
      </c>
      <c r="C130" t="n">
        <v>0</v>
      </c>
      <c r="D130">
        <f>DIVIDE(
        [V13_Regression_Bugs],
        CALCULATE(COUNTA(raw_data!A:A)-1, raw_data!F:F IN {"Resolved", "Done", "Closed"}),
        0
    )</f>
        <v/>
      </c>
      <c r="E130" t="inlineStr">
        <is>
          <t>Auto-generated from MD: Regression Leak Rate</t>
        </is>
      </c>
    </row>
    <row r="131">
      <c r="A131" t="inlineStr">
        <is>
          <t>Q19</t>
        </is>
      </c>
      <c r="B131" t="inlineStr">
        <is>
          <t>Q19_Root_Cause_Analysis_Completion</t>
        </is>
      </c>
      <c r="C131" t="n">
        <v>0</v>
      </c>
      <c r="D131">
        <f>DIVIDE(
        CALCULATE(COUNTA(raw_data!A:A)-1, NOT(ISBLANK('Bugs'[RootCause]))),
        [V01_Total_Bugs],
        0
    )</f>
        <v/>
      </c>
      <c r="E131" t="inlineStr">
        <is>
          <t>Auto-generated from MD: Root Cause Analysis Completion</t>
        </is>
      </c>
    </row>
    <row r="132">
      <c r="A132" t="inlineStr">
        <is>
          <t>Q20</t>
        </is>
      </c>
      <c r="B132" t="inlineStr">
        <is>
          <t>Q20_Bug_Leakage_Ratio</t>
        </is>
      </c>
      <c r="C132" t="n">
        <v>0</v>
      </c>
      <c r="D132">
        <f>DIVIDE(
        [V12_Escaped_Bugs],
        [V01_Total_Bugs] - [V12_Escaped_Bugs],
        0
    )</f>
        <v/>
      </c>
      <c r="E132" t="inlineStr">
        <is>
          <t>Auto-generated from MD: Bug Leakage Ratio</t>
        </is>
      </c>
    </row>
    <row r="133">
      <c r="A133" t="inlineStr">
        <is>
          <t>Q28</t>
        </is>
      </c>
      <c r="B133" t="inlineStr">
        <is>
          <t>Q28_Test_Case_Coverage</t>
        </is>
      </c>
      <c r="C133" t="n">
        <v>0</v>
      </c>
      <c r="D133">
        <f>DIVIDE(
        CALCULATE(COUNTA(raw_data!A:A)-1, NOT(ISBLANK('Bugs'[TestCaseID]))),
        [V01_Total_Bugs],
        0
    )</f>
        <v/>
      </c>
      <c r="E133" t="inlineStr">
        <is>
          <t>Auto-generated from MD: Test Case Coverage</t>
        </is>
      </c>
    </row>
    <row r="134">
      <c r="A134" t="inlineStr">
        <is>
          <t>Q29</t>
        </is>
      </c>
      <c r="B134" t="inlineStr">
        <is>
          <t>Q29_Avg_Reopen_Count</t>
        </is>
      </c>
      <c r="C134" t="n">
        <v>0</v>
      </c>
      <c r="D134">
        <f>AVERAGE(raw_data!AM:AM)</f>
        <v/>
      </c>
      <c r="E134" t="inlineStr">
        <is>
          <t>Auto-generated from MD: Avg Reopen Count</t>
        </is>
      </c>
    </row>
    <row r="135">
      <c r="A135" t="inlineStr">
        <is>
          <t>R01</t>
        </is>
      </c>
      <c r="B135" t="inlineStr">
        <is>
          <t>R01_Overall_Risk_Score</t>
        </is>
      </c>
      <c r="C135" t="n">
        <v>0</v>
      </c>
      <c r="D135">
        <f>AVERAGE('Bugs'[RiskScore])</f>
        <v/>
      </c>
      <c r="E135" t="inlineStr">
        <is>
          <t>Auto-generated from MD: Overall Risk Score</t>
        </is>
      </c>
    </row>
    <row r="136">
      <c r="A136" t="inlineStr">
        <is>
          <t>R02</t>
        </is>
      </c>
      <c r="B136" t="inlineStr">
        <is>
          <t>R02_High_Risk_Bugs</t>
        </is>
      </c>
      <c r="C136" t="n">
        <v>0</v>
      </c>
      <c r="D136">
        <f>CALCULATE(COUNTA(raw_data!A:A)-1, 'Bugs'[RiskScore] &gt; 7)</f>
        <v/>
      </c>
      <c r="E136" t="inlineStr">
        <is>
          <t>Auto-generated from MD: High Risk Bugs</t>
        </is>
      </c>
    </row>
    <row r="137">
      <c r="A137" t="inlineStr">
        <is>
          <t>R03</t>
        </is>
      </c>
      <c r="B137" t="inlineStr">
        <is>
          <t>R03_Medium_Risk_Bugs</t>
        </is>
      </c>
      <c r="C137" t="n">
        <v>0</v>
      </c>
      <c r="D137">
        <f>CALCULATE(COUNTA(raw_data!A:A)-1, 'Bugs'[RiskScore] &gt;= 4 &amp;&amp; 'Bugs'[RiskScore] &lt;= 7)</f>
        <v/>
      </c>
      <c r="E137" t="inlineStr">
        <is>
          <t>Auto-generated from MD: Medium Risk Bugs</t>
        </is>
      </c>
    </row>
    <row r="138">
      <c r="A138" t="inlineStr">
        <is>
          <t>R04</t>
        </is>
      </c>
      <c r="B138" t="inlineStr">
        <is>
          <t>R04_Low_Risk_Bugs</t>
        </is>
      </c>
      <c r="C138" t="n">
        <v>0</v>
      </c>
      <c r="D138">
        <f>CALCULATE(COUNTA(raw_data!A:A)-1, 'Bugs'[RiskScore] &lt; 4)</f>
        <v/>
      </c>
      <c r="E138" t="inlineStr">
        <is>
          <t>Auto-generated from MD: Low Risk Bugs</t>
        </is>
      </c>
    </row>
    <row r="139">
      <c r="A139" t="inlineStr">
        <is>
          <t>R05</t>
        </is>
      </c>
      <c r="B139" t="inlineStr">
        <is>
          <t>R05_Risk_Distribution</t>
        </is>
      </c>
      <c r="C139" t="n">
        <v>0</v>
      </c>
      <c r="D139">
        <f>DIVIDE(
        COUNTA(raw_data!A:A)-1,
        CALCULATE(COUNTA(raw_data!A:A)-1, ALL('Bugs'[RiskScore])),
        0
    )</f>
        <v/>
      </c>
      <c r="E139" t="inlineStr">
        <is>
          <t>Auto-generated from MD: Risk Distribution</t>
        </is>
      </c>
    </row>
    <row r="140">
      <c r="A140" t="inlineStr">
        <is>
          <t>R06</t>
        </is>
      </c>
      <c r="B140" t="inlineStr">
        <is>
          <t>R06_Critical_Risk_Bugs</t>
        </is>
      </c>
      <c r="C140" t="n">
        <v>0</v>
      </c>
      <c r="D140">
        <f>CALCULATE(
        COUNTA(raw_data!A:A)-1,
        'Bugs'[RiskScore] &gt; 8,
        raw_data!D:D = "Critical"
    )</f>
        <v/>
      </c>
      <c r="E140" t="inlineStr">
        <is>
          <t>Auto-generated from MD: Critical Risk Bugs</t>
        </is>
      </c>
    </row>
    <row r="141">
      <c r="A141" t="inlineStr">
        <is>
          <t>R07</t>
        </is>
      </c>
      <c r="B141" t="inlineStr">
        <is>
          <t>R07_Predicted_Escapes</t>
        </is>
      </c>
      <c r="C141" t="n">
        <v>0</v>
      </c>
      <c r="D141">
        <f>CALCULATE(
        COUNTA(raw_data!A:A)-1,
        'Bugs'[EscapeProbability] &gt; 0.7
    )</f>
        <v/>
      </c>
      <c r="E141" t="inlineStr">
        <is>
          <t>Auto-generated from MD: Predicted Escapes</t>
        </is>
      </c>
    </row>
    <row r="142">
      <c r="A142" t="inlineStr">
        <is>
          <t>R08</t>
        </is>
      </c>
      <c r="B142" t="inlineStr">
        <is>
          <t>R08_Predicted_Reopens</t>
        </is>
      </c>
      <c r="C142" t="n">
        <v>0</v>
      </c>
      <c r="D142">
        <f>CALCULATE(
        COUNTA(raw_data!A:A)-1,
        'Bugs'[RecurrenceProbability] &gt; 0.5
    )</f>
        <v/>
      </c>
      <c r="E142" t="inlineStr">
        <is>
          <t>Auto-generated from MD: Predicted Reopens</t>
        </is>
      </c>
    </row>
    <row r="143">
      <c r="A143" t="inlineStr">
        <is>
          <t>R09</t>
        </is>
      </c>
      <c r="B143" t="inlineStr">
        <is>
          <t>R09_Risk_Adjusted_Backlog</t>
        </is>
      </c>
      <c r="C143" t="n">
        <v>0</v>
      </c>
      <c r="D143">
        <f>SUMX(
        FILTER('Bugs', raw_data!F:F = "Open"),
        'Bugs'[RiskScore]
    )</f>
        <v/>
      </c>
      <c r="E143" t="inlineStr">
        <is>
          <t>Auto-generated from MD: Risk Adjusted Backlog</t>
        </is>
      </c>
    </row>
    <row r="144">
      <c r="A144" t="inlineStr">
        <is>
          <t>R11</t>
        </is>
      </c>
      <c r="B144" t="inlineStr">
        <is>
          <t>R11_Escape_Prediction_Accuracy</t>
        </is>
      </c>
      <c r="C144" t="n">
        <v>0</v>
      </c>
      <c r="D144">
        <f>VAR ActualEscapes = [V12_Escaped_Bugs]
    VAR PredictedEscapes = [R07_Predicted_Escapes]
    RETURN DIVIDE(ABS(ActualEscapes - PredictedEscapes), ActualEscapes, 0)</f>
        <v/>
      </c>
      <c r="E144" t="inlineStr">
        <is>
          <t>Auto-generated from MD: Escape Prediction Accuracy</t>
        </is>
      </c>
    </row>
    <row r="145">
      <c r="A145" t="inlineStr">
        <is>
          <t>R12</t>
        </is>
      </c>
      <c r="B145" t="inlineStr">
        <is>
          <t>R12_Module_Risk_Score</t>
        </is>
      </c>
      <c r="C145" t="n">
        <v>0</v>
      </c>
      <c r="D145">
        <f>AVERAGEX(
        VALUES('Bugs'[ModuleName]),
        CALCULATE(AVERAGE('Bugs'[RiskScore]))
    )</f>
        <v/>
      </c>
      <c r="E145" t="inlineStr">
        <is>
          <t>Auto-generated from MD: Module Risk Score</t>
        </is>
      </c>
    </row>
    <row r="146">
      <c r="A146" t="inlineStr">
        <is>
          <t>R13</t>
        </is>
      </c>
      <c r="B146" t="inlineStr">
        <is>
          <t>R13_Team_Risk_Score</t>
        </is>
      </c>
      <c r="C146" t="n">
        <v>0</v>
      </c>
      <c r="D146">
        <f>AVERAGEX(
        VALUES('Bugs'[TeamName]),
        CALCULATE(AVERAGE('Bugs'[RiskScore]))
    )</f>
        <v/>
      </c>
      <c r="E146" t="inlineStr">
        <is>
          <t>Auto-generated from MD: Team Risk Score</t>
        </is>
      </c>
    </row>
    <row r="147">
      <c r="A147" t="inlineStr">
        <is>
          <t>R15</t>
        </is>
      </c>
      <c r="B147" t="inlineStr">
        <is>
          <t>R15_Risk_Trend</t>
        </is>
      </c>
      <c r="C147" t="n">
        <v>0</v>
      </c>
      <c r="D147">
        <f>VAR CurrentRisk = [R01_Overall_Risk_Score]
    VAR PreviousRisk = CALCULATE([R01_Overall_Risk_Score], DATEADD('Date'[Date], -1, MONTH))
    RETURN CurrentRisk - PreviousRisk</f>
        <v/>
      </c>
      <c r="E147" t="inlineStr">
        <is>
          <t>Auto-generated from MD: Risk Trend</t>
        </is>
      </c>
    </row>
    <row r="148">
      <c r="A148" t="inlineStr">
        <is>
          <t>R16</t>
        </is>
      </c>
      <c r="B148" t="inlineStr">
        <is>
          <t>R16_High_Risk_Critical_Bugs</t>
        </is>
      </c>
      <c r="C148" t="n">
        <v>0</v>
      </c>
      <c r="D148">
        <f>CALCULATE(
        COUNTA(raw_data!A:A)-1,
        'Bugs'[RiskScore] &gt; 7,
        raw_data!D:D = "Critical"
    )</f>
        <v/>
      </c>
      <c r="E148" t="inlineStr">
        <is>
          <t>Auto-generated from MD: High Risk Critical Bugs</t>
        </is>
      </c>
    </row>
    <row r="149">
      <c r="A149" t="inlineStr">
        <is>
          <t>R17</t>
        </is>
      </c>
      <c r="B149" t="inlineStr">
        <is>
          <t>R17_Risk_Velocity</t>
        </is>
      </c>
      <c r="C149" t="n">
        <v>0</v>
      </c>
      <c r="D149">
        <f>DIVIDE(
        [R16_High_Risk_Critical_Bugs],
        [V01_Total_Bugs],
        0
    )</f>
        <v/>
      </c>
      <c r="E149" t="inlineStr">
        <is>
          <t>Auto-generated from MD: Risk Velocity</t>
        </is>
      </c>
    </row>
    <row r="150">
      <c r="A150" t="inlineStr">
        <is>
          <t>R18</t>
        </is>
      </c>
      <c r="B150" t="inlineStr">
        <is>
          <t>R18_Predicted_Resolution_Accuracy</t>
        </is>
      </c>
      <c r="C150" t="n">
        <v>0</v>
      </c>
      <c r="D150">
        <f>Complex formula (see DAX reference)</f>
        <v/>
      </c>
      <c r="E150" t="inlineStr">
        <is>
          <t>Auto-generated from MD: Predicted Resolution Accuracy</t>
        </is>
      </c>
    </row>
    <row r="151">
      <c r="A151" t="inlineStr">
        <is>
          <t>R19</t>
        </is>
      </c>
      <c r="B151" t="inlineStr">
        <is>
          <t>R19_Anomaly_Bugs</t>
        </is>
      </c>
      <c r="C151" t="n">
        <v>0</v>
      </c>
      <c r="D151">
        <f>CALCULATE(COUNTA(raw_data!A:A)-1, 'Bugs'[IsAnomaly] = TRUE)</f>
        <v/>
      </c>
      <c r="E151" t="inlineStr">
        <is>
          <t>Auto-generated from MD: Anomaly Bugs</t>
        </is>
      </c>
    </row>
    <row r="152">
      <c r="A152" t="inlineStr">
        <is>
          <t>R20</t>
        </is>
      </c>
      <c r="B152" t="inlineStr">
        <is>
          <t>R20_Release_Risk_Score</t>
        </is>
      </c>
      <c r="C152" t="n">
        <v>0</v>
      </c>
      <c r="D152">
        <f>([R01_Overall_Risk_Score] * 0.3) +
    ([V14_Critical_Bugs] * 0.25) +
    ([V12_Escaped_Bugs] * 0.25) +
    ([T18_Avg_Age_Days] * 0.20)</f>
        <v/>
      </c>
      <c r="E152" t="inlineStr">
        <is>
          <t>Auto-generated from MD: Release Risk Score</t>
        </is>
      </c>
    </row>
    <row r="153">
      <c r="A153" t="inlineStr">
        <is>
          <t>R21</t>
        </is>
      </c>
      <c r="B153" t="inlineStr">
        <is>
          <t>R21_Time_to_Risk_Threshold</t>
        </is>
      </c>
      <c r="C153" t="n">
        <v>0</v>
      </c>
      <c r="D153">
        <f>AVERAGEX(
        FILTER('Bugs', 'Bugs'[RiskScore] &gt; 7),
        'Bugs'[AgeDays]
    )</f>
        <v/>
      </c>
      <c r="E153" t="inlineStr">
        <is>
          <t>Auto-generated from MD: Time to Risk Threshold</t>
        </is>
      </c>
    </row>
    <row r="154">
      <c r="A154" t="inlineStr">
        <is>
          <t>R22</t>
        </is>
      </c>
      <c r="B154" t="inlineStr">
        <is>
          <t>R22_Sprint_Risk_Forecast</t>
        </is>
      </c>
      <c r="C154" t="n">
        <v>0</v>
      </c>
      <c r="D154">
        <f>VAR CurrentVelocity = [S01_Sprint_Velocity]
    VAR RiskFactor = [R01_Overall_Risk_Score] / 10
    RETURN CurrentVelocity * (1 - RiskFactor)</f>
        <v/>
      </c>
      <c r="E154" t="inlineStr">
        <is>
          <t>Auto-generated from MD: Sprint Risk Forecast</t>
        </is>
      </c>
    </row>
    <row r="155">
      <c r="A155" t="inlineStr">
        <is>
          <t>R23</t>
        </is>
      </c>
      <c r="B155" t="inlineStr">
        <is>
          <t>R23_Predicted_Bugs_Next_Sprint</t>
        </is>
      </c>
      <c r="C155" t="n">
        <v>0</v>
      </c>
      <c r="D155">
        <f>VAR AvgBugsPerSprint = AVERAGEX(VALUES('Sprint'[SprintID]), [S09_Sprint_Inflow])
    VAR Trend = [TR04_Bug_Trend_7Days]
    RETURN AvgBugsPerSprint * (1 + Trend)</f>
        <v/>
      </c>
      <c r="E155" t="inlineStr">
        <is>
          <t>Auto-generated from MD: Predicted Bugs Next Sprint</t>
        </is>
      </c>
    </row>
    <row r="156">
      <c r="A156" t="inlineStr">
        <is>
          <t>R24</t>
        </is>
      </c>
      <c r="B156" t="inlineStr">
        <is>
          <t>R24_Risk_Burndown_Rate</t>
        </is>
      </c>
      <c r="C156" t="n">
        <v>0</v>
      </c>
      <c r="D156">
        <f>DIVIDE(
        [R02_High_Risk_Bugs],
        CALCULATE([R02_High_Risk_Bugs], DATEADD('Date'[Date], -7, DAY)),
        0
    ) - 1</f>
        <v/>
      </c>
      <c r="E156" t="inlineStr">
        <is>
          <t>Auto-generated from MD: Risk Burndown Rate</t>
        </is>
      </c>
    </row>
    <row r="157">
      <c r="A157" t="inlineStr">
        <is>
          <t>R25</t>
        </is>
      </c>
      <c r="B157" t="inlineStr">
        <is>
          <t>R25_Critical_Path_Risk</t>
        </is>
      </c>
      <c r="C157" t="n">
        <v>0</v>
      </c>
      <c r="D157">
        <f>CALCULATE(
        SUM('Bugs'[RiskScore]),
        'Bugs'[IsBlocking] = TRUE
    )</f>
        <v/>
      </c>
      <c r="E157" t="inlineStr">
        <is>
          <t>Auto-generated from MD: Critical Path Risk</t>
        </is>
      </c>
    </row>
    <row r="158">
      <c r="A158" t="inlineStr">
        <is>
          <t>S01</t>
        </is>
      </c>
      <c r="B158" t="inlineStr">
        <is>
          <t>S01_Sprint_Velocity</t>
        </is>
      </c>
      <c r="C158" t="n">
        <v>20</v>
      </c>
      <c r="D158">
        <f>V01_Total_Bugs/COUNTA(UNIQUE(raw_data!P:P))</f>
        <v/>
      </c>
      <c r="E158" t="inlineStr">
        <is>
          <t>Average bugs per sprint</t>
        </is>
      </c>
    </row>
    <row r="159">
      <c r="A159" t="inlineStr">
        <is>
          <t>S02</t>
        </is>
      </c>
      <c r="B159" t="inlineStr">
        <is>
          <t>S02_Sprint_Completed_Bugs</t>
        </is>
      </c>
      <c r="C159" t="n">
        <v>51</v>
      </c>
      <c r="D159">
        <f>COUNTIFS(raw_data!F:F,"Done")+COUNTIFS(raw_data!F:F,"Closed")</f>
        <v/>
      </c>
      <c r="E159" t="inlineStr">
        <is>
          <t>Completed bugs</t>
        </is>
      </c>
    </row>
    <row r="160">
      <c r="A160" t="inlineStr">
        <is>
          <t>S03</t>
        </is>
      </c>
      <c r="B160" t="inlineStr">
        <is>
          <t>S03_Sprint_Carryover</t>
        </is>
      </c>
      <c r="C160" t="n">
        <v>0</v>
      </c>
      <c r="D160">
        <f>CALCULATE(
        COUNTA(raw_data!A:A)-1,
        raw_data!F:F NOT IN {"Resolved", "Done", "Closed"}
    )</f>
        <v/>
      </c>
      <c r="E160" t="inlineStr">
        <is>
          <t>Auto-generated from MD: Sprint Carryover</t>
        </is>
      </c>
    </row>
    <row r="161">
      <c r="A161" t="inlineStr">
        <is>
          <t>S04</t>
        </is>
      </c>
      <c r="B161" t="inlineStr">
        <is>
          <t>S04_Sprint_Carryover_Rate</t>
        </is>
      </c>
      <c r="C161" t="n">
        <v>0</v>
      </c>
      <c r="D161">
        <f>DIVIDE([S03_Sprint_Carryover], [S01_Sprint_Velocity], 0)</f>
        <v/>
      </c>
      <c r="E161" t="inlineStr">
        <is>
          <t>Auto-generated from MD: Sprint Carryover Rate</t>
        </is>
      </c>
    </row>
    <row r="162">
      <c r="A162" t="inlineStr">
        <is>
          <t>S05</t>
        </is>
      </c>
      <c r="B162" t="inlineStr">
        <is>
          <t>S05_Sprint_Completion_Rate</t>
        </is>
      </c>
      <c r="C162" t="n">
        <v>51</v>
      </c>
      <c r="D162">
        <f>S02_Sprint_Completed_Bugs/V01_Total_Bugs*100</f>
        <v/>
      </c>
      <c r="E162" t="inlineStr">
        <is>
          <t>Sprint completion rate (%)</t>
        </is>
      </c>
    </row>
    <row r="163">
      <c r="A163" t="inlineStr">
        <is>
          <t>S06</t>
        </is>
      </c>
      <c r="B163" t="inlineStr">
        <is>
          <t>S06_Sprint_Avg_Cycle_Time</t>
        </is>
      </c>
      <c r="C163" t="n">
        <v>0</v>
      </c>
      <c r="D163">
        <f>[T03_Avg_Cycle_Time]</f>
        <v/>
      </c>
      <c r="E163" t="inlineStr">
        <is>
          <t>Auto-generated from MD: Sprint Avg Cycle Time</t>
        </is>
      </c>
    </row>
    <row r="164">
      <c r="A164" t="inlineStr">
        <is>
          <t>S09</t>
        </is>
      </c>
      <c r="B164" t="inlineStr">
        <is>
          <t>S09_Sprint_Inflow</t>
        </is>
      </c>
      <c r="C164" t="n">
        <v>0</v>
      </c>
      <c r="D164">
        <f>CALCULATE(
        COUNTA(raw_data!A:A)-1,
        'Bugs'[CreatedDate] &gt;= EARLIER('Sprint'[StartDate]) &amp;&amp;
        'Bugs'[CreatedDate] &lt;= EARLIER('Sprint'[EndDate])
    )</f>
        <v/>
      </c>
      <c r="E164" t="inlineStr">
        <is>
          <t>Auto-generated from MD: Sprint Inflow</t>
        </is>
      </c>
    </row>
    <row r="165">
      <c r="A165" t="inlineStr">
        <is>
          <t>S10</t>
        </is>
      </c>
      <c r="B165" t="inlineStr">
        <is>
          <t>S10_Sprint_Outflow</t>
        </is>
      </c>
      <c r="C165" t="n">
        <v>0</v>
      </c>
      <c r="D165">
        <f>[S02_Sprint_Completed_Bugs]</f>
        <v/>
      </c>
      <c r="E165" t="inlineStr">
        <is>
          <t>Auto-generated from MD: Sprint Outflow</t>
        </is>
      </c>
    </row>
    <row r="166">
      <c r="A166" t="inlineStr">
        <is>
          <t>S11</t>
        </is>
      </c>
      <c r="B166" t="inlineStr">
        <is>
          <t>S11_Sprint_WIP</t>
        </is>
      </c>
      <c r="C166" t="n">
        <v>0</v>
      </c>
      <c r="D166">
        <f>[S03_Sprint_Carryover]</f>
        <v/>
      </c>
      <c r="E166" t="inlineStr">
        <is>
          <t>Auto-generated from MD: Sprint WIP</t>
        </is>
      </c>
    </row>
    <row r="167">
      <c r="A167" t="inlineStr">
        <is>
          <t>S12</t>
        </is>
      </c>
      <c r="B167" t="inlineStr">
        <is>
          <t>S12_Sprint_Scope_Change</t>
        </is>
      </c>
      <c r="C167" t="n">
        <v>0</v>
      </c>
      <c r="D167">
        <f>ABS([S09_Sprint_Inflow] - [S01_Sprint_Velocity])</f>
        <v/>
      </c>
      <c r="E167" t="inlineStr">
        <is>
          <t>Auto-generated from MD: Sprint Scope Change</t>
        </is>
      </c>
    </row>
    <row r="168">
      <c r="A168" t="inlineStr">
        <is>
          <t>S13</t>
        </is>
      </c>
      <c r="B168" t="inlineStr">
        <is>
          <t>S13_Sprint_Scope_Stability</t>
        </is>
      </c>
      <c r="C168" t="n">
        <v>0</v>
      </c>
      <c r="D168">
        <f>DIVIDE(
        [S01_Sprint_Velocity] - [S12_Sprint_Scope_Change],
        [S01_Sprint_Velocity],
        0
    )</f>
        <v/>
      </c>
      <c r="E168" t="inlineStr">
        <is>
          <t>Auto-generated from MD: Sprint Scope Stability</t>
        </is>
      </c>
    </row>
    <row r="169">
      <c r="A169" t="inlineStr">
        <is>
          <t>S14</t>
        </is>
      </c>
      <c r="B169" t="inlineStr">
        <is>
          <t>S14_Sprint_Throughput</t>
        </is>
      </c>
      <c r="C169" t="n">
        <v>0</v>
      </c>
      <c r="D169">
        <f>[S02_Sprint_Completed_Bugs]</f>
        <v/>
      </c>
      <c r="E169" t="inlineStr">
        <is>
          <t>Auto-generated from MD: Sprint Throughput</t>
        </is>
      </c>
    </row>
    <row r="170">
      <c r="A170" t="inlineStr">
        <is>
          <t>S15</t>
        </is>
      </c>
      <c r="B170" t="inlineStr">
        <is>
          <t>S15_Sprint_Avg_Lead_Time</t>
        </is>
      </c>
      <c r="C170" t="n">
        <v>0</v>
      </c>
      <c r="D170">
        <f>[T01_Avg_Lead_Time]</f>
        <v/>
      </c>
      <c r="E170" t="inlineStr">
        <is>
          <t>Auto-generated from MD: Sprint Avg Lead Time</t>
        </is>
      </c>
    </row>
    <row r="171">
      <c r="A171" t="inlineStr">
        <is>
          <t>S16</t>
        </is>
      </c>
      <c r="B171" t="inlineStr">
        <is>
          <t>S16_Sprint_Commitment_Reliability</t>
        </is>
      </c>
      <c r="C171" t="n">
        <v>0</v>
      </c>
      <c r="D171">
        <f>[S05_Sprint_Completion_Rate]</f>
        <v/>
      </c>
      <c r="E171" t="inlineStr">
        <is>
          <t>Auto-generated from MD: Sprint Commitment Reliability</t>
        </is>
      </c>
    </row>
    <row r="172">
      <c r="A172" t="inlineStr">
        <is>
          <t>S17</t>
        </is>
      </c>
      <c r="B172" t="inlineStr">
        <is>
          <t>S17_Sprint_Quality_Index</t>
        </is>
      </c>
      <c r="C172" t="n">
        <v>0</v>
      </c>
      <c r="D172">
        <f>[Q13_Quality_Index]</f>
        <v/>
      </c>
      <c r="E172" t="inlineStr">
        <is>
          <t>Auto-generated from MD: Sprint Quality Index</t>
        </is>
      </c>
    </row>
    <row r="173">
      <c r="A173" t="inlineStr">
        <is>
          <t>S26</t>
        </is>
      </c>
      <c r="B173" t="inlineStr">
        <is>
          <t>S26_Sprint_Bug_Density</t>
        </is>
      </c>
      <c r="C173" t="n">
        <v>0</v>
      </c>
      <c r="D173">
        <f>[Q14_Bug_Density]</f>
        <v/>
      </c>
      <c r="E173" t="inlineStr">
        <is>
          <t>Auto-generated from MD: Sprint Bug Density</t>
        </is>
      </c>
    </row>
    <row r="174">
      <c r="A174" t="inlineStr">
        <is>
          <t>SF01</t>
        </is>
      </c>
      <c r="B174" t="inlineStr">
        <is>
          <t>SF01_Avg_Triage_Duration</t>
        </is>
      </c>
      <c r="C174" t="n">
        <v>12.27906976744186</v>
      </c>
      <c r="D174">
        <f>AVERAGE(raw_data!AQ:AQ)</f>
        <v/>
      </c>
      <c r="E174" t="inlineStr">
        <is>
          <t>Average time in Triage (hours)</t>
        </is>
      </c>
    </row>
    <row r="175">
      <c r="A175" t="inlineStr">
        <is>
          <t>SF02</t>
        </is>
      </c>
      <c r="B175" t="inlineStr">
        <is>
          <t>SF02_Median_Triage_Duration</t>
        </is>
      </c>
      <c r="C175" t="n">
        <v>10</v>
      </c>
      <c r="D175">
        <f>MEDIAN(raw_data!AQ:AQ)</f>
        <v/>
      </c>
      <c r="E175" t="inlineStr">
        <is>
          <t>Median time in Triage (hours)</t>
        </is>
      </c>
    </row>
    <row r="176">
      <c r="A176" t="inlineStr">
        <is>
          <t>SF03</t>
        </is>
      </c>
      <c r="B176" t="inlineStr">
        <is>
          <t>SF03_Max_Triage_Duration</t>
        </is>
      </c>
      <c r="C176" t="n">
        <v>24</v>
      </c>
      <c r="D176">
        <f>MAX(raw_data!AQ:AQ)</f>
        <v/>
      </c>
      <c r="E176" t="inlineStr">
        <is>
          <t>Maximum time in Triage (hours)</t>
        </is>
      </c>
    </row>
    <row r="177">
      <c r="A177" t="inlineStr">
        <is>
          <t>SF04</t>
        </is>
      </c>
      <c r="B177" t="inlineStr">
        <is>
          <t>SF04_Bugs_Stuck_in_Triage</t>
        </is>
      </c>
      <c r="C177" t="n">
        <v>0</v>
      </c>
      <c r="D177">
        <f>COUNTIFS(raw_data!F:F,"Triage",raw_data!AQ:AQ,"&gt;24")</f>
        <v/>
      </c>
      <c r="E177" t="inlineStr">
        <is>
          <t>Bugs stuck in Triage &gt; 24hrs</t>
        </is>
      </c>
    </row>
    <row r="178">
      <c r="A178" t="inlineStr">
        <is>
          <t>SF05</t>
        </is>
      </c>
      <c r="B178" t="inlineStr">
        <is>
          <t>SF05_Avg_Active_Duration</t>
        </is>
      </c>
      <c r="C178" t="n">
        <v>38.3974358974359</v>
      </c>
      <c r="D178">
        <f>AVERAGE(raw_data!AR:AR)</f>
        <v/>
      </c>
      <c r="E178" t="inlineStr">
        <is>
          <t>Average time in Active (hours)</t>
        </is>
      </c>
    </row>
    <row r="179">
      <c r="A179" t="inlineStr">
        <is>
          <t>SF06</t>
        </is>
      </c>
      <c r="B179" t="inlineStr">
        <is>
          <t>SF06_Avg_InProgress_Duration</t>
        </is>
      </c>
      <c r="C179" t="n">
        <v>66.3015873015873</v>
      </c>
      <c r="D179">
        <f>AVERAGE(raw_data!AS:AS)</f>
        <v/>
      </c>
      <c r="E179" t="inlineStr">
        <is>
          <t>Average time in In Progress (hours)</t>
        </is>
      </c>
    </row>
    <row r="180">
      <c r="A180" t="inlineStr">
        <is>
          <t>SF07</t>
        </is>
      </c>
      <c r="B180" t="inlineStr">
        <is>
          <t>SF07_Median_InProgress_Duration</t>
        </is>
      </c>
      <c r="C180" t="n">
        <v>67</v>
      </c>
      <c r="D180">
        <f>MEDIAN(raw_data!AS:AS)</f>
        <v/>
      </c>
      <c r="E180" t="inlineStr">
        <is>
          <t>Median time in In Progress (hours)</t>
        </is>
      </c>
    </row>
    <row r="181">
      <c r="A181" t="inlineStr">
        <is>
          <t>SF08</t>
        </is>
      </c>
      <c r="B181" t="inlineStr">
        <is>
          <t>SF08_Avg_ReadyForRetest_Duration</t>
        </is>
      </c>
      <c r="C181" t="n">
        <v>29.9</v>
      </c>
      <c r="D181">
        <f>AVERAGE(raw_data!AT:AT)</f>
        <v/>
      </c>
      <c r="E181" t="inlineStr">
        <is>
          <t>Average time in Ready for Retest (hours)</t>
        </is>
      </c>
    </row>
    <row r="182">
      <c r="A182" t="inlineStr">
        <is>
          <t>SF09</t>
        </is>
      </c>
      <c r="B182" t="inlineStr">
        <is>
          <t>SF09_Median_ReadyForRetest_Duration</t>
        </is>
      </c>
      <c r="C182" t="n">
        <v>33.5</v>
      </c>
      <c r="D182">
        <f>MEDIAN(raw_data!AT:AT)</f>
        <v/>
      </c>
      <c r="E182" t="inlineStr">
        <is>
          <t>Median time in Ready for Retest (hours)</t>
        </is>
      </c>
    </row>
    <row r="183">
      <c r="A183" t="inlineStr">
        <is>
          <t>SF10</t>
        </is>
      </c>
      <c r="B183" t="inlineStr">
        <is>
          <t>SF10_Bugs_Stuck_in_Retest</t>
        </is>
      </c>
      <c r="C183" t="n">
        <v>0</v>
      </c>
      <c r="D183">
        <f>COUNTIFS(raw_data!F:F,"Ready for Retest",raw_data!AT:AT,"&gt;48")</f>
        <v/>
      </c>
      <c r="E183" t="inlineStr">
        <is>
          <t>Bugs stuck in Retest &gt; 48hrs</t>
        </is>
      </c>
    </row>
    <row r="184">
      <c r="A184" t="inlineStr">
        <is>
          <t>SF11</t>
        </is>
      </c>
      <c r="B184" t="inlineStr">
        <is>
          <t>SF11_State_Transition_Count_Avg</t>
        </is>
      </c>
      <c r="C184" t="n">
        <v>6.27</v>
      </c>
      <c r="D184">
        <f>AVERAGE(raw_data!AP:AP)</f>
        <v/>
      </c>
      <c r="E184" t="inlineStr">
        <is>
          <t>Average state transitions per bug</t>
        </is>
      </c>
    </row>
    <row r="185">
      <c r="A185" t="inlineStr">
        <is>
          <t>SF12</t>
        </is>
      </c>
      <c r="B185" t="inlineStr">
        <is>
          <t>SF12_Complex_Flow_Bugs</t>
        </is>
      </c>
      <c r="C185" t="n">
        <v>23</v>
      </c>
      <c r="D185">
        <f>COUNTIF(raw_data!AP:AP,"&gt;8")</f>
        <v/>
      </c>
      <c r="E185" t="inlineStr">
        <is>
          <t>Bugs with complex flow (&gt;8 transitions)</t>
        </is>
      </c>
    </row>
    <row r="186">
      <c r="A186" t="inlineStr">
        <is>
          <t>SF13</t>
        </is>
      </c>
      <c r="B186" t="inlineStr">
        <is>
          <t>SF13_Simple_Flow_Bugs</t>
        </is>
      </c>
      <c r="C186" t="n">
        <v>26</v>
      </c>
      <c r="D186">
        <f>COUNTIF(raw_data!AP:AP,"&lt;=4")</f>
        <v/>
      </c>
      <c r="E186" t="inlineStr">
        <is>
          <t>Bugs with simple flow (&lt;=4 transitions)</t>
        </is>
      </c>
    </row>
    <row r="187">
      <c r="A187" t="inlineStr">
        <is>
          <t>SF14</t>
        </is>
      </c>
      <c r="B187" t="inlineStr">
        <is>
          <t>SF14_Triage_Efficiency</t>
        </is>
      </c>
      <c r="C187" t="n">
        <v>12.79069767441861</v>
      </c>
      <c r="D187">
        <f>COUNTIFS(raw_data!AQ:AQ,"&lt;=4")/COUNTA(raw_data!AQ:AQ)*100</f>
        <v/>
      </c>
      <c r="E187" t="inlineStr">
        <is>
          <t>Percentage of bugs triaged in &lt;=4 hours</t>
        </is>
      </c>
    </row>
    <row r="188">
      <c r="A188" t="inlineStr">
        <is>
          <t>SF15</t>
        </is>
      </c>
      <c r="B188" t="inlineStr">
        <is>
          <t>SF15_First_Time_Pass_Rate</t>
        </is>
      </c>
      <c r="C188" t="n">
        <v>209.6774193548387</v>
      </c>
      <c r="D188">
        <f>COUNTIF(raw_data!BW:BW,0)/V09_Closed_Bugs*100</f>
        <v/>
      </c>
      <c r="E188" t="inlineStr">
        <is>
          <t>Percentage of bugs passing retest first time</t>
        </is>
      </c>
    </row>
    <row r="189">
      <c r="A189" t="inlineStr">
        <is>
          <t>SF16</t>
        </is>
      </c>
      <c r="B189" t="inlineStr">
        <is>
          <t>SF16_Retest_Pass_Rate</t>
        </is>
      </c>
      <c r="C189" t="n">
        <v>0</v>
      </c>
      <c r="D189">
        <f>DIVIDE(
        [V45_Completed_Bugs],
        [V45_Completed_Bugs] + CALCULATE(COUNTA(raw_data!A:A)-1, 'Bugs'[RetestFailCount] &gt; 0),
        0
    )</f>
        <v/>
      </c>
      <c r="E189" t="inlineStr">
        <is>
          <t>Auto-generated from MD: Retest Pass Rate</t>
        </is>
      </c>
    </row>
    <row r="190">
      <c r="A190" t="inlineStr">
        <is>
          <t>SF17</t>
        </is>
      </c>
      <c r="B190" t="inlineStr">
        <is>
          <t>SF17_Back_Flow_Rate</t>
        </is>
      </c>
      <c r="C190" t="n">
        <v>0</v>
      </c>
      <c r="D190">
        <f>DIVIDE(
        CALCULATE(COUNTA(raw_data!A:A)-1, 'Bugs'[PreviousState] &gt; raw_data!F:F),
        COUNTA(raw_data!A:A)-1,
        0
    )</f>
        <v/>
      </c>
      <c r="E190" t="inlineStr">
        <is>
          <t>Auto-generated from MD: Back Flow Rate</t>
        </is>
      </c>
    </row>
    <row r="191">
      <c r="A191" t="inlineStr">
        <is>
          <t>SF18</t>
        </is>
      </c>
      <c r="B191" t="inlineStr">
        <is>
          <t>SF18_Open_to_Triage_Time_Avg</t>
        </is>
      </c>
      <c r="C191" t="n">
        <v>0</v>
      </c>
      <c r="D191">
        <f>AVERAGEX(
        FILTER('Bugs', NOT(ISBLANK('Bugs'[TriageDate]))),
        DATEDIFF('Bugs'[CreatedDate], 'Bugs'[TriageDate], HOUR)
    )</f>
        <v/>
      </c>
      <c r="E191" t="inlineStr">
        <is>
          <t>Auto-generated from MD: Open to Triage Time Avg</t>
        </is>
      </c>
    </row>
    <row r="192">
      <c r="A192" t="inlineStr">
        <is>
          <t>SF19</t>
        </is>
      </c>
      <c r="B192" t="inlineStr">
        <is>
          <t>SF19_Triage_to_Active_Time_Avg</t>
        </is>
      </c>
      <c r="C192" t="n">
        <v>0</v>
      </c>
      <c r="D192">
        <f>AVERAGEX(
        FILTER('Bugs', NOT(ISBLANK('Bugs'[TriageDate])) &amp;&amp; raw_data!F:F != "Triage"),
        DATEDIFF('Bugs'[TriageDate], 'Bugs'[AssignedDate], HOUR)
    )</f>
        <v/>
      </c>
      <c r="E192" t="inlineStr">
        <is>
          <t>Auto-generated from MD: Triage to Active Time Avg</t>
        </is>
      </c>
    </row>
    <row r="193">
      <c r="A193" t="inlineStr">
        <is>
          <t>SF20</t>
        </is>
      </c>
      <c r="B193" t="inlineStr">
        <is>
          <t>SF20_Active_to_InProgress_Time_Avg</t>
        </is>
      </c>
      <c r="C193" t="n">
        <v>0</v>
      </c>
      <c r="D193">
        <f>AVERAGEX(
        FILTER('Bugs', NOT(ISBLANK('Bugs'[InProgressDate]))),
        DATEDIFF('Bugs'[AssignedDate], 'Bugs'[InProgressDate], HOUR)
    )</f>
        <v/>
      </c>
      <c r="E193" t="inlineStr">
        <is>
          <t>Auto-generated from MD: Active to InProgress Time Avg</t>
        </is>
      </c>
    </row>
    <row r="194">
      <c r="A194" t="inlineStr">
        <is>
          <t>SF21</t>
        </is>
      </c>
      <c r="B194" t="inlineStr">
        <is>
          <t>SF21_InProgress_to_ReadyForRetest_Time_Avg</t>
        </is>
      </c>
      <c r="C194" t="n">
        <v>0</v>
      </c>
      <c r="D194">
        <f>AVERAGEX(
        FILTER('Bugs', NOT(ISBLANK('Bugs'[ReadyForRetestDate]))),
        DATEDIFF('Bugs'[InProgressDate], 'Bugs'[ReadyForRetestDate], HOUR)
    )</f>
        <v/>
      </c>
      <c r="E194" t="inlineStr">
        <is>
          <t>Auto-generated from MD: InProgress to ReadyForRetest Time Avg</t>
        </is>
      </c>
    </row>
    <row r="195">
      <c r="A195" t="inlineStr">
        <is>
          <t>SF22</t>
        </is>
      </c>
      <c r="B195" t="inlineStr">
        <is>
          <t>SF22_ReadyForRetest_to_Done_Time_Avg</t>
        </is>
      </c>
      <c r="C195" t="n">
        <v>0</v>
      </c>
      <c r="D195">
        <f>AVERAGEX(
        FILTER('Bugs', NOT(ISBLANK('Bugs'[DoneDate]))),
        DATEDIFF('Bugs'[ReadyForRetestDate], 'Bugs'[DoneDate], HOUR)
    )</f>
        <v/>
      </c>
      <c r="E195" t="inlineStr">
        <is>
          <t>Auto-generated from MD: ReadyForRetest to Done Time Avg</t>
        </is>
      </c>
    </row>
    <row r="196">
      <c r="A196" t="inlineStr">
        <is>
          <t>SF23</t>
        </is>
      </c>
      <c r="B196" t="inlineStr">
        <is>
          <t>SF23_Done_to_Closed_Time_Avg</t>
        </is>
      </c>
      <c r="C196" t="n">
        <v>0</v>
      </c>
      <c r="D196">
        <f>AVERAGEX(
        FILTER('Bugs', NOT(ISBLANK('Bugs'[ClosedDate])) &amp;&amp; NOT(ISBLANK('Bugs'[DoneDate]))),
        DATEDIFF('Bugs'[DoneDate], 'Bugs'[ClosedDate], HOUR)
    )</f>
        <v/>
      </c>
      <c r="E196" t="inlineStr">
        <is>
          <t>Auto-generated from MD: Done to Closed Time Avg</t>
        </is>
      </c>
    </row>
    <row r="197">
      <c r="A197" t="inlineStr">
        <is>
          <t>SF24</t>
        </is>
      </c>
      <c r="B197" t="inlineStr">
        <is>
          <t>SF24_Bottleneck_State</t>
        </is>
      </c>
      <c r="C197" t="n">
        <v>0</v>
      </c>
      <c r="D197">
        <f>Complex formula (see DAX reference)</f>
        <v/>
      </c>
      <c r="E197" t="inlineStr">
        <is>
          <t>Auto-generated from MD: Bottleneck State</t>
        </is>
      </c>
    </row>
    <row r="198">
      <c r="A198" t="inlineStr">
        <is>
          <t>SF25</t>
        </is>
      </c>
      <c r="B198" t="inlineStr">
        <is>
          <t>SF25_Flow_Efficiency_State</t>
        </is>
      </c>
      <c r="C198" t="n">
        <v>0</v>
      </c>
      <c r="D198">
        <f>DIVIDE(
        [SF06_Avg_InProgress_Duration],
        [SF05_Avg_Active_Duration] + [SF06_Avg_InProgress_Duration] + [SF08_Avg_ReadyForRetest_Duration],
        0
    )</f>
        <v/>
      </c>
      <c r="E198" t="inlineStr">
        <is>
          <t>Auto-generated from MD: Flow Efficiency State</t>
        </is>
      </c>
    </row>
    <row r="199">
      <c r="A199" t="inlineStr">
        <is>
          <t>SF26</t>
        </is>
      </c>
      <c r="B199" t="inlineStr">
        <is>
          <t>SF26_State_Change_Velocity</t>
        </is>
      </c>
      <c r="C199" t="n">
        <v>0</v>
      </c>
      <c r="D199">
        <f>DIVIDE(
        SUM('Bugs'[StateTransitionCount]),
        DISTINCTCOUNT('Bugs'[BugID]),
        0
    )</f>
        <v/>
      </c>
      <c r="E199" t="inlineStr">
        <is>
          <t>Auto-generated from MD: State Change Velocity</t>
        </is>
      </c>
    </row>
    <row r="200">
      <c r="A200" t="inlineStr">
        <is>
          <t>SF27</t>
        </is>
      </c>
      <c r="B200" t="inlineStr">
        <is>
          <t>SF27_Bugs_by_Current_State</t>
        </is>
      </c>
      <c r="C200" t="n">
        <v>0</v>
      </c>
      <c r="D200">
        <f>CALCULATE(
        COUNTA(raw_data!A:A)-1,
        ALLEXCEPT('Bugs', raw_data!F:F)
    )</f>
        <v/>
      </c>
      <c r="E200" t="inlineStr">
        <is>
          <t>Auto-generated from MD: Bugs by Current State</t>
        </is>
      </c>
    </row>
    <row r="201">
      <c r="A201" t="inlineStr">
        <is>
          <t>SF28</t>
        </is>
      </c>
      <c r="B201" t="inlineStr">
        <is>
          <t>SF28_State_Distribution_Pct</t>
        </is>
      </c>
      <c r="C201" t="n">
        <v>0</v>
      </c>
      <c r="D201">
        <f>DIVIDE(
        [SF27_Bugs_by_Current_State],
        [V01_Total_Bugs],
        0
    )</f>
        <v/>
      </c>
      <c r="E201" t="inlineStr">
        <is>
          <t>Auto-generated from MD: State Distribution Pct</t>
        </is>
      </c>
    </row>
    <row r="202">
      <c r="A202" t="inlineStr">
        <is>
          <t>SF29</t>
        </is>
      </c>
      <c r="B202" t="inlineStr">
        <is>
          <t>SF29_Critical_Bugs_in_Triage</t>
        </is>
      </c>
      <c r="C202" t="n">
        <v>0</v>
      </c>
      <c r="D202">
        <f>CALCULATE(
        COUNTA(raw_data!A:A)-1,
        raw_data!F:F = "Triage",
        raw_data!D:D = "Critical"
    )</f>
        <v/>
      </c>
      <c r="E202" t="inlineStr">
        <is>
          <t>Auto-generated from MD: Critical Bugs in Triage</t>
        </is>
      </c>
    </row>
    <row r="203">
      <c r="A203" t="inlineStr">
        <is>
          <t>SF30</t>
        </is>
      </c>
      <c r="B203" t="inlineStr">
        <is>
          <t>SF30_Avg_Time_to_Start_Work</t>
        </is>
      </c>
      <c r="C203" t="n">
        <v>0</v>
      </c>
      <c r="D203">
        <f>AVERAGEX(
        FILTER('Bugs', NOT(ISBLANK('Bugs'[InProgressDate]))),
        DATEDIFF('Bugs'[CreatedDate], 'Bugs'[InProgressDate], HOUR)
    )</f>
        <v/>
      </c>
      <c r="E203" t="inlineStr">
        <is>
          <t>Auto-generated from MD: Avg Time to Start Work</t>
        </is>
      </c>
    </row>
    <row r="204">
      <c r="A204" t="inlineStr">
        <is>
          <t>T01</t>
        </is>
      </c>
      <c r="B204" t="inlineStr">
        <is>
          <t>T01_Avg_Lead_Time</t>
        </is>
      </c>
      <c r="C204" t="n">
        <v>209.4193548387097</v>
      </c>
      <c r="D204">
        <f>AVERAGE(raw_data!BD:BD)</f>
        <v/>
      </c>
      <c r="E204" t="inlineStr">
        <is>
          <t>Average lead time (hours)</t>
        </is>
      </c>
    </row>
    <row r="205">
      <c r="A205" t="inlineStr">
        <is>
          <t>T02</t>
        </is>
      </c>
      <c r="B205" t="inlineStr">
        <is>
          <t>T02_Median_Lead_Time</t>
        </is>
      </c>
      <c r="C205" t="n">
        <v>200</v>
      </c>
      <c r="D205">
        <f>MEDIAN(raw_data!BD:BD)</f>
        <v/>
      </c>
      <c r="E205" t="inlineStr">
        <is>
          <t>Median lead time (hours)</t>
        </is>
      </c>
    </row>
    <row r="206">
      <c r="A206" t="inlineStr">
        <is>
          <t>T03</t>
        </is>
      </c>
      <c r="B206" t="inlineStr">
        <is>
          <t>T03_Avg_Cycle_Time</t>
        </is>
      </c>
      <c r="C206" t="n">
        <v>134.741935483871</v>
      </c>
      <c r="D206">
        <f>AVERAGE(raw_data!BE:BE)</f>
        <v/>
      </c>
      <c r="E206" t="inlineStr">
        <is>
          <t>Average cycle time (hours)</t>
        </is>
      </c>
    </row>
    <row r="207">
      <c r="A207" t="inlineStr">
        <is>
          <t>T04</t>
        </is>
      </c>
      <c r="B207" t="inlineStr">
        <is>
          <t>T04_Median_Cycle_Time</t>
        </is>
      </c>
      <c r="C207" t="n">
        <v>133</v>
      </c>
      <c r="D207">
        <f>MEDIAN(raw_data!BE:BE)</f>
        <v/>
      </c>
      <c r="E207" t="inlineStr">
        <is>
          <t>Median cycle time (hours)</t>
        </is>
      </c>
    </row>
    <row r="208">
      <c r="A208" t="inlineStr">
        <is>
          <t>T05</t>
        </is>
      </c>
      <c r="B208" t="inlineStr">
        <is>
          <t>T05_P75_Cycle_Time</t>
        </is>
      </c>
      <c r="C208" t="n">
        <v>155.5</v>
      </c>
      <c r="D208">
        <f>PERCENTILE(raw_data!BE:BE,0.75)</f>
        <v/>
      </c>
      <c r="E208" t="inlineStr">
        <is>
          <t>75th percentile cycle time</t>
        </is>
      </c>
    </row>
    <row r="209">
      <c r="A209" t="inlineStr">
        <is>
          <t>T06</t>
        </is>
      </c>
      <c r="B209" t="inlineStr">
        <is>
          <t>T06_P90_Cycle_Time</t>
        </is>
      </c>
      <c r="C209" t="n">
        <v>0</v>
      </c>
      <c r="D209">
        <f>PERCENTILEX.INC('Bugs', 'Bugs'[CycleTimeHrs], 0.90)</f>
        <v/>
      </c>
      <c r="E209" t="inlineStr">
        <is>
          <t>Auto-generated from MD: P90 Cycle Time</t>
        </is>
      </c>
    </row>
    <row r="210">
      <c r="A210" t="inlineStr">
        <is>
          <t>T07</t>
        </is>
      </c>
      <c r="B210" t="inlineStr">
        <is>
          <t>T07_P95_Lead_Time</t>
        </is>
      </c>
      <c r="C210" t="n">
        <v>0</v>
      </c>
      <c r="D210">
        <f>PERCENTILEX.INC('Bugs', 'Bugs'[LeadTimeHrs], 0.95)</f>
        <v/>
      </c>
      <c r="E210" t="inlineStr">
        <is>
          <t>Auto-generated from MD: P95 Lead Time</t>
        </is>
      </c>
    </row>
    <row r="211">
      <c r="A211" t="inlineStr">
        <is>
          <t>T08</t>
        </is>
      </c>
      <c r="B211" t="inlineStr">
        <is>
          <t>T08_Max_Lead_Time</t>
        </is>
      </c>
      <c r="C211" t="n">
        <v>315</v>
      </c>
      <c r="D211">
        <f>MAX(raw_data!BD:BD)</f>
        <v/>
      </c>
      <c r="E211" t="inlineStr">
        <is>
          <t>Maximum lead time</t>
        </is>
      </c>
    </row>
    <row r="212">
      <c r="A212" t="inlineStr">
        <is>
          <t>T09</t>
        </is>
      </c>
      <c r="B212" t="inlineStr">
        <is>
          <t>T09_Max_Cycle_Time</t>
        </is>
      </c>
      <c r="C212" t="n">
        <v>0</v>
      </c>
      <c r="D212">
        <f>MAX('Bugs'[CycleTimeHrs])</f>
        <v/>
      </c>
      <c r="E212" t="inlineStr">
        <is>
          <t>Auto-generated from MD: Max Cycle Time</t>
        </is>
      </c>
    </row>
    <row r="213">
      <c r="A213" t="inlineStr">
        <is>
          <t>T10</t>
        </is>
      </c>
      <c r="B213" t="inlineStr">
        <is>
          <t>T10_Min_Lead_Time</t>
        </is>
      </c>
      <c r="C213" t="n">
        <v>104</v>
      </c>
      <c r="D213">
        <f>MIN(raw_data!BD:BD)</f>
        <v/>
      </c>
      <c r="E213" t="inlineStr">
        <is>
          <t>Minimum lead time</t>
        </is>
      </c>
    </row>
    <row r="214">
      <c r="A214" t="inlineStr">
        <is>
          <t>T11</t>
        </is>
      </c>
      <c r="B214" t="inlineStr">
        <is>
          <t>T11_Avg_Resolution_Time</t>
        </is>
      </c>
      <c r="C214" t="n">
        <v>0</v>
      </c>
      <c r="D214">
        <f>AVERAGEX(
        FILTER('Bugs', NOT(ISBLANK('Bugs'[ResolvedDate]))),
        DATEDIFF('Bugs'[CreatedDate], 'Bugs'[ResolvedDate], HOUR)
    )</f>
        <v/>
      </c>
      <c r="E214" t="inlineStr">
        <is>
          <t>Auto-generated from MD: Avg Resolution Time</t>
        </is>
      </c>
    </row>
    <row r="215">
      <c r="A215" t="inlineStr">
        <is>
          <t>T12</t>
        </is>
      </c>
      <c r="B215" t="inlineStr">
        <is>
          <t>T12_Avg_Close_Time</t>
        </is>
      </c>
      <c r="C215" t="n">
        <v>0</v>
      </c>
      <c r="D215">
        <f>AVERAGEX(
        FILTER('Bugs', NOT(ISBLANK('Bugs'[ClosedDate]))),
        DATEDIFF('Bugs'[CreatedDate], 'Bugs'[ClosedDate], HOUR)
    )</f>
        <v/>
      </c>
      <c r="E215" t="inlineStr">
        <is>
          <t>Auto-generated from MD: Avg Close Time</t>
        </is>
      </c>
    </row>
    <row r="216">
      <c r="A216" t="inlineStr">
        <is>
          <t>T13</t>
        </is>
      </c>
      <c r="B216" t="inlineStr">
        <is>
          <t>T13_Avg_Response_Time</t>
        </is>
      </c>
      <c r="C216" t="n">
        <v>35.01162790697674</v>
      </c>
      <c r="D216">
        <f>AVERAGE(raw_data!BF:BF)</f>
        <v/>
      </c>
      <c r="E216" t="inlineStr">
        <is>
          <t>Average response time (hours)</t>
        </is>
      </c>
    </row>
    <row r="217">
      <c r="A217" t="inlineStr">
        <is>
          <t>T14</t>
        </is>
      </c>
      <c r="B217" t="inlineStr">
        <is>
          <t>T14_Avg_Fix_Time</t>
        </is>
      </c>
      <c r="C217" t="n">
        <v>0</v>
      </c>
      <c r="D217">
        <f>AVERAGE('Bugs'[FixEffortHrs])</f>
        <v/>
      </c>
      <c r="E217" t="inlineStr">
        <is>
          <t>Auto-generated from MD: Avg Fix Time</t>
        </is>
      </c>
    </row>
    <row r="218">
      <c r="A218" t="inlineStr">
        <is>
          <t>T15</t>
        </is>
      </c>
      <c r="B218" t="inlineStr">
        <is>
          <t>T15_Avg_Verification_Time</t>
        </is>
      </c>
      <c r="C218" t="n">
        <v>0</v>
      </c>
      <c r="D218">
        <f>AVERAGEX(
        FILTER('Bugs', NOT(ISBLANK('Bugs'[VerifiedDate])) &amp;&amp; NOT(ISBLANK('Bugs'[ResolvedDate]))),
        DATEDIFF('Bugs'[ResolvedDate], 'Bugs'[VerifiedDate], HOUR)
    )</f>
        <v/>
      </c>
      <c r="E218" t="inlineStr">
        <is>
          <t>Auto-generated from MD: Avg Verification Time</t>
        </is>
      </c>
    </row>
    <row r="219">
      <c r="A219" t="inlineStr">
        <is>
          <t>T16</t>
        </is>
      </c>
      <c r="B219" t="inlineStr">
        <is>
          <t>T16_Avg_Wait_Time</t>
        </is>
      </c>
      <c r="C219" t="n">
        <v>58.45</v>
      </c>
      <c r="D219">
        <f>AVERAGE(raw_data!BG:BG)</f>
        <v/>
      </c>
      <c r="E219" t="inlineStr">
        <is>
          <t>Average wait time (hours)</t>
        </is>
      </c>
    </row>
    <row r="220">
      <c r="A220" t="inlineStr">
        <is>
          <t>T17</t>
        </is>
      </c>
      <c r="B220" t="inlineStr">
        <is>
          <t>T17_Avg_Active_Work_Time</t>
        </is>
      </c>
      <c r="C220" t="n">
        <v>41.77</v>
      </c>
      <c r="D220">
        <f>AVERAGE(raw_data!BH:BH)</f>
        <v/>
      </c>
      <c r="E220" t="inlineStr">
        <is>
          <t>Average active work time (hours)</t>
        </is>
      </c>
    </row>
    <row r="221">
      <c r="A221" t="inlineStr">
        <is>
          <t>T18</t>
        </is>
      </c>
      <c r="B221" t="inlineStr">
        <is>
          <t>T18_Avg_Age_Days</t>
        </is>
      </c>
      <c r="C221" t="n">
        <v>636.6807912721745</v>
      </c>
      <c r="D221">
        <f>AVERAGE(raw_data!BI:BI)</f>
        <v/>
      </c>
      <c r="E221" t="inlineStr">
        <is>
          <t>Average bug age (days)</t>
        </is>
      </c>
    </row>
    <row r="222">
      <c r="A222" t="inlineStr">
        <is>
          <t>T19</t>
        </is>
      </c>
      <c r="B222" t="inlineStr">
        <is>
          <t>T19_Bugs_Aging_7Days</t>
        </is>
      </c>
      <c r="C222" t="n">
        <v>100</v>
      </c>
      <c r="D222">
        <f>COUNTIF(raw_data!BI:BI,"&gt;7")</f>
        <v/>
      </c>
      <c r="E222" t="inlineStr">
        <is>
          <t>Bugs older than 7 days</t>
        </is>
      </c>
    </row>
    <row r="223">
      <c r="A223" t="inlineStr">
        <is>
          <t>T20</t>
        </is>
      </c>
      <c r="B223" t="inlineStr">
        <is>
          <t>T20_Bugs_Aging_14Days</t>
        </is>
      </c>
      <c r="C223" t="n">
        <v>100</v>
      </c>
      <c r="D223">
        <f>COUNTIF(raw_data!BI:BI,"&gt;14")</f>
        <v/>
      </c>
      <c r="E223" t="inlineStr">
        <is>
          <t>Bugs older than 14 days</t>
        </is>
      </c>
    </row>
    <row r="224">
      <c r="A224" t="inlineStr">
        <is>
          <t>T21</t>
        </is>
      </c>
      <c r="B224" t="inlineStr">
        <is>
          <t>T21_Bugs_Aging_30Days</t>
        </is>
      </c>
      <c r="C224" t="n">
        <v>100</v>
      </c>
      <c r="D224">
        <f>COUNTIF(raw_data!BI:BI,"&gt;30")</f>
        <v/>
      </c>
      <c r="E224" t="inlineStr">
        <is>
          <t>Bugs older than 30 days</t>
        </is>
      </c>
    </row>
    <row r="225">
      <c r="A225" t="inlineStr">
        <is>
          <t>T22</t>
        </is>
      </c>
      <c r="B225" t="inlineStr">
        <is>
          <t>T22_Bugs_Aging_60Days</t>
        </is>
      </c>
      <c r="C225" t="n">
        <v>100</v>
      </c>
      <c r="D225">
        <f>COUNTIF(raw_data!BI:BI,"&gt;60")</f>
        <v/>
      </c>
      <c r="E225" t="inlineStr">
        <is>
          <t>Bugs older than 60 days</t>
        </is>
      </c>
    </row>
    <row r="226">
      <c r="A226" t="inlineStr">
        <is>
          <t>T23</t>
        </is>
      </c>
      <c r="B226" t="inlineStr">
        <is>
          <t>T23_Bugs_Aging_90Days</t>
        </is>
      </c>
      <c r="C226" t="n">
        <v>0</v>
      </c>
      <c r="D226">
        <f>CALCULATE(COUNTA(raw_data!A:A)-1, 'Bugs'[AgeDays] &gt; 90)</f>
        <v/>
      </c>
      <c r="E226" t="inlineStr">
        <is>
          <t>Auto-generated from MD: Bugs Aging 90Days</t>
        </is>
      </c>
    </row>
    <row r="227">
      <c r="A227" t="inlineStr">
        <is>
          <t>T27</t>
        </is>
      </c>
      <c r="B227" t="inlineStr">
        <is>
          <t>T27_Avg_Reopen_Time</t>
        </is>
      </c>
      <c r="C227" t="n">
        <v>0</v>
      </c>
      <c r="D227">
        <f>AVERAGEX(
        FILTER('Bugs', raw_data!AM:AM &gt; 0),
        DATEDIFF('Bugs'[ClosedDate], 'Bugs'[FirstReopenDate], HOUR)
    )</f>
        <v/>
      </c>
      <c r="E227" t="inlineStr">
        <is>
          <t>Auto-generated from MD: Avg Reopen Time</t>
        </is>
      </c>
    </row>
    <row r="228">
      <c r="A228" t="inlineStr">
        <is>
          <t>T28</t>
        </is>
      </c>
      <c r="B228" t="inlineStr">
        <is>
          <t>T28_Time_in_Backlog_Avg</t>
        </is>
      </c>
      <c r="C228" t="n">
        <v>0</v>
      </c>
      <c r="D228">
        <f>AVERAGEX(
        FILTER('Bugs', raw_data!F:F = "Open"),
        DATEDIFF('Bugs'[CreatedDate], TODAY(), DAY)
    )</f>
        <v/>
      </c>
      <c r="E228" t="inlineStr">
        <is>
          <t>Auto-generated from MD: Time in Backlog Avg</t>
        </is>
      </c>
    </row>
    <row r="229">
      <c r="A229" t="inlineStr">
        <is>
          <t>T29</t>
        </is>
      </c>
      <c r="B229" t="inlineStr">
        <is>
          <t>T29_Flow_Efficiency</t>
        </is>
      </c>
      <c r="C229" t="n">
        <v>19.94562538508934</v>
      </c>
      <c r="D229">
        <f>T17_Avg_Active_Work_Time/T01_Avg_Lead_Time*100</f>
        <v/>
      </c>
      <c r="E229" t="inlineStr">
        <is>
          <t>Flow efficiency (%)</t>
        </is>
      </c>
    </row>
    <row r="230">
      <c r="A230" t="inlineStr">
        <is>
          <t>T37</t>
        </is>
      </c>
      <c r="B230" t="inlineStr">
        <is>
          <t>T37_Avg_Days_Since_Last_Update</t>
        </is>
      </c>
      <c r="C230" t="n">
        <v>0</v>
      </c>
      <c r="D230">
        <f>AVERAGEX(
        'Bugs',
        DATEDIFF('Bugs'[LastModifiedDate], TODAY(), DAY)
    )</f>
        <v/>
      </c>
      <c r="E230" t="inlineStr">
        <is>
          <t>Auto-generated from MD: Avg Days Since Last Update</t>
        </is>
      </c>
    </row>
    <row r="231">
      <c r="A231" t="inlineStr">
        <is>
          <t>T38</t>
        </is>
      </c>
      <c r="B231" t="inlineStr">
        <is>
          <t>T38_Stale_Bugs</t>
        </is>
      </c>
      <c r="C231" t="n">
        <v>0</v>
      </c>
      <c r="D231">
        <f>CALCULATE(COUNTA(raw_data!A:A)-1, DATEDIFF('Bugs'[LastModifiedDate], TODAY(), DAY) &gt; 30)</f>
        <v/>
      </c>
      <c r="E231" t="inlineStr">
        <is>
          <t>Auto-generated from MD: Stale Bugs</t>
        </is>
      </c>
    </row>
    <row r="232">
      <c r="A232" t="inlineStr">
        <is>
          <t>T39</t>
        </is>
      </c>
      <c r="B232" t="inlineStr">
        <is>
          <t>T39_Recently_Updated_Bugs</t>
        </is>
      </c>
      <c r="C232" t="n">
        <v>0</v>
      </c>
      <c r="D232">
        <f>CALCULATE(COUNTA(raw_data!A:A)-1, DATEDIFF('Bugs'[LastModifiedDate], TODAY(), DAY) &lt;= 7)</f>
        <v/>
      </c>
      <c r="E232" t="inlineStr">
        <is>
          <t>Auto-generated from MD: Recently Updated Bugs</t>
        </is>
      </c>
    </row>
    <row r="233">
      <c r="A233" t="inlineStr">
        <is>
          <t>TR01</t>
        </is>
      </c>
      <c r="B233" t="inlineStr">
        <is>
          <t>TR01_Bug_Trend_30Days</t>
        </is>
      </c>
      <c r="C233" t="n">
        <v>0</v>
      </c>
      <c r="D233">
        <f>0</f>
        <v/>
      </c>
      <c r="E233" t="inlineStr">
        <is>
          <t>Bug trend over 30 days (requires historical data)</t>
        </is>
      </c>
    </row>
    <row r="234">
      <c r="A234" t="inlineStr">
        <is>
          <t>TR02</t>
        </is>
      </c>
      <c r="B234" t="inlineStr">
        <is>
          <t>TR02_Quality_Trend_Index</t>
        </is>
      </c>
      <c r="C234" t="n">
        <v>0</v>
      </c>
      <c r="D234">
        <f>0</f>
        <v/>
      </c>
      <c r="E234" t="inlineStr">
        <is>
          <t>Quality trend index (requires historical data)</t>
        </is>
      </c>
    </row>
    <row r="235">
      <c r="A235" t="inlineStr">
        <is>
          <t>TR03</t>
        </is>
      </c>
      <c r="B235" t="inlineStr">
        <is>
          <t>TR03_Escape_Rate_Trend</t>
        </is>
      </c>
      <c r="C235" t="n">
        <v>0</v>
      </c>
      <c r="D235">
        <f>VAR Current = [Q01_Escape_Rate]
    VAR Previous = CALCULATE([Q01_Escape_Rate], DATEADD('Date'[Date], -1, MONTH))
    RETURN Current - Previous</f>
        <v/>
      </c>
      <c r="E235" t="inlineStr">
        <is>
          <t>Auto-generated from MD: Escape Rate Trend</t>
        </is>
      </c>
    </row>
    <row r="236">
      <c r="A236" t="inlineStr">
        <is>
          <t>TR04</t>
        </is>
      </c>
      <c r="B236" t="inlineStr">
        <is>
          <t>TR04_Bug_Trend_7Days</t>
        </is>
      </c>
      <c r="C236" t="n">
        <v>0</v>
      </c>
      <c r="D236">
        <f>0</f>
        <v/>
      </c>
      <c r="E236" t="inlineStr">
        <is>
          <t>Bug trend over 7 days (requires historical data)</t>
        </is>
      </c>
    </row>
    <row r="237">
      <c r="A237" t="inlineStr">
        <is>
          <t>TR05</t>
        </is>
      </c>
      <c r="B237" t="inlineStr">
        <is>
          <t>TR05_Moving_Avg_Bugs_7Days</t>
        </is>
      </c>
      <c r="C237" t="n">
        <v>0</v>
      </c>
      <c r="D237">
        <f>CALCULATE(
        AVERAGEX(
            DATESINPERIOD('Date'[Date], MAX('Date'[Date]), -7, DAY),
            [V01_Total_Bugs]
        )
    )</f>
        <v/>
      </c>
      <c r="E237" t="inlineStr">
        <is>
          <t>Auto-generated from MD: Moving Avg Bugs 7Days</t>
        </is>
      </c>
    </row>
    <row r="238">
      <c r="A238" t="inlineStr">
        <is>
          <t>TR06</t>
        </is>
      </c>
      <c r="B238" t="inlineStr">
        <is>
          <t>TR06_Moving_Avg_Bugs_30Days</t>
        </is>
      </c>
      <c r="C238" t="n">
        <v>0</v>
      </c>
      <c r="D238">
        <f>CALCULATE(
        AVERAGEX(
            DATESINPERIOD('Date'[Date], MAX('Date'[Date]), -30, DAY),
            [V01_Total_Bugs]
        )
    )</f>
        <v/>
      </c>
      <c r="E238" t="inlineStr">
        <is>
          <t>Auto-generated from MD: Moving Avg Bugs 30Days</t>
        </is>
      </c>
    </row>
    <row r="239">
      <c r="A239" t="inlineStr">
        <is>
          <t>TR07</t>
        </is>
      </c>
      <c r="B239" t="inlineStr">
        <is>
          <t>TR07_Critical_Bug_Trend</t>
        </is>
      </c>
      <c r="C239" t="n">
        <v>0</v>
      </c>
      <c r="D239">
        <f>VAR Current = [V14_Critical_Bugs]
    VAR Previous = CALCULATE([V14_Critical_Bugs], DATEADD('Date'[Date], -1, MONTH))
    RETURN DIVIDE(Current - Previous, Previous, 0)</f>
        <v/>
      </c>
      <c r="E239" t="inlineStr">
        <is>
          <t>Auto-generated from MD: Critical Bug Trend</t>
        </is>
      </c>
    </row>
    <row r="240">
      <c r="A240" t="inlineStr">
        <is>
          <t>TR08</t>
        </is>
      </c>
      <c r="B240" t="inlineStr">
        <is>
          <t>TR08_Reopen_Rate_Trend</t>
        </is>
      </c>
      <c r="C240" t="n">
        <v>0</v>
      </c>
      <c r="D240">
        <f>VAR Current = [Q03_Reopen_Rate]
    VAR Previous = CALCULATE([Q03_Reopen_Rate], DATEADD('Date'[Date], -1, MONTH))
    RETURN Current - Previous</f>
        <v/>
      </c>
      <c r="E240" t="inlineStr">
        <is>
          <t>Auto-generated from MD: Reopen Rate Trend</t>
        </is>
      </c>
    </row>
    <row r="241">
      <c r="A241" t="inlineStr">
        <is>
          <t>TR09</t>
        </is>
      </c>
      <c r="B241" t="inlineStr">
        <is>
          <t>TR09_Lead_Time_Trend</t>
        </is>
      </c>
      <c r="C241" t="n">
        <v>0</v>
      </c>
      <c r="D241">
        <f>VAR Current = [T01_Avg_Lead_Time]
    VAR Previous = CALCULATE([T01_Avg_Lead_Time], DATEADD('Date'[Date], -1, MONTH))
    RETURN DIVIDE(Current - Previous, Previous, 0)</f>
        <v/>
      </c>
      <c r="E241" t="inlineStr">
        <is>
          <t>Auto-generated from MD: Lead Time Trend</t>
        </is>
      </c>
    </row>
    <row r="242">
      <c r="A242" t="inlineStr">
        <is>
          <t>TR10</t>
        </is>
      </c>
      <c r="B242" t="inlineStr">
        <is>
          <t>TR10_Velocity_Trend</t>
        </is>
      </c>
      <c r="C242" t="n">
        <v>0</v>
      </c>
      <c r="D242">
        <f>VAR Current = [S01_Sprint_Velocity]
    VAR Previous = CALCULATE([S01_Sprint_Velocity], DATEADD('Date'[Date], -1, MONTH))
    RETURN DIVIDE(Current - Previous, Previous, 0)</f>
        <v/>
      </c>
      <c r="E242" t="inlineStr">
        <is>
          <t>Auto-generated from MD: Velocity Trend</t>
        </is>
      </c>
    </row>
    <row r="243">
      <c r="A243" t="inlineStr">
        <is>
          <t>TR11</t>
        </is>
      </c>
      <c r="B243" t="inlineStr">
        <is>
          <t>TR11_Effort_Trend</t>
        </is>
      </c>
      <c r="C243" t="n">
        <v>0</v>
      </c>
      <c r="D243">
        <f>VAR Current = [E01_Total_Effort]
    VAR Previous = CALCULATE([E01_Total_Effort], DATEADD('Date'[Date], -1, MONTH))
    RETURN DIVIDE(Current - Previous, Previous, 0)</f>
        <v/>
      </c>
      <c r="E243" t="inlineStr">
        <is>
          <t>Auto-generated from MD: Effort Trend</t>
        </is>
      </c>
    </row>
    <row r="244">
      <c r="A244" t="inlineStr">
        <is>
          <t>TR12</t>
        </is>
      </c>
      <c r="B244" t="inlineStr">
        <is>
          <t>TR12_Module_Bug_Pattern</t>
        </is>
      </c>
      <c r="C244" t="n">
        <v>0</v>
      </c>
      <c r="D244">
        <f>AVERAGEX(
        VALUES('Bugs'[ModuleName]),
        CALCULATE([V01_Total_Bugs])
    )</f>
        <v/>
      </c>
      <c r="E244" t="inlineStr">
        <is>
          <t>Auto-generated from MD: Module Bug Pattern</t>
        </is>
      </c>
    </row>
    <row r="245">
      <c r="A245" t="inlineStr">
        <is>
          <t>TR13</t>
        </is>
      </c>
      <c r="B245" t="inlineStr">
        <is>
          <t>TR13_Team_Bug_Pattern</t>
        </is>
      </c>
      <c r="C245" t="n">
        <v>0</v>
      </c>
      <c r="D245">
        <f>AVERAGEX(
        VALUES('Bugs'[TeamName]),
        CALCULATE([V01_Total_Bugs])
    )</f>
        <v/>
      </c>
      <c r="E245" t="inlineStr">
        <is>
          <t>Auto-generated from MD: Team Bug Pattern</t>
        </is>
      </c>
    </row>
    <row r="246">
      <c r="A246" t="inlineStr">
        <is>
          <t>TR14</t>
        </is>
      </c>
      <c r="B246" t="inlineStr">
        <is>
          <t>TR14_Seasonal_Bug_Index</t>
        </is>
      </c>
      <c r="C246" t="n">
        <v>0</v>
      </c>
      <c r="D246">
        <f>Complex formula (see DAX reference)</f>
        <v/>
      </c>
      <c r="E246" t="inlineStr">
        <is>
          <t>Auto-generated from MD: Seasonal Bug Index</t>
        </is>
      </c>
    </row>
    <row r="247">
      <c r="A247" t="inlineStr">
        <is>
          <t>TR15</t>
        </is>
      </c>
      <c r="B247" t="inlineStr">
        <is>
          <t>TR15_Bug_Growth_Rate</t>
        </is>
      </c>
      <c r="C247" t="n">
        <v>0</v>
      </c>
      <c r="D247">
        <f>VAR CurrentQuarter = [V01_Total_Bugs]
    VAR PreviousQuarter = CALCULATE([V01_Total_Bugs], DATEADD('Date'[Date], -1, QUARTER))
    RETURN DIVIDE(CurrentQuarter - PreviousQuarter, PreviousQuarter, 0)</f>
        <v/>
      </c>
      <c r="E247" t="inlineStr">
        <is>
          <t>Auto-generated from MD: Bug Growth Rate</t>
        </is>
      </c>
    </row>
    <row r="248">
      <c r="A248" t="inlineStr">
        <is>
          <t>V01</t>
        </is>
      </c>
      <c r="B248" t="inlineStr">
        <is>
          <t>V01_Total_Bugs</t>
        </is>
      </c>
      <c r="C248" t="n">
        <v>100</v>
      </c>
      <c r="D248">
        <f>COUNTA(raw_data!A:A)-1</f>
        <v/>
      </c>
      <c r="E248" t="inlineStr">
        <is>
          <t>Total count of all bugs</t>
        </is>
      </c>
    </row>
    <row r="249">
      <c r="A249" t="inlineStr">
        <is>
          <t>V02</t>
        </is>
      </c>
      <c r="B249" t="inlineStr">
        <is>
          <t>V02_Open_Bugs</t>
        </is>
      </c>
      <c r="C249" t="n">
        <v>40</v>
      </c>
      <c r="D249">
        <f>COUNTIFS(raw_data!F:F,"Open",raw_data!F:F,"Triage",raw_data!F:F,"Active",raw_data!F:F,"In Progress",raw_data!F:F,"Ready for Retest")</f>
        <v/>
      </c>
      <c r="E249" t="inlineStr">
        <is>
          <t>Bugs in Open, Triage, Active, In Progress, Ready for Retest</t>
        </is>
      </c>
    </row>
    <row r="250">
      <c r="A250" t="inlineStr">
        <is>
          <t>V03</t>
        </is>
      </c>
      <c r="B250" t="inlineStr">
        <is>
          <t>V03_Triage_Bugs</t>
        </is>
      </c>
      <c r="C250" t="n">
        <v>7</v>
      </c>
      <c r="D250">
        <f>COUNTIF(raw_data!F:F,"Triage")</f>
        <v/>
      </c>
      <c r="E250" t="inlineStr">
        <is>
          <t>Bugs in Triage state</t>
        </is>
      </c>
    </row>
    <row r="251">
      <c r="A251" t="inlineStr">
        <is>
          <t>V04</t>
        </is>
      </c>
      <c r="B251" t="inlineStr">
        <is>
          <t>V04_Active_Bugs</t>
        </is>
      </c>
      <c r="C251" t="n">
        <v>8</v>
      </c>
      <c r="D251">
        <f>COUNTIF(raw_data!F:F,"Active")</f>
        <v/>
      </c>
      <c r="E251" t="inlineStr">
        <is>
          <t>Bugs in Active state</t>
        </is>
      </c>
    </row>
    <row r="252">
      <c r="A252" t="inlineStr">
        <is>
          <t>V05</t>
        </is>
      </c>
      <c r="B252" t="inlineStr">
        <is>
          <t>V05_InProgress_Bugs</t>
        </is>
      </c>
      <c r="C252" t="n">
        <v>15</v>
      </c>
      <c r="D252">
        <f>COUNTIF(raw_data!F:F,"In Progress")</f>
        <v/>
      </c>
      <c r="E252" t="inlineStr">
        <is>
          <t>Bugs in In Progress state</t>
        </is>
      </c>
    </row>
    <row r="253">
      <c r="A253" t="inlineStr">
        <is>
          <t>V06</t>
        </is>
      </c>
      <c r="B253" t="inlineStr">
        <is>
          <t>V06_ReadyForRetest_Bugs</t>
        </is>
      </c>
      <c r="C253" t="n">
        <v>3</v>
      </c>
      <c r="D253">
        <f>COUNTIF(raw_data!F:F,"Ready for Retest")</f>
        <v/>
      </c>
      <c r="E253" t="inlineStr">
        <is>
          <t>Bugs in Ready for Retest state</t>
        </is>
      </c>
    </row>
    <row r="254">
      <c r="A254" t="inlineStr">
        <is>
          <t>V07</t>
        </is>
      </c>
      <c r="B254" t="inlineStr">
        <is>
          <t>V07_Resolved_Bugs</t>
        </is>
      </c>
      <c r="C254" t="n">
        <v>9</v>
      </c>
      <c r="D254">
        <f>COUNTIF(raw_data!F:F,"Resolved")</f>
        <v/>
      </c>
      <c r="E254" t="inlineStr">
        <is>
          <t>Bugs in Resolved state</t>
        </is>
      </c>
    </row>
    <row r="255">
      <c r="A255" t="inlineStr">
        <is>
          <t>V08</t>
        </is>
      </c>
      <c r="B255" t="inlineStr">
        <is>
          <t>V08_Done_Bugs</t>
        </is>
      </c>
      <c r="C255" t="n">
        <v>20</v>
      </c>
      <c r="D255">
        <f>COUNTIF(raw_data!F:F,"Done")</f>
        <v/>
      </c>
      <c r="E255" t="inlineStr">
        <is>
          <t>Bugs in Done state</t>
        </is>
      </c>
    </row>
    <row r="256">
      <c r="A256" t="inlineStr">
        <is>
          <t>V09</t>
        </is>
      </c>
      <c r="B256" t="inlineStr">
        <is>
          <t>V09_Closed_Bugs</t>
        </is>
      </c>
      <c r="C256" t="n">
        <v>31</v>
      </c>
      <c r="D256">
        <f>COUNTIF(raw_data!F:F,"Closed")</f>
        <v/>
      </c>
      <c r="E256" t="inlineStr">
        <is>
          <t>Bugs in Closed state</t>
        </is>
      </c>
    </row>
    <row r="257">
      <c r="A257" t="inlineStr">
        <is>
          <t>V10</t>
        </is>
      </c>
      <c r="B257" t="inlineStr">
        <is>
          <t>V10_Reopened_Bugs</t>
        </is>
      </c>
      <c r="C257" t="n">
        <v>24</v>
      </c>
      <c r="D257">
        <f>COUNTIF(raw_data!AM:AM,"&gt;0")</f>
        <v/>
      </c>
      <c r="E257" t="inlineStr">
        <is>
          <t>Bugs that have been reopened</t>
        </is>
      </c>
    </row>
    <row r="258">
      <c r="A258" t="inlineStr">
        <is>
          <t>V11</t>
        </is>
      </c>
      <c r="B258" t="inlineStr">
        <is>
          <t>V11_Multi_Reopened_Bugs</t>
        </is>
      </c>
      <c r="C258" t="n">
        <v>14</v>
      </c>
      <c r="D258">
        <f>COUNTIF(raw_data!AM:AM,"&gt;1")</f>
        <v/>
      </c>
      <c r="E258" t="inlineStr">
        <is>
          <t>Bugs reopened more than once</t>
        </is>
      </c>
    </row>
    <row r="259">
      <c r="A259" t="inlineStr">
        <is>
          <t>V12</t>
        </is>
      </c>
      <c r="B259" t="inlineStr">
        <is>
          <t>V12_Escaped_Bugs</t>
        </is>
      </c>
      <c r="C259" t="n">
        <v>17</v>
      </c>
      <c r="D259">
        <f>COUNTIF(raw_data!I:I,TRUE)</f>
        <v/>
      </c>
      <c r="E259" t="inlineStr">
        <is>
          <t>Bugs that escaped to production</t>
        </is>
      </c>
    </row>
    <row r="260">
      <c r="A260" t="inlineStr">
        <is>
          <t>V13</t>
        </is>
      </c>
      <c r="B260" t="inlineStr">
        <is>
          <t>V13_Regression_Bugs</t>
        </is>
      </c>
      <c r="C260" t="n">
        <v>25</v>
      </c>
      <c r="D260">
        <f>COUNTIF(raw_data!H:H,TRUE)</f>
        <v/>
      </c>
      <c r="E260" t="inlineStr">
        <is>
          <t>Regression bugs</t>
        </is>
      </c>
    </row>
    <row r="261">
      <c r="A261" t="inlineStr">
        <is>
          <t>V14</t>
        </is>
      </c>
      <c r="B261" t="inlineStr">
        <is>
          <t>V14_Critical_Bugs</t>
        </is>
      </c>
      <c r="C261" t="n">
        <v>13</v>
      </c>
      <c r="D261">
        <f>COUNTIF(raw_data!D:D,"Critical")</f>
        <v/>
      </c>
      <c r="E261" t="inlineStr">
        <is>
          <t>Critical severity bugs</t>
        </is>
      </c>
    </row>
    <row r="262">
      <c r="A262" t="inlineStr">
        <is>
          <t>V15</t>
        </is>
      </c>
      <c r="B262" t="inlineStr">
        <is>
          <t>V15_High_Severity_Bugs</t>
        </is>
      </c>
      <c r="C262" t="n">
        <v>28</v>
      </c>
      <c r="D262">
        <f>COUNTIF(raw_data!D:D,"High")</f>
        <v/>
      </c>
      <c r="E262" t="inlineStr">
        <is>
          <t>High severity bugs</t>
        </is>
      </c>
    </row>
    <row r="263">
      <c r="A263" t="inlineStr">
        <is>
          <t>V16</t>
        </is>
      </c>
      <c r="B263" t="inlineStr">
        <is>
          <t>V16_Medium_Severity_Bugs</t>
        </is>
      </c>
      <c r="C263" t="n">
        <v>35</v>
      </c>
      <c r="D263">
        <f>COUNTIF(raw_data!D:D,"Medium")</f>
        <v/>
      </c>
      <c r="E263" t="inlineStr">
        <is>
          <t>Medium severity bugs</t>
        </is>
      </c>
    </row>
    <row r="264">
      <c r="A264" t="inlineStr">
        <is>
          <t>V17</t>
        </is>
      </c>
      <c r="B264" t="inlineStr">
        <is>
          <t>V17_Low_Severity_Bugs</t>
        </is>
      </c>
      <c r="C264" t="n">
        <v>24</v>
      </c>
      <c r="D264">
        <f>COUNTIF(raw_data!D:D,"Low")</f>
        <v/>
      </c>
      <c r="E264" t="inlineStr">
        <is>
          <t>Low severity bugs</t>
        </is>
      </c>
    </row>
    <row r="265">
      <c r="A265" t="inlineStr">
        <is>
          <t>V18</t>
        </is>
      </c>
      <c r="B265" t="inlineStr">
        <is>
          <t>V18_P0_Bugs</t>
        </is>
      </c>
      <c r="C265" t="n">
        <v>5</v>
      </c>
      <c r="D265">
        <f>COUNTIF(raw_data!E:E,"P0")</f>
        <v/>
      </c>
      <c r="E265" t="inlineStr">
        <is>
          <t>P0 priority bugs</t>
        </is>
      </c>
    </row>
    <row r="266">
      <c r="A266" t="inlineStr">
        <is>
          <t>V19</t>
        </is>
      </c>
      <c r="B266" t="inlineStr">
        <is>
          <t>V19_P1_Bugs</t>
        </is>
      </c>
      <c r="C266" t="n">
        <v>22</v>
      </c>
      <c r="D266">
        <f>COUNTIF(raw_data!E:E,"P1")</f>
        <v/>
      </c>
      <c r="E266" t="inlineStr">
        <is>
          <t>P1 priority bugs</t>
        </is>
      </c>
    </row>
    <row r="267">
      <c r="A267" t="inlineStr">
        <is>
          <t>V20</t>
        </is>
      </c>
      <c r="B267" t="inlineStr">
        <is>
          <t>V20_P2_Bugs</t>
        </is>
      </c>
      <c r="C267" t="n">
        <v>43</v>
      </c>
      <c r="D267">
        <f>COUNTIF(raw_data!E:E,"P2")</f>
        <v/>
      </c>
      <c r="E267" t="inlineStr">
        <is>
          <t>P2 priority bugs</t>
        </is>
      </c>
    </row>
    <row r="268">
      <c r="A268" t="inlineStr">
        <is>
          <t>V21</t>
        </is>
      </c>
      <c r="B268" t="inlineStr">
        <is>
          <t>V21_Blocking_Bugs</t>
        </is>
      </c>
      <c r="C268" t="n">
        <v>0</v>
      </c>
      <c r="D268">
        <f>CALCULATE(COUNTA(raw_data!A:A)-1, 'Bugs'[IsBlocking] = TRUE)</f>
        <v/>
      </c>
      <c r="E268" t="inlineStr">
        <is>
          <t>Auto-generated from MD: Blocking Bugs</t>
        </is>
      </c>
    </row>
    <row r="269">
      <c r="A269" t="inlineStr">
        <is>
          <t>V22</t>
        </is>
      </c>
      <c r="B269" t="inlineStr">
        <is>
          <t>V22_Customer_Reported_Bugs</t>
        </is>
      </c>
      <c r="C269" t="n">
        <v>17</v>
      </c>
      <c r="D269">
        <f>V12_Escaped_Bugs</f>
        <v/>
      </c>
      <c r="E269" t="inlineStr">
        <is>
          <t>Customer reported bugs (same as escaped)</t>
        </is>
      </c>
    </row>
    <row r="270">
      <c r="A270" t="inlineStr">
        <is>
          <t>V23</t>
        </is>
      </c>
      <c r="B270" t="inlineStr">
        <is>
          <t>V23_Security_Bugs</t>
        </is>
      </c>
      <c r="C270" t="n">
        <v>18</v>
      </c>
      <c r="D270">
        <f>COUNTIF(raw_data!G:G,"Security")</f>
        <v/>
      </c>
      <c r="E270" t="inlineStr">
        <is>
          <t>Security category bugs</t>
        </is>
      </c>
    </row>
    <row r="271">
      <c r="A271" t="inlineStr">
        <is>
          <t>V24</t>
        </is>
      </c>
      <c r="B271" t="inlineStr">
        <is>
          <t>V24_Performance_Bugs</t>
        </is>
      </c>
      <c r="C271" t="n">
        <v>12</v>
      </c>
      <c r="D271">
        <f>COUNTIF(raw_data!G:G,"Performance")</f>
        <v/>
      </c>
      <c r="E271" t="inlineStr">
        <is>
          <t>Performance category bugs</t>
        </is>
      </c>
    </row>
    <row r="272">
      <c r="A272" t="inlineStr">
        <is>
          <t>V25</t>
        </is>
      </c>
      <c r="B272" t="inlineStr">
        <is>
          <t>V25_UI_UX_Bugs</t>
        </is>
      </c>
      <c r="C272" t="n">
        <v>15</v>
      </c>
      <c r="D272">
        <f>COUNTIF(raw_data!G:G,"UI")</f>
        <v/>
      </c>
      <c r="E272" t="inlineStr">
        <is>
          <t>UI category bugs</t>
        </is>
      </c>
    </row>
    <row r="273">
      <c r="A273" t="inlineStr">
        <is>
          <t>V26</t>
        </is>
      </c>
      <c r="B273" t="inlineStr">
        <is>
          <t>V26_Functional_Bugs</t>
        </is>
      </c>
      <c r="C273" t="n">
        <v>0</v>
      </c>
      <c r="D273">
        <f>CALCULATE(COUNTA(raw_data!A:A)-1, 'Bugs'[Category] = "Functional")</f>
        <v/>
      </c>
      <c r="E273" t="inlineStr">
        <is>
          <t>Auto-generated from MD: Functional Bugs</t>
        </is>
      </c>
    </row>
    <row r="274">
      <c r="A274" t="inlineStr">
        <is>
          <t>V27</t>
        </is>
      </c>
      <c r="B274" t="inlineStr">
        <is>
          <t>V27_Data_Bugs</t>
        </is>
      </c>
      <c r="C274" t="n">
        <v>0</v>
      </c>
      <c r="D274">
        <f>CALCULATE(COUNTA(raw_data!A:A)-1, 'Bugs'[Category] = "Data")</f>
        <v/>
      </c>
      <c r="E274" t="inlineStr">
        <is>
          <t>Auto-generated from MD: Data Bugs</t>
        </is>
      </c>
    </row>
    <row r="275">
      <c r="A275" t="inlineStr">
        <is>
          <t>V28</t>
        </is>
      </c>
      <c r="B275" t="inlineStr">
        <is>
          <t>V28_Bugs_by_Module</t>
        </is>
      </c>
      <c r="C275" t="n">
        <v>0</v>
      </c>
      <c r="D275">
        <f>COUNTA(raw_data!A:A)-1</f>
        <v/>
      </c>
      <c r="E275" t="inlineStr">
        <is>
          <t>Auto-generated from MD: Bugs by Module</t>
        </is>
      </c>
    </row>
    <row r="276">
      <c r="A276" t="inlineStr">
        <is>
          <t>V29</t>
        </is>
      </c>
      <c r="B276" t="inlineStr">
        <is>
          <t>V29_Bugs_by_Sprint</t>
        </is>
      </c>
      <c r="C276" t="n">
        <v>0</v>
      </c>
      <c r="D276">
        <f>COUNTA(raw_data!A:A)-1</f>
        <v/>
      </c>
      <c r="E276" t="inlineStr">
        <is>
          <t>Auto-generated from MD: Bugs by Sprint</t>
        </is>
      </c>
    </row>
    <row r="277">
      <c r="A277" t="inlineStr">
        <is>
          <t>V30</t>
        </is>
      </c>
      <c r="B277" t="inlineStr">
        <is>
          <t>V30_Bugs_by_Project</t>
        </is>
      </c>
      <c r="C277" t="n">
        <v>0</v>
      </c>
      <c r="D277">
        <f>COUNTA(raw_data!A:A)-1</f>
        <v/>
      </c>
      <c r="E277" t="inlineStr">
        <is>
          <t>Auto-generated from MD: Bugs by Project</t>
        </is>
      </c>
    </row>
    <row r="278">
      <c r="A278" t="inlineStr">
        <is>
          <t>V31</t>
        </is>
      </c>
      <c r="B278" t="inlineStr">
        <is>
          <t>V31_Bugs_by_Team</t>
        </is>
      </c>
      <c r="C278" t="n">
        <v>0</v>
      </c>
      <c r="D278">
        <f>COUNTA(raw_data!A:A)-1</f>
        <v/>
      </c>
      <c r="E278" t="inlineStr">
        <is>
          <t>Auto-generated from MD: Bugs by Team</t>
        </is>
      </c>
    </row>
    <row r="279">
      <c r="A279" t="inlineStr">
        <is>
          <t>V32</t>
        </is>
      </c>
      <c r="B279" t="inlineStr">
        <is>
          <t>V32_Bugs_by_Developer</t>
        </is>
      </c>
      <c r="C279" t="n">
        <v>0</v>
      </c>
      <c r="D279">
        <f>COUNTA(raw_data!A:A)-1</f>
        <v/>
      </c>
      <c r="E279" t="inlineStr">
        <is>
          <t>Auto-generated from MD: Bugs by Developer</t>
        </is>
      </c>
    </row>
    <row r="280">
      <c r="A280" t="inlineStr">
        <is>
          <t>V33</t>
        </is>
      </c>
      <c r="B280" t="inlineStr">
        <is>
          <t>V33_Bugs_by_Tester</t>
        </is>
      </c>
      <c r="C280" t="n">
        <v>0</v>
      </c>
      <c r="D280">
        <f>COUNTA(raw_data!A:A)-1</f>
        <v/>
      </c>
      <c r="E280" t="inlineStr">
        <is>
          <t>Auto-generated from MD: Bugs by Tester</t>
        </is>
      </c>
    </row>
    <row r="281">
      <c r="A281" t="inlineStr">
        <is>
          <t>V34</t>
        </is>
      </c>
      <c r="B281" t="inlineStr">
        <is>
          <t>V34_Bugs_by_Reporter</t>
        </is>
      </c>
      <c r="C281" t="n">
        <v>0</v>
      </c>
      <c r="D281">
        <f>COUNTA(raw_data!A:A)-1</f>
        <v/>
      </c>
      <c r="E281" t="inlineStr">
        <is>
          <t>Auto-generated from MD: Bugs by Reporter</t>
        </is>
      </c>
    </row>
    <row r="282">
      <c r="A282" t="inlineStr">
        <is>
          <t>V35</t>
        </is>
      </c>
      <c r="B282" t="inlineStr">
        <is>
          <t>V35_Duplicate_Bugs</t>
        </is>
      </c>
      <c r="C282" t="n">
        <v>7</v>
      </c>
      <c r="D282">
        <f>COUNTIF(raw_data!BT:BT,TRUE)</f>
        <v/>
      </c>
      <c r="E282" t="inlineStr">
        <is>
          <t>Duplicate bugs</t>
        </is>
      </c>
    </row>
    <row r="283">
      <c r="A283" t="inlineStr">
        <is>
          <t>V36</t>
        </is>
      </c>
      <c r="B283" t="inlineStr">
        <is>
          <t>V36_Wont_Fix_Bugs</t>
        </is>
      </c>
      <c r="C283" t="n">
        <v>0</v>
      </c>
      <c r="D283">
        <f>COUNTIF(raw_data!BR:BR,"Won't Fix")</f>
        <v/>
      </c>
      <c r="E283" t="inlineStr">
        <is>
          <t>Won't Fix bugs</t>
        </is>
      </c>
    </row>
    <row r="284">
      <c r="A284" t="inlineStr">
        <is>
          <t>V37</t>
        </is>
      </c>
      <c r="B284" t="inlineStr">
        <is>
          <t>V37_Cannot_Reproduce_Bugs</t>
        </is>
      </c>
      <c r="C284" t="n">
        <v>4</v>
      </c>
      <c r="D284">
        <f>COUNTIF(raw_data!BR:BR,"Cannot Reproduce")</f>
        <v/>
      </c>
      <c r="E284" t="inlineStr">
        <is>
          <t>Cannot Reproduce bugs</t>
        </is>
      </c>
    </row>
    <row r="285">
      <c r="A285" t="inlineStr">
        <is>
          <t>V38</t>
        </is>
      </c>
      <c r="B285" t="inlineStr">
        <is>
          <t>V38_Fixed_Bugs</t>
        </is>
      </c>
      <c r="C285" t="n">
        <v>44</v>
      </c>
      <c r="D285">
        <f>COUNTIF(raw_data!BQ:BQ,"Fixed")</f>
        <v/>
      </c>
      <c r="E285" t="inlineStr">
        <is>
          <t>Fixed bugs</t>
        </is>
      </c>
    </row>
    <row r="286">
      <c r="A286" t="inlineStr">
        <is>
          <t>V39</t>
        </is>
      </c>
      <c r="B286" t="inlineStr">
        <is>
          <t>V39_Bugs_in_Production</t>
        </is>
      </c>
      <c r="C286" t="n">
        <v>0</v>
      </c>
      <c r="D286">
        <f>CALCULATE(COUNTA(raw_data!A:A)-1, 'Bugs'[Tags] CONTAINS "Production")</f>
        <v/>
      </c>
      <c r="E286" t="inlineStr">
        <is>
          <t>Auto-generated from MD: Bugs in Production</t>
        </is>
      </c>
    </row>
    <row r="287">
      <c r="A287" t="inlineStr">
        <is>
          <t>V40</t>
        </is>
      </c>
      <c r="B287" t="inlineStr">
        <is>
          <t>V40_Bugs_in_QA</t>
        </is>
      </c>
      <c r="C287" t="n">
        <v>0</v>
      </c>
      <c r="D287">
        <f>CALCULATE(COUNTA(raw_data!A:A)-1, 'Bugs'[Tags] CONTAINS "QA")</f>
        <v/>
      </c>
      <c r="E287" t="inlineStr">
        <is>
          <t>Auto-generated from MD: Bugs in QA</t>
        </is>
      </c>
    </row>
    <row r="288">
      <c r="A288" t="inlineStr">
        <is>
          <t>V41</t>
        </is>
      </c>
      <c r="B288" t="inlineStr">
        <is>
          <t>V41_Backlog_Bugs</t>
        </is>
      </c>
      <c r="C288" t="n">
        <v>0</v>
      </c>
      <c r="D288">
        <f>CALCULATE(COUNTA(raw_data!A:A)-1, raw_data!F:F = "Open")</f>
        <v/>
      </c>
      <c r="E288" t="inlineStr">
        <is>
          <t>Auto-generated from MD: Backlog Bugs</t>
        </is>
      </c>
    </row>
    <row r="289">
      <c r="A289" t="inlineStr">
        <is>
          <t>V42</t>
        </is>
      </c>
      <c r="B289" t="inlineStr">
        <is>
          <t>V42_Bug_Backlog_Size</t>
        </is>
      </c>
      <c r="C289" t="n">
        <v>0</v>
      </c>
      <c r="D289">
        <f>[V41_Backlog_Bugs]</f>
        <v/>
      </c>
      <c r="E289" t="inlineStr">
        <is>
          <t>Auto-generated from MD: Bug Backlog Size</t>
        </is>
      </c>
    </row>
    <row r="290">
      <c r="A290" t="inlineStr">
        <is>
          <t>V43</t>
        </is>
      </c>
      <c r="B290" t="inlineStr">
        <is>
          <t>V43_Invalid_Bugs</t>
        </is>
      </c>
      <c r="C290" t="n">
        <v>0</v>
      </c>
      <c r="D290">
        <f>COUNTIF(raw_data!BR:BR,"Invalid")</f>
        <v/>
      </c>
      <c r="E290" t="inlineStr">
        <is>
          <t>Invalid bugs</t>
        </is>
      </c>
    </row>
    <row r="291">
      <c r="A291" t="inlineStr">
        <is>
          <t>V44</t>
        </is>
      </c>
      <c r="B291" t="inlineStr">
        <is>
          <t>V44_Obsolete_Bugs</t>
        </is>
      </c>
      <c r="C291" t="n">
        <v>1</v>
      </c>
      <c r="D291">
        <f>COUNTIF(raw_data!BR:BR,"Obsolete")</f>
        <v/>
      </c>
      <c r="E291" t="inlineStr">
        <is>
          <t>Obsolete bugs</t>
        </is>
      </c>
    </row>
    <row r="292">
      <c r="A292" t="inlineStr">
        <is>
          <t>V45</t>
        </is>
      </c>
      <c r="B292" t="inlineStr">
        <is>
          <t>V45_Completed_Bugs</t>
        </is>
      </c>
      <c r="C292" t="n">
        <v>21</v>
      </c>
      <c r="D292">
        <f>COUNTIF(raw_data!BR:BR,"Completed")</f>
        <v/>
      </c>
      <c r="E292" t="inlineStr">
        <is>
          <t>Completed bugs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TOP 20 CRITICAL BUGS</t>
        </is>
      </c>
    </row>
    <row r="2">
      <c r="A2" s="15" t="inlineStr">
        <is>
          <t>BugID</t>
        </is>
      </c>
      <c r="B2" s="15" t="inlineStr">
        <is>
          <t>Title</t>
        </is>
      </c>
      <c r="C2" s="15" t="inlineStr">
        <is>
          <t>Severity</t>
        </is>
      </c>
    </row>
    <row r="3">
      <c r="A3" t="n">
        <v>194977</v>
      </c>
      <c r="B3" t="inlineStr">
        <is>
          <t>چک شوددر کجا nameAndnationalcode در جدول entitytableکجا ست میشود؟</t>
        </is>
      </c>
      <c r="C3" t="inlineStr">
        <is>
          <t>Medium</t>
        </is>
      </c>
    </row>
    <row r="4">
      <c r="A4" t="n">
        <v>183712</v>
      </c>
      <c r="B4" t="inlineStr">
        <is>
          <t>گزارش کارتابل یوزر ها در 1382</t>
        </is>
      </c>
      <c r="C4" t="inlineStr">
        <is>
          <t>Low</t>
        </is>
      </c>
    </row>
    <row r="5">
      <c r="A5" t="n">
        <v>186097</v>
      </c>
      <c r="B5" t="inlineStr">
        <is>
          <t>گزارش های کارتابل رییس واحد باگ دارد</t>
        </is>
      </c>
      <c r="C5" t="inlineStr">
        <is>
          <t>Medium</t>
        </is>
      </c>
    </row>
    <row r="6">
      <c r="A6" t="n">
        <v>186218</v>
      </c>
      <c r="B6" t="inlineStr">
        <is>
          <t>گزارش کارتابل یوزر های اداره کل وصول مطالبات باگ دارد</t>
        </is>
      </c>
      <c r="C6" t="inlineStr">
        <is>
          <t>Medium</t>
        </is>
      </c>
    </row>
    <row r="7">
      <c r="A7" t="n">
        <v>187649</v>
      </c>
      <c r="B7" t="inlineStr">
        <is>
          <t>تعداد سند های ، کارتابل یوزر جوان خیلی زیاد است</t>
        </is>
      </c>
      <c r="C7" t="inlineStr">
        <is>
          <t>High</t>
        </is>
      </c>
    </row>
    <row r="8">
      <c r="A8" t="n">
        <v>188959</v>
      </c>
      <c r="B8" t="inlineStr">
        <is>
          <t>کمبو محل مصرف ،در فرم ثبت درخواست ، ایران وسط شهر ها هست</t>
        </is>
      </c>
      <c r="C8" t="inlineStr">
        <is>
          <t>High</t>
        </is>
      </c>
    </row>
    <row r="9">
      <c r="A9" t="n">
        <v>189035</v>
      </c>
      <c r="B9" t="inlineStr">
        <is>
          <t>دکمه ذخیره ویرایش عقد</t>
        </is>
      </c>
      <c r="C9" t="inlineStr">
        <is>
          <t>Critical</t>
        </is>
      </c>
    </row>
    <row r="10">
      <c r="A10" t="n">
        <v>189703</v>
      </c>
      <c r="B10" t="inlineStr">
        <is>
          <t>باگ کاربرگ بررسی</t>
        </is>
      </c>
      <c r="C10" t="inlineStr">
        <is>
          <t>Low</t>
        </is>
      </c>
    </row>
    <row r="11">
      <c r="A11" t="n">
        <v>189796</v>
      </c>
      <c r="B11" t="inlineStr">
        <is>
          <t>کمبو نام مشتری در گزارش نسبت های مالی ، رکورد نال نمایش می هد/گزارش</t>
        </is>
      </c>
      <c r="C11" t="inlineStr">
        <is>
          <t>Medium</t>
        </is>
      </c>
    </row>
    <row r="12">
      <c r="A12" t="n">
        <v>189801</v>
      </c>
      <c r="B12" t="inlineStr">
        <is>
          <t>کمبو نام شخص در گزارش مدیران و سهامداران/شرکا، کورد نال نمایش می دهد/ گزارش</t>
        </is>
      </c>
      <c r="C12" t="inlineStr">
        <is>
          <t>Medium</t>
        </is>
      </c>
    </row>
    <row r="13">
      <c r="A13" t="n">
        <v>189803</v>
      </c>
      <c r="B13" t="inlineStr">
        <is>
          <t>نامرتب بودن ، کمبو واحد کارشناسی / گزارش</t>
        </is>
      </c>
      <c r="C13" t="inlineStr">
        <is>
          <t>Critical</t>
        </is>
      </c>
    </row>
    <row r="14">
      <c r="A14" t="n">
        <v>189805</v>
      </c>
      <c r="B14" t="inlineStr">
        <is>
          <t>عدم نمایش عقد تقسیط - تقسیط ضمانت نامه ، در کمبو نوع عقود/گزارش</t>
        </is>
      </c>
      <c r="C14" t="inlineStr">
        <is>
          <t>Low</t>
        </is>
      </c>
    </row>
    <row r="15">
      <c r="A15" t="n">
        <v>189808</v>
      </c>
      <c r="B15" t="inlineStr">
        <is>
          <t>کمبو شماره مشتری در گزارش نظارتی ، رکورد نال نمایش می دهد/گزارش</t>
        </is>
      </c>
      <c r="C15" t="inlineStr">
        <is>
          <t>Low</t>
        </is>
      </c>
    </row>
    <row r="16">
      <c r="A16" t="n">
        <v>190117</v>
      </c>
      <c r="B16" t="inlineStr">
        <is>
          <t>کمبو مدیریت شعب در گزارشات ، منو سامانه باگ دارد</t>
        </is>
      </c>
      <c r="C16" t="inlineStr">
        <is>
          <t>High</t>
        </is>
      </c>
    </row>
    <row r="17">
      <c r="A17" t="n">
        <v>190121</v>
      </c>
      <c r="B17" t="inlineStr">
        <is>
          <t>اصلاح تایتل گزارش درخواست های وارده به اداره کل اعتبارات</t>
        </is>
      </c>
      <c r="C17" t="inlineStr">
        <is>
          <t>High</t>
        </is>
      </c>
    </row>
    <row r="18">
      <c r="A18" t="n">
        <v>190125</v>
      </c>
      <c r="B18" t="inlineStr">
        <is>
          <t>کمبو معرف در گزارش تسهیلات متفرقه ، رکورد نال نمایش می دهد</t>
        </is>
      </c>
      <c r="C18" t="inlineStr">
        <is>
          <t>High</t>
        </is>
      </c>
    </row>
    <row r="19">
      <c r="A19" t="n">
        <v>190142</v>
      </c>
      <c r="B19" t="inlineStr">
        <is>
          <t>عدم دریافت گزارش مدت زمان توقف کارپرونده وارده به اداره کل اعتبارات</t>
        </is>
      </c>
      <c r="C19" t="inlineStr">
        <is>
          <t>High</t>
        </is>
      </c>
    </row>
    <row r="20">
      <c r="A20" t="n">
        <v>190225</v>
      </c>
      <c r="B20" t="inlineStr">
        <is>
          <t>خالی بودن کمبو واحد کارشناسی در گزارش آمار تجمیعی واحد ها</t>
        </is>
      </c>
      <c r="C20" t="inlineStr">
        <is>
          <t>Medium</t>
        </is>
      </c>
    </row>
    <row r="21">
      <c r="A21" t="n">
        <v>190227</v>
      </c>
      <c r="B21" t="inlineStr">
        <is>
          <t>خالی بودن کمبو در گزارش تفضیلی در تمام مراجع همراه وثایق</t>
        </is>
      </c>
      <c r="C21" t="inlineStr">
        <is>
          <t>Medium</t>
        </is>
      </c>
    </row>
    <row r="22">
      <c r="A22" t="n">
        <v>190229</v>
      </c>
      <c r="B22" t="inlineStr">
        <is>
          <t>خالی بودن کمبو در گزارش درخواست های وارده به اداره کل اعتبارات</t>
        </is>
      </c>
      <c r="C22" t="inlineStr">
        <is>
          <t>High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2025-12-25T21:28:22Z</dcterms:created>
  <dcterms:modified xsi:type="dcterms:W3CDTF">2025-12-25T21:28:22Z</dcterms:modified>
</cp:coreProperties>
</file>