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w_data" sheetId="1" r:id="rId1"/>
    <sheet name="metrics" sheetId="2" r:id="rId2"/>
    <sheet name="calculated_fields" sheetId="3" r:id="rId3"/>
    <sheet name="charts_data" sheetId="4" r:id="rId4"/>
    <sheet name="validation" sheetId="5" r:id="rId5"/>
  </sheets>
  <calcPr calcId="124519"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<sst xmlns="http://schemas.openxmlformats.org/spreadsheetml/2006/main" count="3425" uniqueCount="1187">
  <si>
    <t>BugID</t>
  </si>
  <si>
    <t>Title</t>
  </si>
  <si>
    <t>Description</t>
  </si>
  <si>
    <t>Severity</t>
  </si>
  <si>
    <t>Priority</t>
  </si>
  <si>
    <t>State</t>
  </si>
  <si>
    <t>Category</t>
  </si>
  <si>
    <t>IsRegression</t>
  </si>
  <si>
    <t>is_escaped</t>
  </si>
  <si>
    <t>ProjectID</t>
  </si>
  <si>
    <t>ProjectName</t>
  </si>
  <si>
    <t>TeamName</t>
  </si>
  <si>
    <t>TeamID</t>
  </si>
  <si>
    <t>ModuleID</t>
  </si>
  <si>
    <t>ModuleName</t>
  </si>
  <si>
    <t>SprintName</t>
  </si>
  <si>
    <t>SprintID</t>
  </si>
  <si>
    <t>Tags</t>
  </si>
  <si>
    <t>ExternalTicketID</t>
  </si>
  <si>
    <t>Comments</t>
  </si>
  <si>
    <t>ReporterName</t>
  </si>
  <si>
    <t>ReporterID</t>
  </si>
  <si>
    <t>AssigneeName</t>
  </si>
  <si>
    <t>AssigneeID</t>
  </si>
  <si>
    <t>VerifierName</t>
  </si>
  <si>
    <t>VerifierID</t>
  </si>
  <si>
    <t>ResolverName</t>
  </si>
  <si>
    <t>ResolverID</t>
  </si>
  <si>
    <t>CreatedDate</t>
  </si>
  <si>
    <t>TriageDate</t>
  </si>
  <si>
    <t>AssignedDate</t>
  </si>
  <si>
    <t>StartedDate</t>
  </si>
  <si>
    <t>InProgressDate</t>
  </si>
  <si>
    <t>ReadyForRetestDate</t>
  </si>
  <si>
    <t>ResolvedDate</t>
  </si>
  <si>
    <t>VerifiedDate</t>
  </si>
  <si>
    <t>DoneDate</t>
  </si>
  <si>
    <t>ClosedDate</t>
  </si>
  <si>
    <t>LastModifiedDate</t>
  </si>
  <si>
    <t>DueDate</t>
  </si>
  <si>
    <t>ReopenCount</t>
  </si>
  <si>
    <t>FirstReopenDate</t>
  </si>
  <si>
    <t>LastReopenDate</t>
  </si>
  <si>
    <t>PreviousState</t>
  </si>
  <si>
    <t>StateTransitionCount</t>
  </si>
  <si>
    <t>TriageDurationHrs</t>
  </si>
  <si>
    <t>ActiveDurationHrs</t>
  </si>
  <si>
    <t>InProgressDurationHrs</t>
  </si>
  <si>
    <t>ReadyForRetestDurationHrs</t>
  </si>
  <si>
    <t>StateHistory</t>
  </si>
  <si>
    <t>AssigneeChangeCount</t>
  </si>
  <si>
    <t>StateChangeCount</t>
  </si>
  <si>
    <t>FixAttempts</t>
  </si>
  <si>
    <t>AnalysisEffortHrs</t>
  </si>
  <si>
    <t>DevEffortHrs</t>
  </si>
  <si>
    <t>FixEffortHrs</t>
  </si>
  <si>
    <t>TestEffortHrs</t>
  </si>
  <si>
    <t>ReopenEffortHrs</t>
  </si>
  <si>
    <t>TotalEffortHrs</t>
  </si>
  <si>
    <t>EstimatedEffortHrs</t>
  </si>
  <si>
    <t>LeadTimeHrs</t>
  </si>
  <si>
    <t>CycleTimeHrs</t>
  </si>
  <si>
    <t>ResponseTimeHrs</t>
  </si>
  <si>
    <t>WaitTimeHrs</t>
  </si>
  <si>
    <t>ActiveWorkTimeHrs</t>
  </si>
  <si>
    <t>AgeDays</t>
  </si>
  <si>
    <t>RootCause</t>
  </si>
  <si>
    <t>Resolution</t>
  </si>
  <si>
    <t>CloseReason</t>
  </si>
  <si>
    <t>TestCaseID</t>
  </si>
  <si>
    <t>IsDuplicate</t>
  </si>
  <si>
    <t>DuplicateOfBugID</t>
  </si>
  <si>
    <t>RetestPassCount</t>
  </si>
  <si>
    <t>RetestFailCount</t>
  </si>
  <si>
    <t>چک شوددر کجا nameAndnationalcode در جدول entitytableکجا ست میشود؟</t>
  </si>
  <si>
    <t>گزارش کارتابل یوزر ها در 1382</t>
  </si>
  <si>
    <t>گزارش های کارتابل رییس واحد باگ دارد</t>
  </si>
  <si>
    <t>گزارش کارتابل یوزر های اداره کل وصول مطالبات باگ دارد</t>
  </si>
  <si>
    <t>تعداد سند های ، کارتابل یوزر جوان خیلی زیاد است</t>
  </si>
  <si>
    <t>کمبو محل مصرف ،در فرم ثبت درخواست ، ایران وسط شهر ها هست</t>
  </si>
  <si>
    <t>دکمه ذخیره ویرایش عقد</t>
  </si>
  <si>
    <t>باگ کاربرگ بررسی</t>
  </si>
  <si>
    <t>کمبو نام مشتری در گزارش نسبت های مالی ، رکورد نال نمایش می هد/گزارش</t>
  </si>
  <si>
    <t>کمبو نام شخص در گزارش مدیران و سهامداران/شرکا، کورد نال نمایش می دهد/ گزارش</t>
  </si>
  <si>
    <t>نامرتب بودن ، کمبو واحد کارشناسی / گزارش</t>
  </si>
  <si>
    <t>عدم نمایش عقد تقسیط - تقسیط ضمانت نامه ، در کمبو نوع عقود/گزارش</t>
  </si>
  <si>
    <t>کمبو شماره مشتری در گزارش نظارتی ، رکورد نال نمایش می دهد/گزارش</t>
  </si>
  <si>
    <t>کمبو مدیریت شعب در گزارشات ، منو سامانه باگ دارد</t>
  </si>
  <si>
    <t>اصلاح تایتل گزارش درخواست های وارده به اداره کل اعتبارات</t>
  </si>
  <si>
    <t>کمبو معرف در گزارش تسهیلات متفرقه ، رکورد نال نمایش می دهد</t>
  </si>
  <si>
    <t>عدم دریافت گزارش مدت زمان توقف کارپرونده وارده به اداره کل اعتبارات</t>
  </si>
  <si>
    <t>خالی بودن کمبو واحد کارشناسی در گزارش آمار تجمیعی واحد ها</t>
  </si>
  <si>
    <t>خالی بودن کمبو در گزارش تفضیلی در تمام مراجع همراه وثایق</t>
  </si>
  <si>
    <t>خالی بودن کمبو در گزارش درخواست های وارده به اداره کل اعتبارات</t>
  </si>
  <si>
    <t>خالی بودن کمبو واحد کارشناسی در گزارش گزارش محرک های هزینه یابی</t>
  </si>
  <si>
    <t>خالی بودن کمبو ر گزارش آمار مصوبات صادره</t>
  </si>
  <si>
    <t>خالی بودن کمبو واحد کارشناسی در گزارش آمارتعداد پیشنهادات و مصوبات صادره</t>
  </si>
  <si>
    <t>خالی بودن کمبو در گزارش آماری تسهیلات به تفکیک نوع عقود</t>
  </si>
  <si>
    <t>خالی بودن کمبو در گزارش تعدادپرونده های وارده کارشناسان اداره کل اعتبارات</t>
  </si>
  <si>
    <t>وجود ردیف خالی در کمبو نام مشتری در گزارش خلاصه پرونده</t>
  </si>
  <si>
    <t>خالی بودن کمبو درگزارش درخواست های وارده مصوبات صادره</t>
  </si>
  <si>
    <t>خالی بودن کمبو درگزارش مهلت ثبت مصوبه</t>
  </si>
  <si>
    <t>خالی بودن کمبو در گزارش مدت زمان توقف کارپرونده وارده به اداره کل اعتبارات</t>
  </si>
  <si>
    <t>حذف مشتری های خراب ، از کمبو مشتری در گزارشات</t>
  </si>
  <si>
    <t>با ثبت بازه زمانی یکساله در گزارشات ، باز پیغام بازه یکساله می دهد</t>
  </si>
  <si>
    <t>گزارش صورتهای مالی پایان دوره مشتری ، خالی نمایش داده می شود</t>
  </si>
  <si>
    <t>گزینه های مطالبات از کمبو مروبطه حذف گردد</t>
  </si>
  <si>
    <t>کمبو اقدام کننده در فرم انتخاب کارشناس</t>
  </si>
  <si>
    <t>باگ های ویرایش عقود به جز حد و سقف و مشارکتی</t>
  </si>
  <si>
    <t>دکمه تایید و ادامه در فرم ورود اطلاعات پیشنهاد شعبه پیغام خطا می دهد</t>
  </si>
  <si>
    <t>فرم تکمیل اطلاعات/تب نظریه کارشناسی/فیلد پرونده های الکترونیک</t>
  </si>
  <si>
    <t>رفع باگ / بررسی کاستومر هایی که فیلد Updatefw = 225135</t>
  </si>
  <si>
    <t>حد و سقف اعتباری مشارکت مدنی ویژه &gt;کمبو از تاریخ صدور/تصویب&gt; اجباریه ولی ستاره نداره</t>
  </si>
  <si>
    <t>دکمه تایید و ارجاع مدیریت شعب در فرم بررسی علت برگشت به مدیریت شعب پیغام خطا می دهد</t>
  </si>
  <si>
    <t>تاریخچه کمیته اعتباری منطقه ، تغییرات پرونده را تکراری نمایش می دهد</t>
  </si>
  <si>
    <t>وجود ردیف خالی در کمبو شرکت مادر در فرم ویرایش</t>
  </si>
  <si>
    <t>داپلیکیت شدن سند در یوزر صندوق</t>
  </si>
  <si>
    <t>بعداز حذف تعدادی سهامداراز لیست ، امکان ویرایش سهامدار موجود ، نمی باشد</t>
  </si>
  <si>
    <t>عدم تغییر پراگرس بار در کمیته اعتباری منطقه</t>
  </si>
  <si>
    <t>بدون در نظر گرفتن مرجع تصمیم گیری در اداره کل ( صندوق شکوفایی) امضا شد</t>
  </si>
  <si>
    <t>فراخوانی اطلاعات مشتری در فرم شناسایی مجدد مشتری ،پیغام خطا می دهد</t>
  </si>
  <si>
    <t>خارج شدن سند از کارتابل کاربر، بعدازکلیک دکمه تایید در فرم ورود اطلاعات پیشنهاد</t>
  </si>
  <si>
    <t>با باز شدن فرم انتخاب پیشنهاد جهت اصلاح ، پیغام خطا می دهد</t>
  </si>
  <si>
    <t>عدم شناسایی کد ملی ، مشتری ثبت شده قدیمی</t>
  </si>
  <si>
    <t>اصلاح متن پیغام در لینک کپی اطلاعات پیشنهادبا انتخاب چند رهگیری</t>
  </si>
  <si>
    <t>نکست شدن سند به فرم تکمیل اطلاعات ، بدون ثبت درخواست تسهیلاتی /غیر تسهیلاتی</t>
  </si>
  <si>
    <t>نمایشی بودن فرم ویرایش در عقد مشارکتی</t>
  </si>
  <si>
    <t>اتچ شدن فایل پی دی اف پیش نویس در فرم تکمیل اطلاعات</t>
  </si>
  <si>
    <t>کمبو شعبه اعتباری کد اول و دوم</t>
  </si>
  <si>
    <t>اعمال پیشنهاد مرتبط در فرم تکمیل اطلاعات ، پیغام خطا می دهد</t>
  </si>
  <si>
    <t>وجود رکورد نال درکنار اسم مشتری در کمبو مشتری</t>
  </si>
  <si>
    <t>کمبو مالک مربوطه در تغییر املاک/ درج تغییرات شرکت ، رکورد نال نمایش میدهد</t>
  </si>
  <si>
    <t>امکان ثبت خود فرد به عنوان شریک خودش در مشتریان حقیقی</t>
  </si>
  <si>
    <t>خالی بودن زیر بخش گزینه های ، منو سامانه</t>
  </si>
  <si>
    <t>در کمبو شماره شناسنامه و شماره ملی ، حروف هم می توان وارد کرد</t>
  </si>
  <si>
    <t>بدون در نظر گرفتن مرجع تصویب ، با اظهار نظر ارجاع به مراجع بالاتر سند نکست می شود</t>
  </si>
  <si>
    <t>خطای دکمه امضا در کمیته اعتباری نفر دوم کمیته</t>
  </si>
  <si>
    <t>عدم نمایش جزئیات نسخه جاری</t>
  </si>
  <si>
    <t>دکمه تایید و ادامه در فرم انتخاب پیشنهاد جهت اصلاح پیغام متن پیشنهاد اصلاحی را می دهد</t>
  </si>
  <si>
    <t>بعداز ذخیره، درصد سهام و تعداد سهام در لینک سهامداران تغییر می کند</t>
  </si>
  <si>
    <t>ستاره دار نبودن ، فیلد های اجباری در فرم ثبت و ویرایش شخص حقوقی / حقیقی</t>
  </si>
  <si>
    <t>در تمامی گزارشات در صورتی که جداول دیتایی نداشتند ، نمایش داده نشوند</t>
  </si>
  <si>
    <t>تکرار چرخه امضا بین اعضای کمیته اول و دوم و عدم ارسال به نفر سوم</t>
  </si>
  <si>
    <t>لینک ویرایش عقد ، در فرم درخواست، دیتا راذخیره نمیکند وخالی نمایش می هد</t>
  </si>
  <si>
    <t>با بازگشت سند از مشاهده/ ابلاغیه به کارشناس منطقه،گزارشات پیغام خطا در فرایند می دهد</t>
  </si>
  <si>
    <t>ارور هنگام کلیک روی دکمه ذخیره بیرونی پس از ویرایش درخواست</t>
  </si>
  <si>
    <t>عقد رفاهی-کارت اعتباری&gt;فیلد "نرخ سود" اجباری نیست ولی در صفحه درخواست با کلیک روی دکمه "اتمام ثبت عقود درخواست و بازگشت به پیشنهاد"&gt;به ارور اجباری بودنش میخوریم</t>
  </si>
  <si>
    <t>در فرم ثبت اطلاعات شرکا، فیلد کد ملی اجباری نیست و منجر به عدم اضافه شدن شخص به لیست می‌شود</t>
  </si>
  <si>
    <t>ویرایش اطلاعات مشتری / لینک مجوزات پس از ثبت مجوز، دیتا پاک میشود</t>
  </si>
  <si>
    <t>فرم ثبت درخواست و دریافت اطلاعات از سامانه متمرکز / باگ وب سرویس</t>
  </si>
  <si>
    <t>دکمه امضا در کمیته منطقه ، پیغام علت ارسال به مرجع بالاتر می دهد</t>
  </si>
  <si>
    <t>کمبو مصوبات مرتبط ، رکورد نال نمایش می دهد</t>
  </si>
  <si>
    <t>دکمه های دریافت گزارش پیغام خطا می دهد</t>
  </si>
  <si>
    <t>تغییر مدیران در فرم درج تغییرات شرکت ، گزینه ویرایش ندارد</t>
  </si>
  <si>
    <t>تغییرسرمایه و سهامدار و تغییر نشانه ، گزینه ویرایش ندارد</t>
  </si>
  <si>
    <t>اعمال نشدن تغییرات بعداز ویرایش ، در گرید درخواست</t>
  </si>
  <si>
    <t>مرتب سازی تایتل ، کمبو بخش اقتصادی در فرم ویرایش اططلاعات مشتری</t>
  </si>
  <si>
    <t>ادیتبل بودن و اضافی بودن ، کمبو کد اعتباری اول</t>
  </si>
  <si>
    <t>پاک شدن مجموع سهامدار ، بعداز دکمه ذخیره فرم ویرایش مشتری</t>
  </si>
  <si>
    <t>عدم اعمال و نمایش ،شماره مشتری ویرایش شده ، در پنل خلاصه مشتری</t>
  </si>
  <si>
    <t>بعداز انتخاب مشتری قدیمی در فرم ثبت گزارش نویسی جدید، دیتا سیو ودرگرید کارتابل کاربر نمایش داده می شود</t>
  </si>
  <si>
    <t>نباید بتوان یک شناسه ملی را برای دو مشتری ثبت کرد</t>
  </si>
  <si>
    <t>ثبت شماره مشتری تکراری در فرم ویرایش ،بعداز کلیک بر دکمه انصراف و ذخیره</t>
  </si>
  <si>
    <t>دکمه تایید و ادامه در فرم نمایش اطلاعات مشتری ، پیغام خطا می دهد</t>
  </si>
  <si>
    <t>دکمه تایید در فرم ثبت گزارش نویسی ، پیغام شماره مشتری ، خود مشتری انتخابی را می دهد</t>
  </si>
  <si>
    <t>فیلد نوع مالکیت در فرم ثبت شخص حقوقی اجباری شود</t>
  </si>
  <si>
    <t>سندازفرم ورود اطلاعات دریافتی پیشنهاد شعبه به تکمیل ،باتایم طولانی وپیغام خطانکست می شود</t>
  </si>
  <si>
    <t>نمایش اشتباه پیغام شماره پیشنهاد شعبه در اتوماسیون قبلی ثبت شده است</t>
  </si>
  <si>
    <t>نمایش اشتباه پیغام درخواست مورد نظر را انتخاب کنید</t>
  </si>
  <si>
    <t>شریک جدید بعد از ذخیره به لیست کمبوی نام شخص/شرکت اضافه نمی‌شود</t>
  </si>
  <si>
    <t>ادیتبل نبودن فیلد نوع صورت مالی، در فرم ثبت صورت مالی</t>
  </si>
  <si>
    <t>عدم نمایش صورت مالی جدیدثبت شده ، در گزارش کاربرگ برسی</t>
  </si>
  <si>
    <t>دکمه ذخیره در لینک کپی اطلاعات از سایر پیشنهادات ، پیغام خطا می دهد</t>
  </si>
  <si>
    <t>دکمه امضا در کمیته اداره کل اعتبارات پیغام خطا می د هد</t>
  </si>
  <si>
    <t>تکمیل توضیحات: چک شوددر کجا nameAndnationalcode در جدول entitytab...</t>
  </si>
  <si>
    <t>تکمیل توضیحات: گزارش کارتابل یوزر ها در 1382...</t>
  </si>
  <si>
    <t>تکمیل توضیحات: گزارش های کارتابل رییس واحد باگ دارد...</t>
  </si>
  <si>
    <t>تکمیل توضیحات: گزارش کارتابل یوزر های اداره کل وصول مطالبات باگ د...</t>
  </si>
  <si>
    <t>تکمیل توضیحات: تعداد سند های ، کارتابل یوزر جوان خیلی زیاد است...</t>
  </si>
  <si>
    <t>تکمیل توضیحات: کمبو محل مصرف ،در فرم ثبت درخواست ، ایران وسط شهر ...</t>
  </si>
  <si>
    <t>تکمیل توضیحات: دکمه ذخیره ویرایش عقد...</t>
  </si>
  <si>
    <t>تکمیل توضیحات: باگ کاربرگ بررسی...</t>
  </si>
  <si>
    <t>تکمیل توضیحات: کمبو نام مشتری در گزارش نسبت های مالی ، رکورد نال ...</t>
  </si>
  <si>
    <t>تکمیل توضیحات: کمبو نام شخص در گزارش مدیران و سهامداران/شرکا، کور...</t>
  </si>
  <si>
    <t>تکمیل توضیحات: نامرتب بودن ، کمبو واحد کارشناسی / گزارش...</t>
  </si>
  <si>
    <t>تکمیل توضیحات: عدم نمایش عقد تقسیط - تقسیط ضمانت نامه ، در کمبو ن...</t>
  </si>
  <si>
    <t>تکمیل توضیحات: کمبو شماره مشتری در گزارش نظارتی ، رکورد نال نمایش...</t>
  </si>
  <si>
    <t>تکمیل توضیحات: کمبو مدیریت شعب در گزارشات ، منو سامانه باگ دارد...</t>
  </si>
  <si>
    <t>تکمیل توضیحات: اصلاح تایتل گزارش درخواست های وارده به اداره کل اع...</t>
  </si>
  <si>
    <t>تکمیل توضیحات: کمبو معرف در گزارش تسهیلات متفرقه ، رکورد نال نمای...</t>
  </si>
  <si>
    <t>تکمیل توضیحات: عدم دریافت گزارش مدت زمان توقف کارپرونده وارده به ...</t>
  </si>
  <si>
    <t>تکمیل توضیحات: خالی بودن کمبو واحد کارشناسی در گزارش آمار تجمیعی ...</t>
  </si>
  <si>
    <t>تکمیل توضیحات: خالی بودن کمبو در گزارش تفضیلی در تمام مراجع همراه...</t>
  </si>
  <si>
    <t>تکمیل توضیحات: خالی بودن کمبو در گزارش درخواست های وارده به اداره...</t>
  </si>
  <si>
    <t>تکمیل توضیحات: خالی بودن کمبو واحد کارشناسی در گزارش گزارش محرک ه...</t>
  </si>
  <si>
    <t>تکمیل توضیحات: خالی بودن کمبو ر گزارش آمار مصوبات صادره...</t>
  </si>
  <si>
    <t>تکمیل توضیحات: خالی بودن کمبو واحد کارشناسی در گزارش آمارتعداد پی...</t>
  </si>
  <si>
    <t>تکمیل توضیحات: خالی بودن کمبو در گزارش آماری تسهیلات به تفکیک نوع...</t>
  </si>
  <si>
    <t>تکمیل توضیحات: خالی بودن کمبو در گزارش تعدادپرونده های وارده کارش...</t>
  </si>
  <si>
    <t>تکمیل توضیحات: وجود ردیف خالی در کمبو نام مشتری در گزارش خلاصه پر...</t>
  </si>
  <si>
    <t>تکمیل توضیحات: خالی بودن کمبو درگزارش درخواست های وارده مصوبات صا...</t>
  </si>
  <si>
    <t>تکمیل توضیحات: خالی بودن کمبو درگزارش مهلت ثبت مصوبه...</t>
  </si>
  <si>
    <t>تکمیل توضیحات: خالی بودن کمبو در گزارش مدت زمان توقف کارپرونده وا...</t>
  </si>
  <si>
    <t>تکمیل توضیحات: حذف مشتری های خراب ، از کمبو مشتری در گزارشات...</t>
  </si>
  <si>
    <t>تکمیل توضیحات: با ثبت بازه زمانی یکساله در گزارشات ، باز پیغام با...</t>
  </si>
  <si>
    <t>تکمیل توضیحات: گزارش صورتهای مالی پایان دوره مشتری ، خالی نمایش د...</t>
  </si>
  <si>
    <t>تکمیل توضیحات: گزینه های مطالبات از کمبو مروبطه حذف گردد...</t>
  </si>
  <si>
    <t>تکمیل توضیحات: کمبو اقدام کننده در فرم انتخاب کارشناس...</t>
  </si>
  <si>
    <t>تکمیل توضیحات: باگ های ویرایش عقود به جز حد و سقف و مشارکتی...</t>
  </si>
  <si>
    <t>تکمیل توضیحات: دکمه تایید و ادامه در فرم ورود اطلاعات پیشنهاد شعب...</t>
  </si>
  <si>
    <t>تکمیل توضیحات: فرم تکمیل اطلاعات/تب نظریه کارشناسی/فیلد پرونده ها...</t>
  </si>
  <si>
    <t>تکمیل توضیحات: رفع باگ / بررسی کاستومر هایی که فیلد Updatefw = 22...</t>
  </si>
  <si>
    <t>تکمیل توضیحات: حد و سقف اعتباری مشارکت مدنی ویژه &gt;کمبو از تاریخ ص...</t>
  </si>
  <si>
    <t>تکمیل توضیحات: دکمه تایید و ارجاع مدیریت شعب در فرم بررسی علت برگ...</t>
  </si>
  <si>
    <t>تکمیل توضیحات: تاریخچه کمیته اعتباری منطقه ، تغییرات پرونده را تک...</t>
  </si>
  <si>
    <t>تکمیل توضیحات: وجود ردیف خالی در کمبو شرکت مادر در فرم ویرایش...</t>
  </si>
  <si>
    <t>تکمیل توضیحات: داپلیکیت شدن سند در یوزر صندوق...</t>
  </si>
  <si>
    <t>تکمیل توضیحات: بعداز حذف تعدادی سهامداراز لیست ، امکان ویرایش سها...</t>
  </si>
  <si>
    <t>تکمیل توضیحات: عدم تغییر پراگرس بار در کمیته اعتباری منطقه...</t>
  </si>
  <si>
    <t>تکمیل توضیحات: بدون در نظر گرفتن مرجع تصمیم گیری در اداره کل ( صن...</t>
  </si>
  <si>
    <t>تکمیل توضیحات: فراخوانی اطلاعات مشتری در فرم شناسایی مجدد مشتری ،...</t>
  </si>
  <si>
    <t>تکمیل توضیحات: خارج شدن سند از کارتابل کاربر، بعدازکلیک دکمه تایی...</t>
  </si>
  <si>
    <t>تکمیل توضیحات: با باز شدن فرم انتخاب پیشنهاد جهت اصلاح ، پیغام خط...</t>
  </si>
  <si>
    <t>تکمیل توضیحات: عدم شناسایی کد ملی ، مشتری ثبت شده قدیمی...</t>
  </si>
  <si>
    <t>تکمیل توضیحات: اصلاح متن پیغام در لینک کپی اطلاعات پیشنهادبا انتخ...</t>
  </si>
  <si>
    <t>تکمیل توضیحات: نکست شدن سند به فرم تکمیل اطلاعات ، بدون ثبت درخوا...</t>
  </si>
  <si>
    <t>تکمیل توضیحات: نمایشی بودن فرم ویرایش در عقد مشارکتی...</t>
  </si>
  <si>
    <t>تکمیل توضیحات: اتچ شدن فایل پی دی اف پیش نویس در فرم تکمیل اطلاعا...</t>
  </si>
  <si>
    <t>تکمیل توضیحات: کمبو شعبه اعتباری کد اول و دوم...</t>
  </si>
  <si>
    <t>تکمیل توضیحات: اعمال پیشنهاد مرتبط در فرم تکمیل اطلاعات ، پیغام خ...</t>
  </si>
  <si>
    <t>تکمیل توضیحات: وجود رکورد نال درکنار اسم مشتری در کمبو مشتری...</t>
  </si>
  <si>
    <t>تکمیل توضیحات: کمبو مالک مربوطه در تغییر املاک/ درج تغییرات شرکت ...</t>
  </si>
  <si>
    <t>تکمیل توضیحات: امکان ثبت خود فرد به عنوان شریک خودش در مشتریان حق...</t>
  </si>
  <si>
    <t>تکمیل توضیحات: خالی بودن زیر بخش گزینه های ، منو سامانه...</t>
  </si>
  <si>
    <t>تکمیل توضیحات: در کمبو شماره شناسنامه و شماره ملی ، حروف هم می تو...</t>
  </si>
  <si>
    <t>تکمیل توضیحات: بدون در نظر گرفتن مرجع تصویب ، با اظهار نظر ارجاع ...</t>
  </si>
  <si>
    <t>تکمیل توضیحات: خطای دکمه امضا در کمیته اعتباری نفر دوم کمیته...</t>
  </si>
  <si>
    <t>تکمیل توضیحات: عدم نمایش جزئیات نسخه جاری...</t>
  </si>
  <si>
    <t>تکمیل توضیحات: دکمه تایید و ادامه در فرم انتخاب پیشنهاد جهت اصلاح...</t>
  </si>
  <si>
    <t>تکمیل توضیحات: بعداز ذخیره، درصد سهام و تعداد سهام در لینک سهامدا...</t>
  </si>
  <si>
    <t>تکمیل توضیحات: ستاره دار نبودن ، فیلد های اجباری در فرم ثبت و ویر...</t>
  </si>
  <si>
    <t>تکمیل توضیحات: در تمامی گزارشات در صورتی که جداول دیتایی نداشتند ...</t>
  </si>
  <si>
    <t>تکمیل توضیحات: تکرار چرخه امضا بین اعضای کمیته اول و دوم و عدم ار...</t>
  </si>
  <si>
    <t>تکمیل توضیحات: لینک ویرایش عقد ، در فرم درخواست، دیتا راذخیره نمی...</t>
  </si>
  <si>
    <t>تکمیل توضیحات: با بازگشت سند از مشاهده/ ابلاغیه به کارشناس منطقه،...</t>
  </si>
  <si>
    <t>تکمیل توضیحات: ارور هنگام کلیک روی دکمه ذخیره بیرونی پس از ویرایش...</t>
  </si>
  <si>
    <t>تکمیل توضیحات: عقد رفاهی-کارت اعتباری&gt;فیلد "نرخ سود" اجباری نیست ...</t>
  </si>
  <si>
    <t>تکمیل توضیحات: در فرم ثبت اطلاعات شرکا، فیلد کد ملی اجباری نیست و...</t>
  </si>
  <si>
    <t>تکمیل توضیحات: ویرایش اطلاعات مشتری / لینک مجوزات پس از ثبت مجوز،...</t>
  </si>
  <si>
    <t>تکمیل توضیحات: فرم ثبت درخواست و دریافت اطلاعات از سامانه متمرکز ...</t>
  </si>
  <si>
    <t>تکمیل توضیحات: دکمه امضا در کمیته منطقه ، پیغام علت ارسال به مرجع...</t>
  </si>
  <si>
    <t>تکمیل توضیحات: کمبو مصوبات مرتبط ، رکورد نال نمایش می دهد...</t>
  </si>
  <si>
    <t>تکمیل توضیحات: دکمه های دریافت گزارش پیغام خطا می دهد...</t>
  </si>
  <si>
    <t>تکمیل توضیحات: تغییر مدیران در فرم درج تغییرات شرکت ، گزینه ویرای...</t>
  </si>
  <si>
    <t>تکمیل توضیحات: تغییرسرمایه و سهامدار و تغییر نشانه ، گزینه ویرایش...</t>
  </si>
  <si>
    <t>تکمیل توضیحات: اعمال نشدن تغییرات بعداز ویرایش ، در گرید درخواست...</t>
  </si>
  <si>
    <t>تکمیل توضیحات: مرتب سازی تایتل ، کمبو بخش اقتصادی در فرم ویرایش ا...</t>
  </si>
  <si>
    <t>تکمیل توضیحات: ادیتبل بودن و اضافی بودن ، کمبو کد اعتباری اول...</t>
  </si>
  <si>
    <t>تکمیل توضیحات: پاک شدن مجموع سهامدار ، بعداز دکمه ذخیره فرم ویرای...</t>
  </si>
  <si>
    <t>تکمیل توضیحات: عدم اعمال و نمایش ،شماره مشتری ویرایش شده ، در پنل...</t>
  </si>
  <si>
    <t>تکمیل توضیحات: بعداز انتخاب مشتری قدیمی در فرم ثبت گزارش نویسی جد...</t>
  </si>
  <si>
    <t>تکمیل توضیحات: نباید بتوان یک شناسه ملی را برای دو مشتری ثبت کرد...</t>
  </si>
  <si>
    <t>تکمیل توضیحات: ثبت شماره مشتری تکراری در فرم ویرایش ،بعداز کلیک ب...</t>
  </si>
  <si>
    <t>تکمیل توضیحات: دکمه تایید و ادامه در فرم نمایش اطلاعات مشتری ، پی...</t>
  </si>
  <si>
    <t>تکمیل توضیحات: دکمه تایید در فرم ثبت گزارش نویسی ، پیغام شماره مش...</t>
  </si>
  <si>
    <t>تکمیل توضیحات: فیلد نوع مالکیت در فرم ثبت شخص حقوقی اجباری شود...</t>
  </si>
  <si>
    <t>تکمیل توضیحات: سندازفرم ورود اطلاعات دریافتی پیشنهاد شعبه به تکمی...</t>
  </si>
  <si>
    <t>تکمیل توضیحات: نمایش اشتباه پیغام شماره پیشنهاد شعبه در اتوماسیون...</t>
  </si>
  <si>
    <t>تکمیل توضیحات: نمایش اشتباه پیغام درخواست مورد نظر را انتخاب کنید...</t>
  </si>
  <si>
    <t>تکمیل توضیحات: شریک جدید بعد از ذخیره به لیست کمبوی نام شخص/شرکت ...</t>
  </si>
  <si>
    <t>تکمیل توضیحات: ادیتبل نبودن فیلد نوع صورت مالی، در فرم ثبت صورت م...</t>
  </si>
  <si>
    <t>تکمیل توضیحات: عدم نمایش صورت مالی جدیدثبت شده ، در گزارش کاربرگ ...</t>
  </si>
  <si>
    <t>تکمیل توضیحات: دکمه ذخیره در لینک کپی اطلاعات از سایر پیشنهادات ،...</t>
  </si>
  <si>
    <t>تکمیل توضیحات: دکمه امضا در کمیته اداره کل اعتبارات پیغام خطا می ...</t>
  </si>
  <si>
    <t>Medium</t>
  </si>
  <si>
    <t>Low</t>
  </si>
  <si>
    <t>High</t>
  </si>
  <si>
    <t>Critical</t>
  </si>
  <si>
    <t>P0</t>
  </si>
  <si>
    <t>P2</t>
  </si>
  <si>
    <t>P3</t>
  </si>
  <si>
    <t>P1</t>
  </si>
  <si>
    <t>Done</t>
  </si>
  <si>
    <t>Triage</t>
  </si>
  <si>
    <t>Active</t>
  </si>
  <si>
    <t>Closed</t>
  </si>
  <si>
    <t>Open</t>
  </si>
  <si>
    <t>Resolved</t>
  </si>
  <si>
    <t>In Progress</t>
  </si>
  <si>
    <t>Ready for Retest</t>
  </si>
  <si>
    <t>Data</t>
  </si>
  <si>
    <t>Security</t>
  </si>
  <si>
    <t>Integration</t>
  </si>
  <si>
    <t>Performance</t>
  </si>
  <si>
    <t>Backend</t>
  </si>
  <si>
    <t>UI</t>
  </si>
  <si>
    <t>PRJ-001</t>
  </si>
  <si>
    <t>Dem System</t>
  </si>
  <si>
    <t>Team Gamma</t>
  </si>
  <si>
    <t>Team Beta</t>
  </si>
  <si>
    <t>Team Delta</t>
  </si>
  <si>
    <t>Team Alpha</t>
  </si>
  <si>
    <t>T03</t>
  </si>
  <si>
    <t>T02</t>
  </si>
  <si>
    <t>T04</t>
  </si>
  <si>
    <t>T01</t>
  </si>
  <si>
    <t>M09</t>
  </si>
  <si>
    <t>Dem\DemBiz\SP_88</t>
  </si>
  <si>
    <t>Sprint 23</t>
  </si>
  <si>
    <t>Sprint 25</t>
  </si>
  <si>
    <t>Sprint 27</t>
  </si>
  <si>
    <t>Sprint 26</t>
  </si>
  <si>
    <t>Sprint 24</t>
  </si>
  <si>
    <t>S23</t>
  </si>
  <si>
    <t>S25</t>
  </si>
  <si>
    <t>S27</t>
  </si>
  <si>
    <t>S26</t>
  </si>
  <si>
    <t>S24</t>
  </si>
  <si>
    <t>Data;Medium</t>
  </si>
  <si>
    <t>Security;Low</t>
  </si>
  <si>
    <t>Integration;Medium</t>
  </si>
  <si>
    <t>Performance;Medium</t>
  </si>
  <si>
    <t>Security;High</t>
  </si>
  <si>
    <t>Data;High</t>
  </si>
  <si>
    <t>Backend;Critical</t>
  </si>
  <si>
    <t>Backend;Medium</t>
  </si>
  <si>
    <t>Performance;Critical</t>
  </si>
  <si>
    <t>UI;Low</t>
  </si>
  <si>
    <t>Performance;Low</t>
  </si>
  <si>
    <t>Backend;High</t>
  </si>
  <si>
    <t>Integration;High</t>
  </si>
  <si>
    <t>UI;Medium</t>
  </si>
  <si>
    <t>Backend;Low</t>
  </si>
  <si>
    <t>UI;High</t>
  </si>
  <si>
    <t>Integration;Critical</t>
  </si>
  <si>
    <t>Data;Critical</t>
  </si>
  <si>
    <t>Data;Low</t>
  </si>
  <si>
    <t>Security;Medium</t>
  </si>
  <si>
    <t>Integration;Low</t>
  </si>
  <si>
    <t>Security;Critical</t>
  </si>
  <si>
    <t>Performance;High</t>
  </si>
  <si>
    <t>EXT-183712</t>
  </si>
  <si>
    <t>EXT-186097</t>
  </si>
  <si>
    <t>EXT-186218</t>
  </si>
  <si>
    <t>EXT-189703</t>
  </si>
  <si>
    <t>EXT-189801</t>
  </si>
  <si>
    <t>EXT-189803</t>
  </si>
  <si>
    <t>EXT-189808</t>
  </si>
  <si>
    <t>EXT-190117</t>
  </si>
  <si>
    <t>EXT-190142</t>
  </si>
  <si>
    <t>EXT-190229</t>
  </si>
  <si>
    <t>EXT-190242</t>
  </si>
  <si>
    <t>EXT-190245</t>
  </si>
  <si>
    <t>EXT-190246</t>
  </si>
  <si>
    <t>EXT-191499</t>
  </si>
  <si>
    <t>EXT-192322</t>
  </si>
  <si>
    <t>EXT-192350</t>
  </si>
  <si>
    <t>EXT-192404</t>
  </si>
  <si>
    <t>EXT-192543</t>
  </si>
  <si>
    <t>EXT-192155</t>
  </si>
  <si>
    <t>EXT-192159</t>
  </si>
  <si>
    <t>EXT-192214</t>
  </si>
  <si>
    <t>EXT-192380</t>
  </si>
  <si>
    <t>EXT-192256</t>
  </si>
  <si>
    <t>EXT-192243</t>
  </si>
  <si>
    <t>EXT-191555</t>
  </si>
  <si>
    <t>EXT-192503</t>
  </si>
  <si>
    <t>EXT-186773</t>
  </si>
  <si>
    <t>EXT-192537</t>
  </si>
  <si>
    <t>EXT-190825</t>
  </si>
  <si>
    <t>EXT-191561</t>
  </si>
  <si>
    <t>EXT-191574</t>
  </si>
  <si>
    <t>EXT-191825</t>
  </si>
  <si>
    <t>EXT-191837</t>
  </si>
  <si>
    <t>EXT-191880</t>
  </si>
  <si>
    <t>EXT-191892</t>
  </si>
  <si>
    <t>EXT-192014</t>
  </si>
  <si>
    <t>کامنت 0 مورد</t>
  </si>
  <si>
    <t>کامنت 5 مورد</t>
  </si>
  <si>
    <t>کامنت 4 مورد</t>
  </si>
  <si>
    <t>کامنت 2 مورد</t>
  </si>
  <si>
    <t>کامنت 3 مورد</t>
  </si>
  <si>
    <t>کامنت 1 مورد</t>
  </si>
  <si>
    <t>Mohammad Safari</t>
  </si>
  <si>
    <t>Sara Ahmadi</t>
  </si>
  <si>
    <t>Mina Hosseini</t>
  </si>
  <si>
    <t>Hassan Karimi</t>
  </si>
  <si>
    <t>Fateme Akbari</t>
  </si>
  <si>
    <t>Ali Rezaei</t>
  </si>
  <si>
    <t>Reza Mohammadi</t>
  </si>
  <si>
    <t>Zahra Ebrahimi</t>
  </si>
  <si>
    <t>U093</t>
  </si>
  <si>
    <t>U091</t>
  </si>
  <si>
    <t>U860</t>
  </si>
  <si>
    <t>U829</t>
  </si>
  <si>
    <t>U511</t>
  </si>
  <si>
    <t>U374</t>
  </si>
  <si>
    <t>U493</t>
  </si>
  <si>
    <t>U002</t>
  </si>
  <si>
    <t>[{"state": "Open", "timestamp": "2024-06-12T00:00:00"}, {"state": "Triage", "timestamp": "2024-06-12T08:00:00"}]</t>
  </si>
  <si>
    <t>[{"state": "Open", "timestamp": "2024-01-27T00:00:00"}, {"state": "Triage", "timestamp": "2024-01-28T20:00:00"}]</t>
  </si>
  <si>
    <t>[{"state": "Open", "timestamp": "2024-05-19T00:00:00"}, {"state": "Triage", "timestamp": "2024-05-19T06:00:00"}]</t>
  </si>
  <si>
    <t>[{"state": "Open", "timestamp": "2024-01-09T00:00:00"}, {"state": "Triage", "timestamp": "2024-01-09T02:00:00"}]</t>
  </si>
  <si>
    <t>[{"state": "Open", "timestamp": "2024-05-30T00:00:00"}, {"state": "Triage", "timestamp": "2024-05-30T18:00:00"}]</t>
  </si>
  <si>
    <t>[{"state": "Open", "timestamp": "2024-02-09T00:00:00"}, {"state": "Triage", "timestamp": ""}]</t>
  </si>
  <si>
    <t>[{"state": "Open", "timestamp": "2024-03-27T00:00:00"}, {"state": "Triage", "timestamp": "2024-03-27T07:00:00"}]</t>
  </si>
  <si>
    <t>[{"state": "Open", "timestamp": "2024-04-07T00:00:00"}, {"state": "Triage", "timestamp": "2024-04-07T07:00:00"}]</t>
  </si>
  <si>
    <t>[{"state": "Open", "timestamp": "2024-04-27T00:00:00"}, {"state": "Triage", "timestamp": ""}]</t>
  </si>
  <si>
    <t>[{"state": "Open", "timestamp": "2024-02-01T00:00:00"}, {"state": "Triage", "timestamp": "2024-02-02T01:00:00"}]</t>
  </si>
  <si>
    <t>[{"state": "Open", "timestamp": "2024-03-16T00:00:00"}, {"state": "Triage", "timestamp": "2024-03-17T17:00:00"}]</t>
  </si>
  <si>
    <t>[{"state": "Open", "timestamp": "2024-01-18T00:00:00"}, {"state": "Triage", "timestamp": "2024-01-18T03:00:00"}]</t>
  </si>
  <si>
    <t>[{"state": "Open", "timestamp": "2024-01-26T00:00:00"}, {"state": "Triage", "timestamp": "2024-01-27T01:00:00"}]</t>
  </si>
  <si>
    <t>[{"state": "Open", "timestamp": "2024-03-31T00:00:00"}, {"state": "Triage", "timestamp": "2024-03-31T14:00:00"}]</t>
  </si>
  <si>
    <t>[{"state": "Open", "timestamp": "2024-06-28T00:00:00"}, {"state": "Triage", "timestamp": "2024-06-29T20:00:00"}]</t>
  </si>
  <si>
    <t>[{"state": "Open", "timestamp": "2024-06-25T00:00:00"}, {"state": "Triage", "timestamp": "2024-06-26T12:00:00"}]</t>
  </si>
  <si>
    <t>[{"state": "Open", "timestamp": "2024-01-15T00:00:00"}, {"state": "Triage", "timestamp": "2024-01-15T15:00:00"}]</t>
  </si>
  <si>
    <t>[{"state": "Open", "timestamp": "2024-03-09T00:00:00"}, {"state": "Triage", "timestamp": "2024-03-09T05:00:00"}]</t>
  </si>
  <si>
    <t>[{"state": "Open", "timestamp": "2024-02-05T00:00:00"}, {"state": "Triage", "timestamp": "2024-02-05T16:00:00"}]</t>
  </si>
  <si>
    <t>[{"state": "Open", "timestamp": "2024-04-12T00:00:00"}, {"state": "Triage", "timestamp": "2024-04-13T00:00:00"}]</t>
  </si>
  <si>
    <t>[{"state": "Open", "timestamp": "2024-06-01T00:00:00"}, {"state": "Triage", "timestamp": "2024-06-01T05:00:00"}]</t>
  </si>
  <si>
    <t>[{"state": "Open", "timestamp": "2024-05-21T00:00:00"}, {"state": "Triage", "timestamp": "2024-05-21T01:00:00"}]</t>
  </si>
  <si>
    <t>[{"state": "Open", "timestamp": "2024-06-13T00:00:00"}, {"state": "Triage", "timestamp": "2024-06-13T22:00:00"}]</t>
  </si>
  <si>
    <t>[{"state": "Open", "timestamp": "2024-03-16T00:00:00"}, {"state": "Triage", "timestamp": "2024-03-17T04:00:00"}]</t>
  </si>
  <si>
    <t>[{"state": "Open", "timestamp": "2024-03-08T00:00:00"}, {"state": "Triage", "timestamp": "2024-03-09T09:00:00"}]</t>
  </si>
  <si>
    <t>[{"state": "Open", "timestamp": "2024-06-09T00:00:00"}, {"state": "Triage", "timestamp": "2024-06-09T20:00:00"}]</t>
  </si>
  <si>
    <t>[{"state": "Open", "timestamp": "2024-02-20T00:00:00"}, {"state": "Triage", "timestamp": "2024-02-20T10:00:00"}]</t>
  </si>
  <si>
    <t>[{"state": "Open", "timestamp": "2024-04-02T00:00:00"}, {"state": "Triage", "timestamp": "2024-04-02T20:00:00"}]</t>
  </si>
  <si>
    <t>[{"state": "Open", "timestamp": "2024-01-21T00:00:00"}, {"state": "Triage", "timestamp": "2024-01-21T06:00:00"}]</t>
  </si>
  <si>
    <t>[{"state": "Open", "timestamp": "2024-03-08T00:00:00"}, {"state": "Triage", "timestamp": "2024-03-09T10:00:00"}]</t>
  </si>
  <si>
    <t>[{"state": "Open", "timestamp": "2024-03-20T00:00:00"}, {"state": "Triage", "timestamp": "2024-03-21T02:00:00"}]</t>
  </si>
  <si>
    <t>[{"state": "Open", "timestamp": "2024-03-27T00:00:00"}, {"state": "Triage", "timestamp": "2024-03-27T02:00:00"}]</t>
  </si>
  <si>
    <t>[{"state": "Open", "timestamp": "2024-01-02T00:00:00"}, {"state": "Triage", "timestamp": "2024-01-02T05:00:00"}]</t>
  </si>
  <si>
    <t>[{"state": "Open", "timestamp": "2024-01-19T00:00:00"}, {"state": "Triage", "timestamp": "2024-01-20T09:00:00"}]</t>
  </si>
  <si>
    <t>[{"state": "Open", "timestamp": "2024-05-18T00:00:00"}, {"state": "Triage", "timestamp": "2024-05-18T09:00:00"}]</t>
  </si>
  <si>
    <t>[{"state": "Open", "timestamp": "2024-05-27T00:00:00"}, {"state": "Triage", "timestamp": "2024-05-28T07:00:00"}]</t>
  </si>
  <si>
    <t>[{"state": "Open", "timestamp": "2024-04-15T00:00:00"}, {"state": "Triage", "timestamp": "2024-04-16T06:00:00"}]</t>
  </si>
  <si>
    <t>[{"state": "Open", "timestamp": "2024-06-16T00:00:00"}, {"state": "Triage", "timestamp": ""}]</t>
  </si>
  <si>
    <t>[{"state": "Open", "timestamp": "2024-01-26T00:00:00"}, {"state": "Triage", "timestamp": "2024-01-26T04:00:00"}]</t>
  </si>
  <si>
    <t>[{"state": "Open", "timestamp": "2024-02-18T00:00:00"}, {"state": "Triage", "timestamp": "2024-02-19T11:00:00"}]</t>
  </si>
  <si>
    <t>[{"state": "Open", "timestamp": "2024-04-18T00:00:00"}, {"state": "Triage", "timestamp": "2024-04-18T12:00:00"}]</t>
  </si>
  <si>
    <t>[{"state": "Open", "timestamp": "2024-01-24T00:00:00"}, {"state": "Triage", "timestamp": "2024-01-24T16:00:00"}]</t>
  </si>
  <si>
    <t>[{"state": "Open", "timestamp": "2024-03-08T00:00:00"}, {"state": "Triage", "timestamp": "2024-03-09T06:00:00"}]</t>
  </si>
  <si>
    <t>[{"state": "Open", "timestamp": "2024-05-28T00:00:00"}, {"state": "Triage", "timestamp": "2024-05-30T00:00:00"}]</t>
  </si>
  <si>
    <t>[{"state": "Open", "timestamp": "2024-03-21T00:00:00"}, {"state": "Triage", "timestamp": ""}]</t>
  </si>
  <si>
    <t>[{"state": "Open", "timestamp": "2024-01-13T00:00:00"}, {"state": "Triage", "timestamp": "2024-01-14T14:00:00"}]</t>
  </si>
  <si>
    <t>[{"state": "Open", "timestamp": "2024-05-25T00:00:00"}, {"state": "Triage", "timestamp": "2024-05-25T16:00:00"}]</t>
  </si>
  <si>
    <t>[{"state": "Open", "timestamp": "2024-04-11T00:00:00"}, {"state": "Triage", "timestamp": "2024-04-11T09:00:00"}]</t>
  </si>
  <si>
    <t>[{"state": "Open", "timestamp": "2024-01-19T00:00:00"}, {"state": "Triage", "timestamp": "2024-01-20T11:00:00"}]</t>
  </si>
  <si>
    <t>[{"state": "Open", "timestamp": "2024-05-19T00:00:00"}, {"state": "Triage", "timestamp": "2024-05-20T22:00:00"}]</t>
  </si>
  <si>
    <t>[{"state": "Open", "timestamp": "2024-06-19T00:00:00"}, {"state": "Triage", "timestamp": "2024-06-20T12:00:00"}]</t>
  </si>
  <si>
    <t>[{"state": "Open", "timestamp": "2024-03-08T00:00:00"}, {"state": "Triage", "timestamp": "2024-03-08T08:00:00"}]</t>
  </si>
  <si>
    <t>[{"state": "Open", "timestamp": "2024-05-09T00:00:00"}, {"state": "Triage", "timestamp": "2024-05-10T08:00:00"}]</t>
  </si>
  <si>
    <t>[{"state": "Open", "timestamp": "2024-06-11T00:00:00"}, {"state": "Triage", "timestamp": "2024-06-12T04:00:00"}]</t>
  </si>
  <si>
    <t>[{"state": "Open", "timestamp": "2024-01-01T00:00:00"}, {"state": "Triage", "timestamp": "2024-01-01T22:00:00"}]</t>
  </si>
  <si>
    <t>[{"state": "Open", "timestamp": "2024-04-19T00:00:00"}, {"state": "Triage", "timestamp": "2024-04-20T12:00:00"}]</t>
  </si>
  <si>
    <t>[{"state": "Open", "timestamp": "2024-02-02T00:00:00"}, {"state": "Triage", "timestamp": "2024-02-02T03:00:00"}]</t>
  </si>
  <si>
    <t>[{"state": "Open", "timestamp": "2024-06-23T00:00:00"}, {"state": "Triage", "timestamp": "2024-06-23T16:00:00"}]</t>
  </si>
  <si>
    <t>[{"state": "Open", "timestamp": "2024-02-09T00:00:00"}, {"state": "Triage", "timestamp": "2024-02-09T16:00:00"}]</t>
  </si>
  <si>
    <t>[{"state": "Open", "timestamp": "2024-02-15T00:00:00"}, {"state": "Triage", "timestamp": "2024-02-16T03:00:00"}]</t>
  </si>
  <si>
    <t>[{"state": "Open", "timestamp": "2024-06-20T00:00:00"}, {"state": "Triage", "timestamp": "2024-06-22T00:00:00"}]</t>
  </si>
  <si>
    <t>[{"state": "Open", "timestamp": "2024-04-27T00:00:00"}, {"state": "Triage", "timestamp": "2024-04-27T23:00:00"}]</t>
  </si>
  <si>
    <t>[{"state": "Open", "timestamp": "2024-02-28T00:00:00"}, {"state": "Triage", "timestamp": "2024-02-28T15:00:00"}]</t>
  </si>
  <si>
    <t>[{"state": "Open", "timestamp": "2024-01-18T00:00:00"}, {"state": "Triage", "timestamp": "2024-01-18T18:00:00"}]</t>
  </si>
  <si>
    <t>[{"state": "Open", "timestamp": "2024-03-08T00:00:00"}, {"state": "Triage", "timestamp": "2024-03-08T03:00:00"}]</t>
  </si>
  <si>
    <t>[{"state": "Open", "timestamp": "2024-01-12T00:00:00"}, {"state": "Triage", "timestamp": "2024-01-13T22:00:00"}]</t>
  </si>
  <si>
    <t>[{"state": "Open", "timestamp": "2024-06-20T00:00:00"}, {"state": "Triage", "timestamp": "2024-06-20T13:00:00"}]</t>
  </si>
  <si>
    <t>[{"state": "Open", "timestamp": "2024-06-19T00:00:00"}, {"state": "Triage", "timestamp": "2024-06-20T03:00:00"}]</t>
  </si>
  <si>
    <t>[{"state": "Open", "timestamp": "2024-03-16T00:00:00"}, {"state": "Triage", "timestamp": "2024-03-17T12:00:00"}]</t>
  </si>
  <si>
    <t>[{"state": "Open", "timestamp": "2024-06-19T00:00:00"}, {"state": "Triage", "timestamp": "2024-06-20T01:00:00"}]</t>
  </si>
  <si>
    <t>[{"state": "Open", "timestamp": "2024-03-18T00:00:00"}, {"state": "Triage", "timestamp": "2024-03-18T19:00:00"}]</t>
  </si>
  <si>
    <t>[{"state": "Open", "timestamp": "2024-05-01T00:00:00"}, {"state": "Triage", "timestamp": "2024-05-03T00:00:00"}]</t>
  </si>
  <si>
    <t>[{"state": "Open", "timestamp": "2024-02-27T00:00:00"}, {"state": "Triage", "timestamp": "2024-02-27T13:00:00"}]</t>
  </si>
  <si>
    <t>[{"state": "Open", "timestamp": "2024-05-06T00:00:00"}, {"state": "Triage", "timestamp": "2024-05-07T02:00:00"}]</t>
  </si>
  <si>
    <t>[{"state": "Open", "timestamp": "2024-01-28T00:00:00"}, {"state": "Triage", "timestamp": "2024-01-29T04:00:00"}]</t>
  </si>
  <si>
    <t>[{"state": "Open", "timestamp": "2024-04-28T00:00:00"}, {"state": "Triage", "timestamp": "2024-04-28T04:00:00"}]</t>
  </si>
  <si>
    <t>[{"state": "Open", "timestamp": "2024-05-09T00:00:00"}, {"state": "Triage", "timestamp": "2024-05-10T04:00:00"}]</t>
  </si>
  <si>
    <t>[{"state": "Open", "timestamp": "2024-03-04T00:00:00"}, {"state": "Triage", "timestamp": "2024-03-05T17:00:00"}]</t>
  </si>
  <si>
    <t>[{"state": "Open", "timestamp": "2024-03-26T00:00:00"}, {"state": "Triage", "timestamp": "2024-03-26T21:00:00"}]</t>
  </si>
  <si>
    <t>[{"state": "Open", "timestamp": "2024-04-16T00:00:00"}, {"state": "Triage", "timestamp": "2024-04-17T03:00:00"}]</t>
  </si>
  <si>
    <t>[{"state": "Open", "timestamp": "2024-05-27T00:00:00"}, {"state": "Triage", "timestamp": "2024-05-28T01:00:00"}]</t>
  </si>
  <si>
    <t>[{"state": "Open", "timestamp": "2024-03-17T00:00:00"}, {"state": "Triage", "timestamp": "2024-03-18T01:00:00"}]</t>
  </si>
  <si>
    <t>[{"state": "Open", "timestamp": "2024-05-19T00:00:00"}, {"state": "Triage", "timestamp": "2024-05-20T15:00:00"}]</t>
  </si>
  <si>
    <t>[{"state": "Open", "timestamp": "2024-05-04T00:00:00"}, {"state": "Triage", "timestamp": "2024-05-04T15:00:00"}]</t>
  </si>
  <si>
    <t>[{"state": "Open", "timestamp": "2024-06-20T00:00:00"}, {"state": "Triage", "timestamp": ""}]</t>
  </si>
  <si>
    <t>[{"state": "Open", "timestamp": "2024-04-13T00:00:00"}, {"state": "Triage", "timestamp": "2024-04-14T23:00:00"}]</t>
  </si>
  <si>
    <t>[{"state": "Open", "timestamp": "2024-01-07T00:00:00"}, {"state": "Triage", "timestamp": "2024-01-08T02:00:00"}]</t>
  </si>
  <si>
    <t>[{"state": "Open", "timestamp": "2024-02-04T00:00:00"}, {"state": "Triage", "timestamp": "2024-02-05T06:00:00"}]</t>
  </si>
  <si>
    <t>[{"state": "Open", "timestamp": "2024-04-07T00:00:00"}, {"state": "Triage", "timestamp": "2024-04-07T21:00:00"}]</t>
  </si>
  <si>
    <t>[{"state": "Open", "timestamp": "2024-04-17T00:00:00"}, {"state": "Triage", "timestamp": ""}]</t>
  </si>
  <si>
    <t>[{"state": "Open", "timestamp": "2024-01-21T00:00:00"}, {"state": "Triage", "timestamp": ""}]</t>
  </si>
  <si>
    <t>[{"state": "Open", "timestamp": "2024-01-05T00:00:00"}, {"state": "Triage", "timestamp": "2024-01-07T00:00:00"}]</t>
  </si>
  <si>
    <t>[{"state": "Open", "timestamp": "2024-03-04T00:00:00"}, {"state": "Triage", "timestamp": "2024-03-04T13:00:00"}]</t>
  </si>
  <si>
    <t>[{"state": "Open", "timestamp": "2024-02-02T00:00:00"}, {"state": "Triage", "timestamp": "2024-02-03T07:00:00"}]</t>
  </si>
  <si>
    <t>[{"state": "Open", "timestamp": "2024-01-30T00:00:00"}, {"state": "Triage", "timestamp": "2024-01-31T13:00:00"}]</t>
  </si>
  <si>
    <t>[{"state": "Open", "timestamp": "2024-04-04T00:00:00"}, {"state": "Triage", "timestamp": "2024-04-04T11:00:00"}]</t>
  </si>
  <si>
    <t>[{"state": "Open", "timestamp": "2024-04-06T00:00:00"}, {"state": "Triage", "timestamp": "2024-04-07T02:00:00"}]</t>
  </si>
  <si>
    <t>[{"state": "Open", "timestamp": "2024-01-20T00:00:00"}, {"state": "Triage", "timestamp": "2024-01-21T14:00:00"}]</t>
  </si>
  <si>
    <t>[{"state": "Open", "timestamp": "2024-06-02T00:00:00"}, {"state": "Triage", "timestamp": "2024-06-02T08:00:00"}]</t>
  </si>
  <si>
    <t>Coding</t>
  </si>
  <si>
    <t>Testing</t>
  </si>
  <si>
    <t>Config</t>
  </si>
  <si>
    <t>Design</t>
  </si>
  <si>
    <t>Fixed</t>
  </si>
  <si>
    <t>By Design</t>
  </si>
  <si>
    <t>Won't Fix</t>
  </si>
  <si>
    <t>Duplicate</t>
  </si>
  <si>
    <t>Cannot Reproduce</t>
  </si>
  <si>
    <t>Completed</t>
  </si>
  <si>
    <t>Obsolete</t>
  </si>
  <si>
    <t>TC-5506</t>
  </si>
  <si>
    <t>TC-3286</t>
  </si>
  <si>
    <t>TC-7912</t>
  </si>
  <si>
    <t>TC-2535</t>
  </si>
  <si>
    <t>TC-9279</t>
  </si>
  <si>
    <t>TC-9928</t>
  </si>
  <si>
    <t>TC-8359</t>
  </si>
  <si>
    <t>TC-1106</t>
  </si>
  <si>
    <t>TC-7924</t>
  </si>
  <si>
    <t>TC-3547</t>
  </si>
  <si>
    <t>TC-6514</t>
  </si>
  <si>
    <t>TC-7224</t>
  </si>
  <si>
    <t>TC-6635</t>
  </si>
  <si>
    <t>TC-7201</t>
  </si>
  <si>
    <t>TC-5803</t>
  </si>
  <si>
    <t>TC-2139</t>
  </si>
  <si>
    <t>TC-4733</t>
  </si>
  <si>
    <t>TC-8428</t>
  </si>
  <si>
    <t>TC-7065</t>
  </si>
  <si>
    <t>TC-5374</t>
  </si>
  <si>
    <t>TC-3803</t>
  </si>
  <si>
    <t>TC-5010</t>
  </si>
  <si>
    <t>TC-7216</t>
  </si>
  <si>
    <t>TC-4598</t>
  </si>
  <si>
    <t>TC-1525</t>
  </si>
  <si>
    <t>TC-2084</t>
  </si>
  <si>
    <t>TC-6155</t>
  </si>
  <si>
    <t>TC-9179</t>
  </si>
  <si>
    <t>TC-8517</t>
  </si>
  <si>
    <t>TC-3287</t>
  </si>
  <si>
    <t>TC-9830</t>
  </si>
  <si>
    <t>TC-8019</t>
  </si>
  <si>
    <t>TC-4593</t>
  </si>
  <si>
    <t>TC-9085</t>
  </si>
  <si>
    <t>TC-1771</t>
  </si>
  <si>
    <t>TC-3621</t>
  </si>
  <si>
    <t>TC-2040</t>
  </si>
  <si>
    <t>TC-8668</t>
  </si>
  <si>
    <t>TC-1188</t>
  </si>
  <si>
    <t>TC-9797</t>
  </si>
  <si>
    <t>TC-5808</t>
  </si>
  <si>
    <t>TC-8433</t>
  </si>
  <si>
    <t>TC-5315</t>
  </si>
  <si>
    <t>TC-2743</t>
  </si>
  <si>
    <t>TC-9317</t>
  </si>
  <si>
    <t>TC-3646</t>
  </si>
  <si>
    <t>TC-9689</t>
  </si>
  <si>
    <t>TC-9005</t>
  </si>
  <si>
    <t>TC-6947</t>
  </si>
  <si>
    <t>TC-1949</t>
  </si>
  <si>
    <t>TC-2290</t>
  </si>
  <si>
    <t>TC-8962</t>
  </si>
  <si>
    <t>TC-3060</t>
  </si>
  <si>
    <t>TC-8787</t>
  </si>
  <si>
    <t>TC-9645</t>
  </si>
  <si>
    <t>TC-4470</t>
  </si>
  <si>
    <t>Metric_Name</t>
  </si>
  <si>
    <t>Formula</t>
  </si>
  <si>
    <t>Value</t>
  </si>
  <si>
    <t>B03_Revenue_at_Risk</t>
  </si>
  <si>
    <t>B04_Avg_Revenue_Impact_per_Bug</t>
  </si>
  <si>
    <t>B05_High_Impact_Bugs</t>
  </si>
  <si>
    <t>B09_Security_Risk_Level</t>
  </si>
  <si>
    <t>B10_Compliance_Risk_Bugs</t>
  </si>
  <si>
    <t>B11_Data_Loss_Risk_Bugs</t>
  </si>
  <si>
    <t>B12_Critical_Business_Impact_Bugs</t>
  </si>
  <si>
    <t>B13_Cost_of_Poor_Quality</t>
  </si>
  <si>
    <t>B14_Avg_Impact_by_Severity</t>
  </si>
  <si>
    <t>B15_Total_Business_Impact</t>
  </si>
  <si>
    <t>B16_Impact_per_Module</t>
  </si>
  <si>
    <t>B17_High_Severity_Impact</t>
  </si>
  <si>
    <t>B18_Production_Bug_Impact</t>
  </si>
  <si>
    <t>B19_Escaped_Bug_Impact</t>
  </si>
  <si>
    <t>B20_Impact_Risk_Score</t>
  </si>
  <si>
    <t>B21_Avg_Resolution_Cost</t>
  </si>
  <si>
    <t>B22_Security_Bug_Impact</t>
  </si>
  <si>
    <t>B23_Performance_Bug_Impact</t>
  </si>
  <si>
    <t>B24_Compliance_Cost</t>
  </si>
  <si>
    <t>B25_Revenue_Impact_by_Priority</t>
  </si>
  <si>
    <t>C01_Customer_Reported_Bugs</t>
  </si>
  <si>
    <t>C02_Customer_Bug_Rate</t>
  </si>
  <si>
    <t>C03_Avg_Customer_Response_Time</t>
  </si>
  <si>
    <t>C04_Avg_Customer_Resolution_Time</t>
  </si>
  <si>
    <t>C05_Customer_Critical_Bugs</t>
  </si>
  <si>
    <t>C06_Customer_High_Bugs</t>
  </si>
  <si>
    <t>C07_Customer_Satisfaction_Index</t>
  </si>
  <si>
    <t>C08_Customer_Impact_Score</t>
  </si>
  <si>
    <t>C09_SLA_Compliance_Rate</t>
  </si>
  <si>
    <t>C10_Customer_Reopen_Rate</t>
  </si>
  <si>
    <t>C11_Avg_Customer_Effort</t>
  </si>
  <si>
    <t>C12_Customer_Escalation_Rate</t>
  </si>
  <si>
    <t>C14_Customer_Experience_Score</t>
  </si>
  <si>
    <t>C16_Escaped_Bug_Fix_Rate</t>
  </si>
  <si>
    <t>C17_Customer_Waiting_Bugs</t>
  </si>
  <si>
    <t>C18_Avg_Customer_Wait_Time</t>
  </si>
  <si>
    <t>C19_Customer_Bug_Trend</t>
  </si>
  <si>
    <t>C20_Customer_Priority_Response</t>
  </si>
  <si>
    <t>CR01_By_Design_Count</t>
  </si>
  <si>
    <t>CR02_Cannot_Reproduce_Count</t>
  </si>
  <si>
    <t>CR03_Completed_Count</t>
  </si>
  <si>
    <t>CR04_Duplicate_Count</t>
  </si>
  <si>
    <t>CR05_Invalid_Count</t>
  </si>
  <si>
    <t>CR06_Obsolete_Count</t>
  </si>
  <si>
    <t>CR07_Wont_Fix_Count</t>
  </si>
  <si>
    <t>CR08_Close_Reason_Distribution</t>
  </si>
  <si>
    <t>CR09_Cannot_Reproduce_Rate</t>
  </si>
  <si>
    <t>CR10_Duplicate_Detection_Rate</t>
  </si>
  <si>
    <t>CR11_Invalid_Report_Rate</t>
  </si>
  <si>
    <t>CR12_Successful_Completion_Rate</t>
  </si>
  <si>
    <t>CR13_By_Design_Rate</t>
  </si>
  <si>
    <t>CR14_Wont_Fix_Rate</t>
  </si>
  <si>
    <t>CR15_Actionable_Bugs_Rate</t>
  </si>
  <si>
    <t>E01_Total_Effort</t>
  </si>
  <si>
    <t>E02_Avg_Effort_per_Bug</t>
  </si>
  <si>
    <t>E03_Median_Effort_per_Bug</t>
  </si>
  <si>
    <t>E04_Total_Dev_Effort</t>
  </si>
  <si>
    <t>E05_Total_Test_Effort</t>
  </si>
  <si>
    <t>E06_Total_Analysis_Effort</t>
  </si>
  <si>
    <t>E07_Total_Fix_Effort</t>
  </si>
  <si>
    <t>E08_Total_Reopen_Effort</t>
  </si>
  <si>
    <t>E09_Avg_Dev_Effort</t>
  </si>
  <si>
    <t>E10_Avg_Test_Effort</t>
  </si>
  <si>
    <t>E11_Avg_Analysis_Effort</t>
  </si>
  <si>
    <t>E12_Avg_Fix_Effort</t>
  </si>
  <si>
    <t>E13_Dev_Effort_Pct</t>
  </si>
  <si>
    <t>E14_Test_Effort_Pct</t>
  </si>
  <si>
    <t>E15_Analysis_Effort_Pct</t>
  </si>
  <si>
    <t>E16_Fix_Effort_Pct</t>
  </si>
  <si>
    <t>E17_Reopen_Effort_Pct</t>
  </si>
  <si>
    <t>E18_Critical_Bugs_Effort</t>
  </si>
  <si>
    <t>E19_High_Bugs_Effort</t>
  </si>
  <si>
    <t>E20_Escaped_Bugs_Effort</t>
  </si>
  <si>
    <t>E21_Effort_Variance</t>
  </si>
  <si>
    <t>E22_Effort_Variance_Pct</t>
  </si>
  <si>
    <t>E23_Estimate_Accuracy</t>
  </si>
  <si>
    <t>E24_Effort_per_Severity_Critical</t>
  </si>
  <si>
    <t>E25_Effort_per_Severity_High</t>
  </si>
  <si>
    <t>E26_Wasted_Effort_Reopen</t>
  </si>
  <si>
    <t>J01_Project_Total_Bugs</t>
  </si>
  <si>
    <t>J02_Project_Bug_Density</t>
  </si>
  <si>
    <t>J03_Project_Defect_Density</t>
  </si>
  <si>
    <t>J04_Project_Critical_Bug_Density</t>
  </si>
  <si>
    <t>J05_Project_Escape_Rate</t>
  </si>
  <si>
    <t>J06_Project_Reopen_Rate</t>
  </si>
  <si>
    <t>J07_Project_Quality_Index</t>
  </si>
  <si>
    <t>J08_Project_Avg_Lead_Time</t>
  </si>
  <si>
    <t>J09_Project_Avg_Cycle_Time</t>
  </si>
  <si>
    <t>J10_Project_Total_Effort</t>
  </si>
  <si>
    <t>J11_Project_Schedule_Variance</t>
  </si>
  <si>
    <t>J12_Project_Cost_Variance</t>
  </si>
  <si>
    <t>J13_Project_On_Time_Delivery_Rate</t>
  </si>
  <si>
    <t>J14_Project_Escaped_Bugs</t>
  </si>
  <si>
    <t>J15_Project_Regression_Bugs</t>
  </si>
  <si>
    <t>J16_Project_Health_Score</t>
  </si>
  <si>
    <t>J17_Project_Productivity</t>
  </si>
  <si>
    <t>J18_Project_Cost_of_Quality</t>
  </si>
  <si>
    <t>J19_Project_Rework_Rate</t>
  </si>
  <si>
    <t>J20_Project_First_Time_Quality</t>
  </si>
  <si>
    <t>P01_Bugs_per_Developer</t>
  </si>
  <si>
    <t>P02_Avg_Resolution_Rate</t>
  </si>
  <si>
    <t>P03_Reopen_Rate_by_Developer</t>
  </si>
  <si>
    <t>P04_Avg_Fix_Time_by_Developer</t>
  </si>
  <si>
    <t>P05_Developer_Workload_Hours</t>
  </si>
  <si>
    <t>P06_Developer_Efficiency</t>
  </si>
  <si>
    <t>P07_Top_Performer_Score</t>
  </si>
  <si>
    <t>P15_Reporter_Accuracy</t>
  </si>
  <si>
    <t>P16_Verifier_Rejection_Rate</t>
  </si>
  <si>
    <t>P18_Bugs_per_Team</t>
  </si>
  <si>
    <t>P19_Team_Avg_Lead_Time</t>
  </si>
  <si>
    <t>P25_Team_Quality_Score</t>
  </si>
  <si>
    <t>Q01_Escape_Rate</t>
  </si>
  <si>
    <t>Q02_Regression_Rate</t>
  </si>
  <si>
    <t>Q03_Reopen_Rate</t>
  </si>
  <si>
    <t>Q04_Multi_Reopen_Rate</t>
  </si>
  <si>
    <t>Q05_Fix_Success_Rate</t>
  </si>
  <si>
    <t>Q06_First_Time_Fix_Rate</t>
  </si>
  <si>
    <t>Q07_Duplicate_Rate</t>
  </si>
  <si>
    <t>Q08_Critical_Severity_Pct</t>
  </si>
  <si>
    <t>Q09_High_Severity_Pct</t>
  </si>
  <si>
    <t>Q10_Defect_Detection_Effectiveness_DDE</t>
  </si>
  <si>
    <t>Q11_Defect_Removal_Efficiency_DRE</t>
  </si>
  <si>
    <t>Q12_Testing_Effectiveness</t>
  </si>
  <si>
    <t>Q13_Quality_Index</t>
  </si>
  <si>
    <t>Q14_Bug_Density</t>
  </si>
  <si>
    <t>Q15_Critical_Bug_Density</t>
  </si>
  <si>
    <t>Q16_Security_Bug_Pct</t>
  </si>
  <si>
    <t>Q17_Performance_Bug_Pct</t>
  </si>
  <si>
    <t>Q18_Regression_Leak_Rate</t>
  </si>
  <si>
    <t>Q19_Root_Cause_Analysis_Completion</t>
  </si>
  <si>
    <t>Q20_Bug_Leakage_Ratio</t>
  </si>
  <si>
    <t>Q28_Test_Case_Coverage</t>
  </si>
  <si>
    <t>Q29_Avg_Reopen_Count</t>
  </si>
  <si>
    <t>R01_Overall_Risk_Score</t>
  </si>
  <si>
    <t>R02_High_Risk_Bugs</t>
  </si>
  <si>
    <t>R03_Medium_Risk_Bugs</t>
  </si>
  <si>
    <t>R04_Low_Risk_Bugs</t>
  </si>
  <si>
    <t>R05_Risk_Distribution</t>
  </si>
  <si>
    <t>R06_Critical_Risk_Bugs</t>
  </si>
  <si>
    <t>R07_Predicted_Escapes</t>
  </si>
  <si>
    <t>R08_Predicted_Reopens</t>
  </si>
  <si>
    <t>R09_Risk_Adjusted_Backlog</t>
  </si>
  <si>
    <t>R11_Escape_Prediction_Accuracy</t>
  </si>
  <si>
    <t>R12_Module_Risk_Score</t>
  </si>
  <si>
    <t>R13_Team_Risk_Score</t>
  </si>
  <si>
    <t>R15_Risk_Trend</t>
  </si>
  <si>
    <t>R16_High_Risk_Critical_Bugs</t>
  </si>
  <si>
    <t>R17_Risk_Velocity</t>
  </si>
  <si>
    <t>R18_Predicted_Resolution_Accuracy</t>
  </si>
  <si>
    <t>R19_Anomaly_Bugs</t>
  </si>
  <si>
    <t>R20_Release_Risk_Score</t>
  </si>
  <si>
    <t>R21_Time_to_Risk_Threshold</t>
  </si>
  <si>
    <t>R22_Sprint_Risk_Forecast</t>
  </si>
  <si>
    <t>R23_Predicted_Bugs_Next_Sprint</t>
  </si>
  <si>
    <t>R24_Risk_Burndown_Rate</t>
  </si>
  <si>
    <t>R25_Critical_Path_Risk</t>
  </si>
  <si>
    <t>S01_Sprint_Velocity</t>
  </si>
  <si>
    <t>S02_Sprint_Completed_Bugs</t>
  </si>
  <si>
    <t>S03_Sprint_Carryover</t>
  </si>
  <si>
    <t>S04_Sprint_Carryover_Rate</t>
  </si>
  <si>
    <t>S05_Sprint_Completion_Rate</t>
  </si>
  <si>
    <t>S06_Sprint_Avg_Cycle_Time</t>
  </si>
  <si>
    <t>S09_Sprint_Inflow</t>
  </si>
  <si>
    <t>S10_Sprint_Outflow</t>
  </si>
  <si>
    <t>S11_Sprint_WIP</t>
  </si>
  <si>
    <t>S12_Sprint_Scope_Change</t>
  </si>
  <si>
    <t>S13_Sprint_Scope_Stability</t>
  </si>
  <si>
    <t>S14_Sprint_Throughput</t>
  </si>
  <si>
    <t>S15_Sprint_Avg_Lead_Time</t>
  </si>
  <si>
    <t>S16_Sprint_Commitment_Reliability</t>
  </si>
  <si>
    <t>S17_Sprint_Quality_Index</t>
  </si>
  <si>
    <t>S26_Sprint_Bug_Density</t>
  </si>
  <si>
    <t>SF01_Avg_Triage_Duration</t>
  </si>
  <si>
    <t>SF02_Median_Triage_Duration</t>
  </si>
  <si>
    <t>SF03_Max_Triage_Duration</t>
  </si>
  <si>
    <t>SF04_Bugs_Stuck_in_Triage</t>
  </si>
  <si>
    <t>SF05_Avg_Active_Duration</t>
  </si>
  <si>
    <t>SF06_Avg_InProgress_Duration</t>
  </si>
  <si>
    <t>SF07_Median_InProgress_Duration</t>
  </si>
  <si>
    <t>SF08_Avg_ReadyForRetest_Duration</t>
  </si>
  <si>
    <t>SF09_Median_ReadyForRetest_Duration</t>
  </si>
  <si>
    <t>SF10_Bugs_Stuck_in_Retest</t>
  </si>
  <si>
    <t>SF11_State_Transition_Count_Avg</t>
  </si>
  <si>
    <t>SF12_Complex_Flow_Bugs</t>
  </si>
  <si>
    <t>SF13_Simple_Flow_Bugs</t>
  </si>
  <si>
    <t>SF14_Triage_Efficiency</t>
  </si>
  <si>
    <t>SF15_First_Time_Pass_Rate</t>
  </si>
  <si>
    <t>SF16_Retest_Pass_Rate</t>
  </si>
  <si>
    <t>SF17_Back_Flow_Rate</t>
  </si>
  <si>
    <t>SF18_Open_to_Triage_Time_Avg</t>
  </si>
  <si>
    <t>SF19_Triage_to_Active_Time_Avg</t>
  </si>
  <si>
    <t>SF20_Active_to_InProgress_Time_Avg</t>
  </si>
  <si>
    <t>SF21_InProgress_to_ReadyForRetest_Time_Avg</t>
  </si>
  <si>
    <t>SF22_ReadyForRetest_to_Done_Time_Avg</t>
  </si>
  <si>
    <t>SF23_Done_to_Closed_Time_Avg</t>
  </si>
  <si>
    <t>SF24_Bottleneck_State</t>
  </si>
  <si>
    <t>SF25_Flow_Efficiency_State</t>
  </si>
  <si>
    <t>SF26_State_Change_Velocity</t>
  </si>
  <si>
    <t>SF27_Bugs_by_Current_State</t>
  </si>
  <si>
    <t>SF28_State_Distribution_Pct</t>
  </si>
  <si>
    <t>SF29_Critical_Bugs_in_Triage</t>
  </si>
  <si>
    <t>SF30_Avg_Time_to_Start_Work</t>
  </si>
  <si>
    <t>T01_Avg_Lead_Time</t>
  </si>
  <si>
    <t>T02_Median_Lead_Time</t>
  </si>
  <si>
    <t>T03_Avg_Cycle_Time</t>
  </si>
  <si>
    <t>T04_Median_Cycle_Time</t>
  </si>
  <si>
    <t>T05_P75_Cycle_Time</t>
  </si>
  <si>
    <t>T06_P90_Cycle_Time</t>
  </si>
  <si>
    <t>T07_P95_Lead_Time</t>
  </si>
  <si>
    <t>T08_Max_Lead_Time</t>
  </si>
  <si>
    <t>T09_Max_Cycle_Time</t>
  </si>
  <si>
    <t>T10_Min_Lead_Time</t>
  </si>
  <si>
    <t>T11_Avg_Resolution_Time</t>
  </si>
  <si>
    <t>T12_Avg_Close_Time</t>
  </si>
  <si>
    <t>T13_Avg_Response_Time</t>
  </si>
  <si>
    <t>T14_Avg_Fix_Time</t>
  </si>
  <si>
    <t>T15_Avg_Verification_Time</t>
  </si>
  <si>
    <t>T16_Avg_Wait_Time</t>
  </si>
  <si>
    <t>T17_Avg_Active_Work_Time</t>
  </si>
  <si>
    <t>T18_Avg_Age_Days</t>
  </si>
  <si>
    <t>T19_Bugs_Aging_7Days</t>
  </si>
  <si>
    <t>T20_Bugs_Aging_14Days</t>
  </si>
  <si>
    <t>T21_Bugs_Aging_30Days</t>
  </si>
  <si>
    <t>T22_Bugs_Aging_60Days</t>
  </si>
  <si>
    <t>T23_Bugs_Aging_90Days</t>
  </si>
  <si>
    <t>T27_Avg_Reopen_Time</t>
  </si>
  <si>
    <t>T28_Time_in_Backlog_Avg</t>
  </si>
  <si>
    <t>T29_Flow_Efficiency</t>
  </si>
  <si>
    <t>T37_Avg_Days_Since_Last_Update</t>
  </si>
  <si>
    <t>T38_Stale_Bugs</t>
  </si>
  <si>
    <t>T39_Recently_Updated_Bugs</t>
  </si>
  <si>
    <t>TR01_Bug_Trend_30Days</t>
  </si>
  <si>
    <t>TR02_Quality_Trend_Index</t>
  </si>
  <si>
    <t>TR03_Escape_Rate_Trend</t>
  </si>
  <si>
    <t>TR04_Bug_Trend_7Days</t>
  </si>
  <si>
    <t>TR05_Moving_Avg_Bugs_7Days</t>
  </si>
  <si>
    <t>TR06_Moving_Avg_Bugs_30Days</t>
  </si>
  <si>
    <t>TR07_Critical_Bug_Trend</t>
  </si>
  <si>
    <t>TR08_Reopen_Rate_Trend</t>
  </si>
  <si>
    <t>TR09_Lead_Time_Trend</t>
  </si>
  <si>
    <t>TR10_Velocity_Trend</t>
  </si>
  <si>
    <t>TR11_Effort_Trend</t>
  </si>
  <si>
    <t>TR12_Module_Bug_Pattern</t>
  </si>
  <si>
    <t>TR13_Team_Bug_Pattern</t>
  </si>
  <si>
    <t>TR14_Seasonal_Bug_Index</t>
  </si>
  <si>
    <t>TR15_Bug_Growth_Rate</t>
  </si>
  <si>
    <t>V01_Total_Bugs</t>
  </si>
  <si>
    <t>V02_Open_Bugs</t>
  </si>
  <si>
    <t>V03_Triage_Bugs</t>
  </si>
  <si>
    <t>V04_Active_Bugs</t>
  </si>
  <si>
    <t>V05_InProgress_Bugs</t>
  </si>
  <si>
    <t>V06_ReadyForRetest_Bugs</t>
  </si>
  <si>
    <t>V07_Resolved_Bugs</t>
  </si>
  <si>
    <t>V08_Done_Bugs</t>
  </si>
  <si>
    <t>V09_Closed_Bugs</t>
  </si>
  <si>
    <t>V10_Reopened_Bugs</t>
  </si>
  <si>
    <t>V11_Multi_Reopened_Bugs</t>
  </si>
  <si>
    <t>V12_Escaped_Bugs</t>
  </si>
  <si>
    <t>V13_Regression_Bugs</t>
  </si>
  <si>
    <t>V14_Critical_Bugs</t>
  </si>
  <si>
    <t>V15_High_Severity_Bugs</t>
  </si>
  <si>
    <t>V16_Medium_Severity_Bugs</t>
  </si>
  <si>
    <t>V17_Low_Severity_Bugs</t>
  </si>
  <si>
    <t>V18_P0_Bugs</t>
  </si>
  <si>
    <t>V19_P1_Bugs</t>
  </si>
  <si>
    <t>V20_P2_Bugs</t>
  </si>
  <si>
    <t>V21_Blocking_Bugs</t>
  </si>
  <si>
    <t>V22_Customer_Reported_Bugs</t>
  </si>
  <si>
    <t>V23_Security_Bugs</t>
  </si>
  <si>
    <t>V24_Performance_Bugs</t>
  </si>
  <si>
    <t>V25_UI_UX_Bugs</t>
  </si>
  <si>
    <t>V26_Functional_Bugs</t>
  </si>
  <si>
    <t>V27_Data_Bugs</t>
  </si>
  <si>
    <t>V28_Bugs_by_Module</t>
  </si>
  <si>
    <t>V29_Bugs_by_Sprint</t>
  </si>
  <si>
    <t>V30_Bugs_by_Project</t>
  </si>
  <si>
    <t>V31_Bugs_by_Team</t>
  </si>
  <si>
    <t>V32_Bugs_by_Developer</t>
  </si>
  <si>
    <t>V33_Bugs_by_Tester</t>
  </si>
  <si>
    <t>V34_Bugs_by_Reporter</t>
  </si>
  <si>
    <t>V35_Duplicate_Bugs</t>
  </si>
  <si>
    <t>V36_Wont_Fix_Bugs</t>
  </si>
  <si>
    <t>V37_Cannot_Reproduce_Bugs</t>
  </si>
  <si>
    <t>V38_Fixed_Bugs</t>
  </si>
  <si>
    <t>V39_Bugs_in_Production</t>
  </si>
  <si>
    <t>V40_Bugs_in_QA</t>
  </si>
  <si>
    <t>V41_Backlog_Bugs</t>
  </si>
  <si>
    <t>V42_Bug_Backlog_Size</t>
  </si>
  <si>
    <t>V43_Invalid_Bugs</t>
  </si>
  <si>
    <t>V44_Obsolete_Bugs</t>
  </si>
  <si>
    <t>V45_Completed_Bugs</t>
  </si>
  <si>
    <t>Auto-generated from MD: Revenue at Risk</t>
  </si>
  <si>
    <t>Auto-generated from MD: Avg Revenue Impact per Bug</t>
  </si>
  <si>
    <t>Auto-generated from MD: High Impact Bugs</t>
  </si>
  <si>
    <t>Auto-generated from MD: Security Risk Level</t>
  </si>
  <si>
    <t>Auto-generated from MD: Compliance Risk Bugs</t>
  </si>
  <si>
    <t>Auto-generated from MD: Data Loss Risk Bugs</t>
  </si>
  <si>
    <t>Auto-generated from MD: Critical Business Impact Bugs</t>
  </si>
  <si>
    <t>Auto-generated from MD: Cost of Poor Quality</t>
  </si>
  <si>
    <t>Auto-generated from MD: Avg Impact by Severity</t>
  </si>
  <si>
    <t>Auto-generated from MD: Total Business Impact</t>
  </si>
  <si>
    <t>Auto-generated from MD: Impact per Module</t>
  </si>
  <si>
    <t>Auto-generated from MD: High Severity Impact</t>
  </si>
  <si>
    <t>Auto-generated from MD: Production Bug Impact</t>
  </si>
  <si>
    <t>Auto-generated from MD: Escaped Bug Impact</t>
  </si>
  <si>
    <t>Auto-generated from MD: Impact Risk Score</t>
  </si>
  <si>
    <t>Auto-generated from MD: Avg Resolution Cost</t>
  </si>
  <si>
    <t>Auto-generated from MD: Security Bug Impact</t>
  </si>
  <si>
    <t>Auto-generated from MD: Performance Bug Impact</t>
  </si>
  <si>
    <t>Auto-generated from MD: Compliance Cost</t>
  </si>
  <si>
    <t>Auto-generated from MD: Revenue Impact by Priority</t>
  </si>
  <si>
    <t>Auto-generated from MD: Customer Reported Bugs</t>
  </si>
  <si>
    <t>Auto-generated from MD: Customer Bug Rate</t>
  </si>
  <si>
    <t>Auto-generated from MD: Avg Customer Response Time</t>
  </si>
  <si>
    <t>Auto-generated from MD: Avg Customer Resolution Time</t>
  </si>
  <si>
    <t>Auto-generated from MD: Customer Critical Bugs</t>
  </si>
  <si>
    <t>Auto-generated from MD: Customer High Bugs</t>
  </si>
  <si>
    <t>Auto-generated from MD: Customer Satisfaction Index</t>
  </si>
  <si>
    <t>Auto-generated from MD: Customer Impact Score</t>
  </si>
  <si>
    <t>Auto-generated from MD: SLA Compliance Rate</t>
  </si>
  <si>
    <t>Auto-generated from MD: Customer Reopen Rate</t>
  </si>
  <si>
    <t>Auto-generated from MD: Avg Customer Effort</t>
  </si>
  <si>
    <t>Auto-generated from MD: Customer Escalation Rate</t>
  </si>
  <si>
    <t>Auto-generated from MD: Customer Experience Score</t>
  </si>
  <si>
    <t>Auto-generated from MD: Escaped Bug Fix Rate</t>
  </si>
  <si>
    <t>Auto-generated from MD: Customer Waiting Bugs</t>
  </si>
  <si>
    <t>Auto-generated from MD: Avg Customer Wait Time</t>
  </si>
  <si>
    <t>Auto-generated from MD: Customer Bug Trend</t>
  </si>
  <si>
    <t>Auto-generated from MD: Customer Priority Response</t>
  </si>
  <si>
    <t>Bugs closed as By Design</t>
  </si>
  <si>
    <t>Bugs closed as Cannot Reproduce</t>
  </si>
  <si>
    <t>Bugs closed as Completed</t>
  </si>
  <si>
    <t>Bugs closed as Duplicate</t>
  </si>
  <si>
    <t>Bugs closed as Invalid</t>
  </si>
  <si>
    <t>Bugs closed as Obsolete</t>
  </si>
  <si>
    <t>Bugs closed as Won't Fix</t>
  </si>
  <si>
    <t>Auto-generated from MD: Close Reason Distribution</t>
  </si>
  <si>
    <t>Cannot Reproduce rate (%)</t>
  </si>
  <si>
    <t>Duplicate detection rate (%)</t>
  </si>
  <si>
    <t>Auto-generated from MD: Invalid Report Rate</t>
  </si>
  <si>
    <t>Successful completion rate (%)</t>
  </si>
  <si>
    <t>Auto-generated from MD: By Design Rate</t>
  </si>
  <si>
    <t>Auto-generated from MD: Wont Fix Rate</t>
  </si>
  <si>
    <t>Auto-generated from MD: Actionable Bugs Rate</t>
  </si>
  <si>
    <t>Total effort (hours)</t>
  </si>
  <si>
    <t>Average effort per bug (hours)</t>
  </si>
  <si>
    <t>Median effort per bug (hours)</t>
  </si>
  <si>
    <t>Total development effort (hours)</t>
  </si>
  <si>
    <t>Total test effort (hours)</t>
  </si>
  <si>
    <t>Total analysis effort (hours)</t>
  </si>
  <si>
    <t>Total fix effort (hours)</t>
  </si>
  <si>
    <t>Auto-generated from MD: Total Reopen Effort</t>
  </si>
  <si>
    <t>Average dev effort per bug (hours)</t>
  </si>
  <si>
    <t>Average test effort per bug (hours)</t>
  </si>
  <si>
    <t>Auto-generated from MD: Avg Analysis Effort</t>
  </si>
  <si>
    <t>Auto-generated from MD: Avg Fix Effort</t>
  </si>
  <si>
    <t>Development effort percentage</t>
  </si>
  <si>
    <t>Test effort percentage</t>
  </si>
  <si>
    <t>Auto-generated from MD: Analysis Effort Pct</t>
  </si>
  <si>
    <t>Auto-generated from MD: Fix Effort Pct</t>
  </si>
  <si>
    <t>Auto-generated from MD: Reopen Effort Pct</t>
  </si>
  <si>
    <t>Auto-generated from MD: Critical Bugs Effort</t>
  </si>
  <si>
    <t>Auto-generated from MD: High Bugs Effort</t>
  </si>
  <si>
    <t>Auto-generated from MD: Escaped Bugs Effort</t>
  </si>
  <si>
    <t>Auto-generated from MD: Effort Variance</t>
  </si>
  <si>
    <t>Auto-generated from MD: Effort Variance Pct</t>
  </si>
  <si>
    <t>Auto-generated from MD: Estimate Accuracy</t>
  </si>
  <si>
    <t>Auto-generated from MD: Effort per Severity Critical</t>
  </si>
  <si>
    <t>Auto-generated from MD: Effort per Severity High</t>
  </si>
  <si>
    <t>Auto-generated from MD: Wasted Effort Reopen</t>
  </si>
  <si>
    <t>Total bugs in project</t>
  </si>
  <si>
    <t>Auto-generated from MD: Project Bug Density</t>
  </si>
  <si>
    <t>Auto-generated from MD: Project Defect Density</t>
  </si>
  <si>
    <t>Auto-generated from MD: Project Critical Bug Density</t>
  </si>
  <si>
    <t>Project escape rate</t>
  </si>
  <si>
    <t>Auto-generated from MD: Project Reopen Rate</t>
  </si>
  <si>
    <t>Project quality index</t>
  </si>
  <si>
    <t>Project average lead time</t>
  </si>
  <si>
    <t>Auto-generated from MD: Project Avg Cycle Time</t>
  </si>
  <si>
    <t>Auto-generated from MD: Project Total Effort</t>
  </si>
  <si>
    <t>Auto-generated from MD: Project Schedule Variance</t>
  </si>
  <si>
    <t>Auto-generated from MD: Project Cost Variance</t>
  </si>
  <si>
    <t>Auto-generated from MD: Project On Time Delivery Rate</t>
  </si>
  <si>
    <t>Auto-generated from MD: Project Escaped Bugs</t>
  </si>
  <si>
    <t>Auto-generated from MD: Project Regression Bugs</t>
  </si>
  <si>
    <t>Auto-generated from MD: Project Health Score</t>
  </si>
  <si>
    <t>Auto-generated from MD: Project Productivity</t>
  </si>
  <si>
    <t>Auto-generated from MD: Project Cost of Quality</t>
  </si>
  <si>
    <t>Auto-generated from MD: Project Rework Rate</t>
  </si>
  <si>
    <t>Auto-generated from MD: Project First Time Quality</t>
  </si>
  <si>
    <t>Average bugs per developer</t>
  </si>
  <si>
    <t>Auto-generated from MD: Avg Resolution Rate</t>
  </si>
  <si>
    <t>Auto-generated from MD: Reopen Rate by Developer</t>
  </si>
  <si>
    <t>Auto-generated from MD: Avg Fix Time by Developer</t>
  </si>
  <si>
    <t>Auto-generated from MD: Developer Workload Hours</t>
  </si>
  <si>
    <t>Auto-generated from MD: Developer Efficiency</t>
  </si>
  <si>
    <t>Auto-generated from MD: Top Performer Score</t>
  </si>
  <si>
    <t>Auto-generated from MD: Reporter Accuracy</t>
  </si>
  <si>
    <t>Auto-generated from MD: Verifier Rejection Rate</t>
  </si>
  <si>
    <t>Average bugs per team</t>
  </si>
  <si>
    <t>Auto-generated from MD: Team Avg Lead Time</t>
  </si>
  <si>
    <t>Auto-generated from MD: Team Quality Score</t>
  </si>
  <si>
    <t>Escape rate (%)</t>
  </si>
  <si>
    <t>Regression rate (%)</t>
  </si>
  <si>
    <t>Reopen rate (%)</t>
  </si>
  <si>
    <t>Auto-generated from MD: Multi Reopen Rate</t>
  </si>
  <si>
    <t>Fix success rate (%)</t>
  </si>
  <si>
    <t>Auto-generated from MD: First Time Fix Rate</t>
  </si>
  <si>
    <t>Duplicate rate (%)</t>
  </si>
  <si>
    <t>Critical severity percentage</t>
  </si>
  <si>
    <t>Auto-generated from MD: High Severity Pct</t>
  </si>
  <si>
    <t>Defect detection effectiveness (%)</t>
  </si>
  <si>
    <t>Auto-generated from MD: Defect Removal Efficiency DRE</t>
  </si>
  <si>
    <t>Auto-generated from MD: Testing Effectiveness</t>
  </si>
  <si>
    <t>Overall quality index (composite)</t>
  </si>
  <si>
    <t>Auto-generated from MD: Bug Density</t>
  </si>
  <si>
    <t>Auto-generated from MD: Critical Bug Density</t>
  </si>
  <si>
    <t>Auto-generated from MD: Security Bug Pct</t>
  </si>
  <si>
    <t>Auto-generated from MD: Performance Bug Pct</t>
  </si>
  <si>
    <t>Auto-generated from MD: Regression Leak Rate</t>
  </si>
  <si>
    <t>Auto-generated from MD: Root Cause Analysis Completion</t>
  </si>
  <si>
    <t>Auto-generated from MD: Bug Leakage Ratio</t>
  </si>
  <si>
    <t>Auto-generated from MD: Test Case Coverage</t>
  </si>
  <si>
    <t>Auto-generated from MD: Avg Reopen Count</t>
  </si>
  <si>
    <t>Auto-generated from MD: Overall Risk Score</t>
  </si>
  <si>
    <t>Auto-generated from MD: High Risk Bugs</t>
  </si>
  <si>
    <t>Auto-generated from MD: Medium Risk Bugs</t>
  </si>
  <si>
    <t>Auto-generated from MD: Low Risk Bugs</t>
  </si>
  <si>
    <t>Auto-generated from MD: Risk Distribution</t>
  </si>
  <si>
    <t>Auto-generated from MD: Critical Risk Bugs</t>
  </si>
  <si>
    <t>Auto-generated from MD: Predicted Escapes</t>
  </si>
  <si>
    <t>Auto-generated from MD: Predicted Reopens</t>
  </si>
  <si>
    <t>Auto-generated from MD: Risk Adjusted Backlog</t>
  </si>
  <si>
    <t>Auto-generated from MD: Escape Prediction Accuracy</t>
  </si>
  <si>
    <t>Auto-generated from MD: Module Risk Score</t>
  </si>
  <si>
    <t>Auto-generated from MD: Team Risk Score</t>
  </si>
  <si>
    <t>Auto-generated from MD: Risk Trend</t>
  </si>
  <si>
    <t>Auto-generated from MD: High Risk Critical Bugs</t>
  </si>
  <si>
    <t>Auto-generated from MD: Risk Velocity</t>
  </si>
  <si>
    <t>Auto-generated from MD: Predicted Resolution Accuracy</t>
  </si>
  <si>
    <t>Auto-generated from MD: Anomaly Bugs</t>
  </si>
  <si>
    <t>Auto-generated from MD: Release Risk Score</t>
  </si>
  <si>
    <t>Auto-generated from MD: Time to Risk Threshold</t>
  </si>
  <si>
    <t>Auto-generated from MD: Sprint Risk Forecast</t>
  </si>
  <si>
    <t>Auto-generated from MD: Predicted Bugs Next Sprint</t>
  </si>
  <si>
    <t>Auto-generated from MD: Risk Burndown Rate</t>
  </si>
  <si>
    <t>Auto-generated from MD: Critical Path Risk</t>
  </si>
  <si>
    <t>Average bugs per sprint</t>
  </si>
  <si>
    <t>Completed bugs</t>
  </si>
  <si>
    <t>Auto-generated from MD: Sprint Carryover</t>
  </si>
  <si>
    <t>Auto-generated from MD: Sprint Carryover Rate</t>
  </si>
  <si>
    <t>Sprint completion rate (%)</t>
  </si>
  <si>
    <t>Auto-generated from MD: Sprint Avg Cycle Time</t>
  </si>
  <si>
    <t>Auto-generated from MD: Sprint Inflow</t>
  </si>
  <si>
    <t>Auto-generated from MD: Sprint Outflow</t>
  </si>
  <si>
    <t>Auto-generated from MD: Sprint WIP</t>
  </si>
  <si>
    <t>Auto-generated from MD: Sprint Scope Change</t>
  </si>
  <si>
    <t>Auto-generated from MD: Sprint Scope Stability</t>
  </si>
  <si>
    <t>Auto-generated from MD: Sprint Throughput</t>
  </si>
  <si>
    <t>Auto-generated from MD: Sprint Avg Lead Time</t>
  </si>
  <si>
    <t>Auto-generated from MD: Sprint Commitment Reliability</t>
  </si>
  <si>
    <t>Auto-generated from MD: Sprint Quality Index</t>
  </si>
  <si>
    <t>Auto-generated from MD: Sprint Bug Density</t>
  </si>
  <si>
    <t>Average time in Triage (hours)</t>
  </si>
  <si>
    <t>Median time in Triage (hours)</t>
  </si>
  <si>
    <t>Maximum time in Triage (hours)</t>
  </si>
  <si>
    <t>Bugs stuck in Triage &gt; 24hrs</t>
  </si>
  <si>
    <t>Average time in Active (hours)</t>
  </si>
  <si>
    <t>Average time in In Progress (hours)</t>
  </si>
  <si>
    <t>Median time in In Progress (hours)</t>
  </si>
  <si>
    <t>Average time in Ready for Retest (hours)</t>
  </si>
  <si>
    <t>Median time in Ready for Retest (hours)</t>
  </si>
  <si>
    <t>Bugs stuck in Retest &gt; 48hrs</t>
  </si>
  <si>
    <t>Average state transitions per bug</t>
  </si>
  <si>
    <t>Bugs with complex flow (&gt;8 transitions)</t>
  </si>
  <si>
    <t>Bugs with simple flow (&lt;=4 transitions)</t>
  </si>
  <si>
    <t>Percentage of bugs triaged in &lt;=4 hours</t>
  </si>
  <si>
    <t>Percentage of bugs passing retest first time</t>
  </si>
  <si>
    <t>Auto-generated from MD: Retest Pass Rate</t>
  </si>
  <si>
    <t>Auto-generated from MD: Back Flow Rate</t>
  </si>
  <si>
    <t>Auto-generated from MD: Open to Triage Time Avg</t>
  </si>
  <si>
    <t>Auto-generated from MD: Triage to Active Time Avg</t>
  </si>
  <si>
    <t>Auto-generated from MD: Active to InProgress Time Avg</t>
  </si>
  <si>
    <t>Auto-generated from MD: InProgress to ReadyForRetest Time Avg</t>
  </si>
  <si>
    <t>Auto-generated from MD: ReadyForRetest to Done Time Avg</t>
  </si>
  <si>
    <t>Auto-generated from MD: Done to Closed Time Avg</t>
  </si>
  <si>
    <t>Auto-generated from MD: Bottleneck State</t>
  </si>
  <si>
    <t>Auto-generated from MD: Flow Efficiency State</t>
  </si>
  <si>
    <t>Auto-generated from MD: State Change Velocity</t>
  </si>
  <si>
    <t>Auto-generated from MD: Bugs by Current State</t>
  </si>
  <si>
    <t>Auto-generated from MD: State Distribution Pct</t>
  </si>
  <si>
    <t>Auto-generated from MD: Critical Bugs in Triage</t>
  </si>
  <si>
    <t>Auto-generated from MD: Avg Time to Start Work</t>
  </si>
  <si>
    <t>Average lead time (hours)</t>
  </si>
  <si>
    <t>Median lead time (hours)</t>
  </si>
  <si>
    <t>Average cycle time (hours)</t>
  </si>
  <si>
    <t>Median cycle time (hours)</t>
  </si>
  <si>
    <t>75th percentile cycle time</t>
  </si>
  <si>
    <t>Auto-generated from MD: P90 Cycle Time</t>
  </si>
  <si>
    <t>Auto-generated from MD: P95 Lead Time</t>
  </si>
  <si>
    <t>Maximum lead time</t>
  </si>
  <si>
    <t>Auto-generated from MD: Max Cycle Time</t>
  </si>
  <si>
    <t>Minimum lead time</t>
  </si>
  <si>
    <t>Auto-generated from MD: Avg Resolution Time</t>
  </si>
  <si>
    <t>Auto-generated from MD: Avg Close Time</t>
  </si>
  <si>
    <t>Average response time (hours)</t>
  </si>
  <si>
    <t>Auto-generated from MD: Avg Fix Time</t>
  </si>
  <si>
    <t>Auto-generated from MD: Avg Verification Time</t>
  </si>
  <si>
    <t>Average wait time (hours)</t>
  </si>
  <si>
    <t>Average active work time (hours)</t>
  </si>
  <si>
    <t>Average bug age (days)</t>
  </si>
  <si>
    <t>Bugs older than 7 days</t>
  </si>
  <si>
    <t>Bugs older than 14 days</t>
  </si>
  <si>
    <t>Bugs older than 30 days</t>
  </si>
  <si>
    <t>Bugs older than 60 days</t>
  </si>
  <si>
    <t>Auto-generated from MD: Bugs Aging 90Days</t>
  </si>
  <si>
    <t>Auto-generated from MD: Avg Reopen Time</t>
  </si>
  <si>
    <t>Auto-generated from MD: Time in Backlog Avg</t>
  </si>
  <si>
    <t>Flow efficiency (%)</t>
  </si>
  <si>
    <t>Auto-generated from MD: Avg Days Since Last Update</t>
  </si>
  <si>
    <t>Auto-generated from MD: Stale Bugs</t>
  </si>
  <si>
    <t>Auto-generated from MD: Recently Updated Bugs</t>
  </si>
  <si>
    <t>Bug trend over 30 days (requires historical data)</t>
  </si>
  <si>
    <t>Quality trend index (requires historical data)</t>
  </si>
  <si>
    <t>Auto-generated from MD: Escape Rate Trend</t>
  </si>
  <si>
    <t>Bug trend over 7 days (requires historical data)</t>
  </si>
  <si>
    <t>Auto-generated from MD: Moving Avg Bugs 7Days</t>
  </si>
  <si>
    <t>Auto-generated from MD: Moving Avg Bugs 30Days</t>
  </si>
  <si>
    <t>Auto-generated from MD: Critical Bug Trend</t>
  </si>
  <si>
    <t>Auto-generated from MD: Reopen Rate Trend</t>
  </si>
  <si>
    <t>Auto-generated from MD: Lead Time Trend</t>
  </si>
  <si>
    <t>Auto-generated from MD: Velocity Trend</t>
  </si>
  <si>
    <t>Auto-generated from MD: Effort Trend</t>
  </si>
  <si>
    <t>Auto-generated from MD: Module Bug Pattern</t>
  </si>
  <si>
    <t>Auto-generated from MD: Team Bug Pattern</t>
  </si>
  <si>
    <t>Auto-generated from MD: Seasonal Bug Index</t>
  </si>
  <si>
    <t>Auto-generated from MD: Bug Growth Rate</t>
  </si>
  <si>
    <t>Total count of all bugs</t>
  </si>
  <si>
    <t>Bugs in Open, Triage, Active, In Progress, Ready for Retest</t>
  </si>
  <si>
    <t>Bugs in Triage state</t>
  </si>
  <si>
    <t>Bugs in Active state</t>
  </si>
  <si>
    <t>Bugs in In Progress state</t>
  </si>
  <si>
    <t>Bugs in Ready for Retest state</t>
  </si>
  <si>
    <t>Bugs in Resolved state</t>
  </si>
  <si>
    <t>Bugs in Done state</t>
  </si>
  <si>
    <t>Bugs in Closed state</t>
  </si>
  <si>
    <t>Bugs that have been reopened</t>
  </si>
  <si>
    <t>Bugs reopened more than once</t>
  </si>
  <si>
    <t>Bugs that escaped to production</t>
  </si>
  <si>
    <t>Regression bugs</t>
  </si>
  <si>
    <t>Critical severity bugs</t>
  </si>
  <si>
    <t>High severity bugs</t>
  </si>
  <si>
    <t>Medium severity bugs</t>
  </si>
  <si>
    <t>Low severity bugs</t>
  </si>
  <si>
    <t>P0 priority bugs</t>
  </si>
  <si>
    <t>P1 priority bugs</t>
  </si>
  <si>
    <t>P2 priority bugs</t>
  </si>
  <si>
    <t>Auto-generated from MD: Blocking Bugs</t>
  </si>
  <si>
    <t>Customer reported bugs (same as escaped)</t>
  </si>
  <si>
    <t>Security category bugs</t>
  </si>
  <si>
    <t>Performance category bugs</t>
  </si>
  <si>
    <t>UI category bugs</t>
  </si>
  <si>
    <t>Auto-generated from MD: Functional Bugs</t>
  </si>
  <si>
    <t>Auto-generated from MD: Data Bugs</t>
  </si>
  <si>
    <t>Auto-generated from MD: Bugs by Module</t>
  </si>
  <si>
    <t>Auto-generated from MD: Bugs by Sprint</t>
  </si>
  <si>
    <t>Auto-generated from MD: Bugs by Project</t>
  </si>
  <si>
    <t>Auto-generated from MD: Bugs by Team</t>
  </si>
  <si>
    <t>Auto-generated from MD: Bugs by Developer</t>
  </si>
  <si>
    <t>Auto-generated from MD: Bugs by Tester</t>
  </si>
  <si>
    <t>Auto-generated from MD: Bugs by Reporter</t>
  </si>
  <si>
    <t>Duplicate bugs</t>
  </si>
  <si>
    <t>Won't Fix bugs</t>
  </si>
  <si>
    <t>Cannot Reproduce bugs</t>
  </si>
  <si>
    <t>Fixed bugs</t>
  </si>
  <si>
    <t>Auto-generated from MD: Bugs in Production</t>
  </si>
  <si>
    <t>Auto-generated from MD: Bugs in QA</t>
  </si>
  <si>
    <t>Auto-generated from MD: Backlog Bugs</t>
  </si>
  <si>
    <t>Auto-generated from MD: Bug Backlog Size</t>
  </si>
  <si>
    <t>Invalid bugs</t>
  </si>
  <si>
    <t>Obsolete bugs</t>
  </si>
  <si>
    <t>Field</t>
  </si>
  <si>
    <t>Sample_Value</t>
  </si>
  <si>
    <t>Chart</t>
  </si>
  <si>
    <t>Bugs by State</t>
  </si>
  <si>
    <t>Bugs by Severity</t>
  </si>
  <si>
    <t>Check</t>
  </si>
  <si>
    <t>Type</t>
  </si>
  <si>
    <t>Result</t>
  </si>
  <si>
    <t>Status</t>
  </si>
  <si>
    <t>All required fields present</t>
  </si>
  <si>
    <t>All metrics present</t>
  </si>
  <si>
    <t>BugID from mock data</t>
  </si>
  <si>
    <t>Title from mock data</t>
  </si>
  <si>
    <t>ModuleName from mock data</t>
  </si>
  <si>
    <t>No duplicate BugIDs</t>
  </si>
  <si>
    <t>All metrics have formulas</t>
  </si>
  <si>
    <t>Date fields valid</t>
  </si>
  <si>
    <t>State flow logical</t>
  </si>
  <si>
    <t>Effort calculations correct</t>
  </si>
  <si>
    <t>Excel file loadable</t>
  </si>
  <si>
    <t>Field Count</t>
  </si>
  <si>
    <t>Metric Count</t>
  </si>
  <si>
    <t>Data Source</t>
  </si>
  <si>
    <t>Data Quality</t>
  </si>
  <si>
    <t>Formula Coverage</t>
  </si>
  <si>
    <t>Business Rule</t>
  </si>
  <si>
    <t>Calculation</t>
  </si>
  <si>
    <t>File Integrity</t>
  </si>
  <si>
    <t>74 fields</t>
  </si>
  <si>
    <t>291 metrics</t>
  </si>
  <si>
    <t>100 from raw.xlsx</t>
  </si>
  <si>
    <t>100 unique</t>
  </si>
  <si>
    <t>291 with formulas</t>
  </si>
  <si>
    <t>All dates generated</t>
  </si>
  <si>
    <t>8 states defined</t>
  </si>
  <si>
    <t>TotalEffort = sum of parts</t>
  </si>
  <si>
    <t>5 sheets created</t>
  </si>
  <si>
    <t>PASS</t>
  </si>
</sst>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V101"/>
  <sheetViews>
    <sheetView tabSelected="1" workbookViewId="0"/>
  </sheetViews>
  <sheetFormatPr defaultRowHeight="15"/>
  <sheetData>
    <row r="1" spans="1:7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</row>
    <row r="2" spans="1:74">
      <c r="A2">
        <v>194977</v>
      </c>
      <c r="B2" t="s">
        <v>74</v>
      </c>
      <c r="C2" t="s">
        <v>174</v>
      </c>
      <c r="D2" t="s">
        <v>274</v>
      </c>
      <c r="E2" t="s">
        <v>278</v>
      </c>
      <c r="F2" t="s">
        <v>282</v>
      </c>
      <c r="G2" t="s">
        <v>290</v>
      </c>
      <c r="H2" t="b">
        <v>0</v>
      </c>
      <c r="I2" t="b">
        <v>0</v>
      </c>
      <c r="J2" t="s">
        <v>296</v>
      </c>
      <c r="K2" t="s">
        <v>297</v>
      </c>
      <c r="L2" t="s">
        <v>298</v>
      </c>
      <c r="M2" t="s">
        <v>302</v>
      </c>
      <c r="N2" t="s">
        <v>306</v>
      </c>
      <c r="O2" t="s">
        <v>307</v>
      </c>
      <c r="P2" t="s">
        <v>308</v>
      </c>
      <c r="Q2" t="s">
        <v>313</v>
      </c>
      <c r="R2" t="s">
        <v>318</v>
      </c>
      <c r="T2" t="s">
        <v>377</v>
      </c>
      <c r="U2" t="s">
        <v>383</v>
      </c>
      <c r="V2" t="s">
        <v>391</v>
      </c>
      <c r="W2" t="s">
        <v>387</v>
      </c>
      <c r="X2" t="s">
        <v>395</v>
      </c>
      <c r="Y2" t="s">
        <v>390</v>
      </c>
      <c r="Z2" t="s">
        <v>398</v>
      </c>
      <c r="AA2" t="s">
        <v>383</v>
      </c>
      <c r="AB2" t="s">
        <v>391</v>
      </c>
      <c r="AC2" s="2">
        <v>45455</v>
      </c>
      <c r="AD2" s="2">
        <v>45455.33333333334</v>
      </c>
      <c r="AE2" s="2">
        <v>45455.375</v>
      </c>
      <c r="AF2" s="2">
        <v>45456.91666666666</v>
      </c>
      <c r="AG2" s="2">
        <v>45456.91666666666</v>
      </c>
      <c r="AH2" s="2">
        <v>45458.54166666666</v>
      </c>
      <c r="AI2" s="2">
        <v>45459.29166666666</v>
      </c>
      <c r="AJ2" s="2">
        <v>45459.54166666666</v>
      </c>
      <c r="AK2" s="2">
        <v>45459.54166666666</v>
      </c>
      <c r="AM2" s="2">
        <v>45459.54166666666</v>
      </c>
      <c r="AN2" s="2">
        <v>45509</v>
      </c>
      <c r="AO2">
        <v>0</v>
      </c>
      <c r="AR2" t="s">
        <v>287</v>
      </c>
      <c r="AS2">
        <v>8</v>
      </c>
      <c r="AT2">
        <v>1</v>
      </c>
      <c r="AU2">
        <v>37</v>
      </c>
      <c r="AV2">
        <v>39</v>
      </c>
      <c r="AW2">
        <v>18</v>
      </c>
      <c r="AX2" t="s">
        <v>399</v>
      </c>
      <c r="AY2">
        <v>3</v>
      </c>
      <c r="AZ2">
        <v>10</v>
      </c>
      <c r="BA2">
        <v>1</v>
      </c>
      <c r="BB2">
        <v>5.071732504849226</v>
      </c>
      <c r="BC2">
        <v>17.69918178437526</v>
      </c>
      <c r="BD2">
        <v>12.88432619191906</v>
      </c>
      <c r="BE2">
        <v>15.79001595734306</v>
      </c>
      <c r="BF2">
        <v>0</v>
      </c>
      <c r="BG2">
        <v>51.4452564384866</v>
      </c>
      <c r="BH2">
        <v>54.33418910276371</v>
      </c>
      <c r="BK2">
        <v>9</v>
      </c>
      <c r="BL2">
        <v>56</v>
      </c>
      <c r="BM2">
        <v>39</v>
      </c>
      <c r="BN2">
        <v>561.7707912659606</v>
      </c>
      <c r="BO2" t="s">
        <v>498</v>
      </c>
      <c r="BP2" t="s">
        <v>502</v>
      </c>
      <c r="BS2" t="b">
        <v>0</v>
      </c>
      <c r="BU2">
        <v>3</v>
      </c>
      <c r="BV2">
        <v>2</v>
      </c>
    </row>
    <row r="3" spans="1:74">
      <c r="A3">
        <v>183712</v>
      </c>
      <c r="B3" t="s">
        <v>75</v>
      </c>
      <c r="C3" t="s">
        <v>175</v>
      </c>
      <c r="D3" t="s">
        <v>275</v>
      </c>
      <c r="E3" t="s">
        <v>279</v>
      </c>
      <c r="F3" t="s">
        <v>283</v>
      </c>
      <c r="G3" t="s">
        <v>291</v>
      </c>
      <c r="H3" t="b">
        <v>1</v>
      </c>
      <c r="I3" t="b">
        <v>0</v>
      </c>
      <c r="J3" t="s">
        <v>296</v>
      </c>
      <c r="K3" t="s">
        <v>297</v>
      </c>
      <c r="L3" t="s">
        <v>299</v>
      </c>
      <c r="M3" t="s">
        <v>303</v>
      </c>
      <c r="N3" t="s">
        <v>306</v>
      </c>
      <c r="O3" t="s">
        <v>307</v>
      </c>
      <c r="P3" t="s">
        <v>308</v>
      </c>
      <c r="Q3" t="s">
        <v>313</v>
      </c>
      <c r="R3" t="s">
        <v>319</v>
      </c>
      <c r="S3" t="s">
        <v>341</v>
      </c>
      <c r="T3" t="s">
        <v>378</v>
      </c>
      <c r="U3" t="s">
        <v>384</v>
      </c>
      <c r="V3" t="s">
        <v>392</v>
      </c>
      <c r="W3" t="s">
        <v>385</v>
      </c>
      <c r="X3" t="s">
        <v>393</v>
      </c>
      <c r="AC3" s="2">
        <v>45318</v>
      </c>
      <c r="AD3" s="2">
        <v>45319.83333333334</v>
      </c>
      <c r="AM3" s="2">
        <v>45319.83333333334</v>
      </c>
      <c r="AN3" s="2">
        <v>45372</v>
      </c>
      <c r="AO3">
        <v>0</v>
      </c>
      <c r="AR3" t="s">
        <v>286</v>
      </c>
      <c r="AS3">
        <v>4</v>
      </c>
      <c r="AX3" t="s">
        <v>400</v>
      </c>
      <c r="AY3">
        <v>4</v>
      </c>
      <c r="AZ3">
        <v>4</v>
      </c>
      <c r="BA3">
        <v>1</v>
      </c>
      <c r="BB3">
        <v>4.270092674216461</v>
      </c>
      <c r="BC3">
        <v>38.69953794270311</v>
      </c>
      <c r="BD3">
        <v>1.383428190554868</v>
      </c>
      <c r="BE3">
        <v>12.30067277888412</v>
      </c>
      <c r="BF3">
        <v>0</v>
      </c>
      <c r="BG3">
        <v>56.65373158635856</v>
      </c>
      <c r="BH3">
        <v>62.74182041554231</v>
      </c>
      <c r="BL3">
        <v>0</v>
      </c>
      <c r="BM3">
        <v>0</v>
      </c>
      <c r="BN3">
        <v>698.7707912664237</v>
      </c>
      <c r="BR3" t="s">
        <v>509</v>
      </c>
      <c r="BS3" t="b">
        <v>0</v>
      </c>
      <c r="BU3">
        <v>0</v>
      </c>
      <c r="BV3">
        <v>0</v>
      </c>
    </row>
    <row r="4" spans="1:74">
      <c r="A4">
        <v>186097</v>
      </c>
      <c r="B4" t="s">
        <v>76</v>
      </c>
      <c r="C4" t="s">
        <v>176</v>
      </c>
      <c r="D4" t="s">
        <v>274</v>
      </c>
      <c r="E4" t="s">
        <v>279</v>
      </c>
      <c r="F4" t="s">
        <v>284</v>
      </c>
      <c r="G4" t="s">
        <v>292</v>
      </c>
      <c r="H4" t="b">
        <v>1</v>
      </c>
      <c r="I4" t="b">
        <v>1</v>
      </c>
      <c r="J4" t="s">
        <v>296</v>
      </c>
      <c r="K4" t="s">
        <v>297</v>
      </c>
      <c r="L4" t="s">
        <v>300</v>
      </c>
      <c r="M4" t="s">
        <v>304</v>
      </c>
      <c r="N4" t="s">
        <v>306</v>
      </c>
      <c r="O4" t="s">
        <v>307</v>
      </c>
      <c r="P4" t="s">
        <v>309</v>
      </c>
      <c r="Q4" t="s">
        <v>314</v>
      </c>
      <c r="R4" t="s">
        <v>320</v>
      </c>
      <c r="S4" t="s">
        <v>342</v>
      </c>
      <c r="T4" t="s">
        <v>378</v>
      </c>
      <c r="U4" t="s">
        <v>385</v>
      </c>
      <c r="V4" t="s">
        <v>393</v>
      </c>
      <c r="W4" t="s">
        <v>383</v>
      </c>
      <c r="X4" t="s">
        <v>391</v>
      </c>
      <c r="AC4" s="2">
        <v>45431</v>
      </c>
      <c r="AD4" s="2">
        <v>45431.25</v>
      </c>
      <c r="AE4" s="2">
        <v>45432.04166666666</v>
      </c>
      <c r="AM4" s="2">
        <v>45432.04166666666</v>
      </c>
      <c r="AN4" s="2">
        <v>45465</v>
      </c>
      <c r="AO4">
        <v>0</v>
      </c>
      <c r="AR4" t="s">
        <v>283</v>
      </c>
      <c r="AS4">
        <v>2</v>
      </c>
      <c r="AT4">
        <v>19</v>
      </c>
      <c r="AX4" t="s">
        <v>401</v>
      </c>
      <c r="AY4">
        <v>2</v>
      </c>
      <c r="AZ4">
        <v>3</v>
      </c>
      <c r="BA4">
        <v>1</v>
      </c>
      <c r="BB4">
        <v>0.8860906343749202</v>
      </c>
      <c r="BC4">
        <v>38.58117910648086</v>
      </c>
      <c r="BD4">
        <v>7.804945985216189</v>
      </c>
      <c r="BE4">
        <v>6.643893782963737</v>
      </c>
      <c r="BF4">
        <v>0</v>
      </c>
      <c r="BG4">
        <v>53.91610950903571</v>
      </c>
      <c r="BH4">
        <v>63.27070240960576</v>
      </c>
      <c r="BK4">
        <v>25</v>
      </c>
      <c r="BL4">
        <v>19</v>
      </c>
      <c r="BM4">
        <v>0</v>
      </c>
      <c r="BN4">
        <v>585.7707912665973</v>
      </c>
      <c r="BR4" t="s">
        <v>510</v>
      </c>
      <c r="BS4" t="b">
        <v>0</v>
      </c>
      <c r="BU4">
        <v>0</v>
      </c>
      <c r="BV4">
        <v>0</v>
      </c>
    </row>
    <row r="5" spans="1:74">
      <c r="A5">
        <v>186218</v>
      </c>
      <c r="B5" t="s">
        <v>77</v>
      </c>
      <c r="C5" t="s">
        <v>177</v>
      </c>
      <c r="D5" t="s">
        <v>274</v>
      </c>
      <c r="E5" t="s">
        <v>279</v>
      </c>
      <c r="F5" t="s">
        <v>285</v>
      </c>
      <c r="G5" t="s">
        <v>293</v>
      </c>
      <c r="H5" t="b">
        <v>1</v>
      </c>
      <c r="I5" t="b">
        <v>0</v>
      </c>
      <c r="J5" t="s">
        <v>296</v>
      </c>
      <c r="K5" t="s">
        <v>297</v>
      </c>
      <c r="L5" t="s">
        <v>301</v>
      </c>
      <c r="M5" t="s">
        <v>305</v>
      </c>
      <c r="N5" t="s">
        <v>306</v>
      </c>
      <c r="O5" t="s">
        <v>307</v>
      </c>
      <c r="P5" t="s">
        <v>310</v>
      </c>
      <c r="Q5" t="s">
        <v>315</v>
      </c>
      <c r="R5" t="s">
        <v>321</v>
      </c>
      <c r="S5" t="s">
        <v>343</v>
      </c>
      <c r="T5" t="s">
        <v>377</v>
      </c>
      <c r="U5" t="s">
        <v>384</v>
      </c>
      <c r="V5" t="s">
        <v>392</v>
      </c>
      <c r="W5" t="s">
        <v>383</v>
      </c>
      <c r="X5" t="s">
        <v>391</v>
      </c>
      <c r="Y5" t="s">
        <v>389</v>
      </c>
      <c r="Z5" t="s">
        <v>397</v>
      </c>
      <c r="AA5" t="s">
        <v>385</v>
      </c>
      <c r="AB5" t="s">
        <v>393</v>
      </c>
      <c r="AC5" s="2">
        <v>45300</v>
      </c>
      <c r="AD5" s="2">
        <v>45300.08333333334</v>
      </c>
      <c r="AE5" s="2">
        <v>45300.20833333334</v>
      </c>
      <c r="AF5" s="2">
        <v>45301.41666666666</v>
      </c>
      <c r="AG5" s="2">
        <v>45301.41666666666</v>
      </c>
      <c r="AH5" s="2">
        <v>45302.95833333334</v>
      </c>
      <c r="AI5" s="2">
        <v>45304.45833333334</v>
      </c>
      <c r="AJ5" s="2">
        <v>45305.33333333334</v>
      </c>
      <c r="AK5" s="2">
        <v>45305.375</v>
      </c>
      <c r="AL5" s="2">
        <v>45306.875</v>
      </c>
      <c r="AM5" s="2">
        <v>45306.875</v>
      </c>
      <c r="AN5" s="2">
        <v>45319</v>
      </c>
      <c r="AO5">
        <v>3</v>
      </c>
      <c r="AP5" s="2">
        <v>45310.875</v>
      </c>
      <c r="AQ5" s="2">
        <v>45313.875</v>
      </c>
      <c r="AR5" t="s">
        <v>282</v>
      </c>
      <c r="AS5">
        <v>9</v>
      </c>
      <c r="AT5">
        <v>3</v>
      </c>
      <c r="AU5">
        <v>29</v>
      </c>
      <c r="AV5">
        <v>37</v>
      </c>
      <c r="AW5">
        <v>36</v>
      </c>
      <c r="AX5" t="s">
        <v>402</v>
      </c>
      <c r="AY5">
        <v>4</v>
      </c>
      <c r="AZ5">
        <v>9</v>
      </c>
      <c r="BA5">
        <v>4</v>
      </c>
      <c r="BB5">
        <v>2.589848481774586</v>
      </c>
      <c r="BC5">
        <v>34.26736876322704</v>
      </c>
      <c r="BD5">
        <v>12.70426835642761</v>
      </c>
      <c r="BE5">
        <v>2.252510750480031</v>
      </c>
      <c r="BF5">
        <v>23.16955175206918</v>
      </c>
      <c r="BG5">
        <v>74.98354810397845</v>
      </c>
      <c r="BH5">
        <v>74.91346243305478</v>
      </c>
      <c r="BI5">
        <v>165</v>
      </c>
      <c r="BJ5">
        <v>131</v>
      </c>
      <c r="BK5">
        <v>5</v>
      </c>
      <c r="BL5">
        <v>68</v>
      </c>
      <c r="BM5">
        <v>37</v>
      </c>
      <c r="BN5">
        <v>716.7707912667362</v>
      </c>
      <c r="BO5" t="s">
        <v>292</v>
      </c>
      <c r="BP5" t="s">
        <v>502</v>
      </c>
      <c r="BQ5" t="s">
        <v>505</v>
      </c>
      <c r="BS5" t="b">
        <v>1</v>
      </c>
      <c r="BT5">
        <v>191994</v>
      </c>
      <c r="BU5">
        <v>2</v>
      </c>
      <c r="BV5">
        <v>0</v>
      </c>
    </row>
    <row r="6" spans="1:74">
      <c r="A6">
        <v>187649</v>
      </c>
      <c r="B6" t="s">
        <v>78</v>
      </c>
      <c r="C6" t="s">
        <v>178</v>
      </c>
      <c r="D6" t="s">
        <v>276</v>
      </c>
      <c r="E6" t="s">
        <v>280</v>
      </c>
      <c r="F6" t="s">
        <v>282</v>
      </c>
      <c r="G6" t="s">
        <v>291</v>
      </c>
      <c r="H6" t="b">
        <v>1</v>
      </c>
      <c r="I6" t="b">
        <v>1</v>
      </c>
      <c r="J6" t="s">
        <v>296</v>
      </c>
      <c r="K6" t="s">
        <v>297</v>
      </c>
      <c r="L6" t="s">
        <v>299</v>
      </c>
      <c r="M6" t="s">
        <v>303</v>
      </c>
      <c r="N6" t="s">
        <v>306</v>
      </c>
      <c r="O6" t="s">
        <v>307</v>
      </c>
      <c r="P6" t="s">
        <v>311</v>
      </c>
      <c r="Q6" t="s">
        <v>316</v>
      </c>
      <c r="R6" t="s">
        <v>322</v>
      </c>
      <c r="T6" t="s">
        <v>378</v>
      </c>
      <c r="U6" t="s">
        <v>386</v>
      </c>
      <c r="V6" t="s">
        <v>394</v>
      </c>
      <c r="W6" t="s">
        <v>386</v>
      </c>
      <c r="X6" t="s">
        <v>394</v>
      </c>
      <c r="Y6" t="s">
        <v>386</v>
      </c>
      <c r="Z6" t="s">
        <v>394</v>
      </c>
      <c r="AA6" t="s">
        <v>390</v>
      </c>
      <c r="AB6" t="s">
        <v>398</v>
      </c>
      <c r="AC6" s="2">
        <v>45442</v>
      </c>
      <c r="AD6" s="2">
        <v>45442.75</v>
      </c>
      <c r="AE6" s="2">
        <v>45442.79166666666</v>
      </c>
      <c r="AF6" s="2">
        <v>45443.70833333334</v>
      </c>
      <c r="AG6" s="2">
        <v>45443.70833333334</v>
      </c>
      <c r="AH6" s="2">
        <v>45447.75</v>
      </c>
      <c r="AI6" s="2">
        <v>45449.04166666666</v>
      </c>
      <c r="AJ6" s="2">
        <v>45449.54166666666</v>
      </c>
      <c r="AK6" s="2">
        <v>45449.54166666666</v>
      </c>
      <c r="AM6" s="2">
        <v>45449.54166666666</v>
      </c>
      <c r="AN6" s="2">
        <v>45466</v>
      </c>
      <c r="AO6">
        <v>0</v>
      </c>
      <c r="AR6" t="s">
        <v>287</v>
      </c>
      <c r="AS6">
        <v>8</v>
      </c>
      <c r="AT6">
        <v>1</v>
      </c>
      <c r="AU6">
        <v>22</v>
      </c>
      <c r="AV6">
        <v>97</v>
      </c>
      <c r="AW6">
        <v>31</v>
      </c>
      <c r="AX6" t="s">
        <v>403</v>
      </c>
      <c r="AY6">
        <v>4</v>
      </c>
      <c r="AZ6">
        <v>10</v>
      </c>
      <c r="BA6">
        <v>1</v>
      </c>
      <c r="BB6">
        <v>7.311994144749903</v>
      </c>
      <c r="BC6">
        <v>12.48350679071384</v>
      </c>
      <c r="BD6">
        <v>10.31115704231171</v>
      </c>
      <c r="BE6">
        <v>12.65720373891155</v>
      </c>
      <c r="BF6">
        <v>0</v>
      </c>
      <c r="BG6">
        <v>42.763861716687</v>
      </c>
      <c r="BH6">
        <v>32.16493150976801</v>
      </c>
      <c r="BK6">
        <v>19</v>
      </c>
      <c r="BL6">
        <v>54</v>
      </c>
      <c r="BM6">
        <v>97</v>
      </c>
      <c r="BN6">
        <v>574.7707912668634</v>
      </c>
      <c r="BO6" t="s">
        <v>499</v>
      </c>
      <c r="BP6" t="s">
        <v>502</v>
      </c>
      <c r="BS6" t="b">
        <v>0</v>
      </c>
      <c r="BU6">
        <v>1</v>
      </c>
      <c r="BV6">
        <v>0</v>
      </c>
    </row>
    <row r="7" spans="1:74">
      <c r="A7">
        <v>188959</v>
      </c>
      <c r="B7" t="s">
        <v>79</v>
      </c>
      <c r="C7" t="s">
        <v>179</v>
      </c>
      <c r="D7" t="s">
        <v>276</v>
      </c>
      <c r="E7" t="s">
        <v>281</v>
      </c>
      <c r="F7" t="s">
        <v>286</v>
      </c>
      <c r="G7" t="s">
        <v>290</v>
      </c>
      <c r="H7" t="b">
        <v>0</v>
      </c>
      <c r="I7" t="b">
        <v>0</v>
      </c>
      <c r="J7" t="s">
        <v>296</v>
      </c>
      <c r="K7" t="s">
        <v>297</v>
      </c>
      <c r="L7" t="s">
        <v>301</v>
      </c>
      <c r="M7" t="s">
        <v>305</v>
      </c>
      <c r="N7" t="s">
        <v>306</v>
      </c>
      <c r="O7" t="s">
        <v>307</v>
      </c>
      <c r="P7" t="s">
        <v>312</v>
      </c>
      <c r="Q7" t="s">
        <v>317</v>
      </c>
      <c r="R7" t="s">
        <v>323</v>
      </c>
      <c r="T7" t="s">
        <v>379</v>
      </c>
      <c r="U7" t="s">
        <v>387</v>
      </c>
      <c r="V7" t="s">
        <v>395</v>
      </c>
      <c r="W7" t="s">
        <v>388</v>
      </c>
      <c r="X7" t="s">
        <v>396</v>
      </c>
      <c r="AC7" s="2">
        <v>45331</v>
      </c>
      <c r="AM7" s="2">
        <v>45331</v>
      </c>
      <c r="AN7" s="2">
        <v>45351</v>
      </c>
      <c r="AO7">
        <v>0</v>
      </c>
      <c r="AS7">
        <v>3</v>
      </c>
      <c r="AX7" t="s">
        <v>404</v>
      </c>
      <c r="AY7">
        <v>1</v>
      </c>
      <c r="AZ7">
        <v>5</v>
      </c>
      <c r="BA7">
        <v>1</v>
      </c>
      <c r="BB7">
        <v>2.296714180002293</v>
      </c>
      <c r="BC7">
        <v>16.01881141547508</v>
      </c>
      <c r="BD7">
        <v>17.20155190317228</v>
      </c>
      <c r="BE7">
        <v>9.376063746037076</v>
      </c>
      <c r="BF7">
        <v>0</v>
      </c>
      <c r="BG7">
        <v>44.89314124468674</v>
      </c>
      <c r="BH7">
        <v>45.89263877846391</v>
      </c>
      <c r="BL7">
        <v>0</v>
      </c>
      <c r="BM7">
        <v>0</v>
      </c>
      <c r="BN7">
        <v>685.7707912669907</v>
      </c>
      <c r="BS7" t="b">
        <v>0</v>
      </c>
      <c r="BU7">
        <v>0</v>
      </c>
      <c r="BV7">
        <v>0</v>
      </c>
    </row>
    <row r="8" spans="1:74">
      <c r="A8">
        <v>189035</v>
      </c>
      <c r="B8" t="s">
        <v>80</v>
      </c>
      <c r="C8" t="s">
        <v>180</v>
      </c>
      <c r="D8" t="s">
        <v>277</v>
      </c>
      <c r="E8" t="s">
        <v>279</v>
      </c>
      <c r="F8" t="s">
        <v>283</v>
      </c>
      <c r="G8" t="s">
        <v>294</v>
      </c>
      <c r="H8" t="b">
        <v>1</v>
      </c>
      <c r="I8" t="b">
        <v>0</v>
      </c>
      <c r="J8" t="s">
        <v>296</v>
      </c>
      <c r="K8" t="s">
        <v>297</v>
      </c>
      <c r="L8" t="s">
        <v>300</v>
      </c>
      <c r="M8" t="s">
        <v>304</v>
      </c>
      <c r="N8" t="s">
        <v>306</v>
      </c>
      <c r="O8" t="s">
        <v>307</v>
      </c>
      <c r="P8" t="s">
        <v>311</v>
      </c>
      <c r="Q8" t="s">
        <v>316</v>
      </c>
      <c r="R8" t="s">
        <v>324</v>
      </c>
      <c r="T8" t="s">
        <v>380</v>
      </c>
      <c r="U8" t="s">
        <v>384</v>
      </c>
      <c r="V8" t="s">
        <v>392</v>
      </c>
      <c r="W8" t="s">
        <v>385</v>
      </c>
      <c r="X8" t="s">
        <v>393</v>
      </c>
      <c r="AC8" s="2">
        <v>45378</v>
      </c>
      <c r="AD8" s="2">
        <v>45378.29166666666</v>
      </c>
      <c r="AM8" s="2">
        <v>45378.29166666666</v>
      </c>
      <c r="AN8" s="2">
        <v>45390</v>
      </c>
      <c r="AO8">
        <v>0</v>
      </c>
      <c r="AR8" t="s">
        <v>286</v>
      </c>
      <c r="AS8">
        <v>1</v>
      </c>
      <c r="AX8" t="s">
        <v>405</v>
      </c>
      <c r="AY8">
        <v>2</v>
      </c>
      <c r="AZ8">
        <v>2</v>
      </c>
      <c r="BA8">
        <v>1</v>
      </c>
      <c r="BB8">
        <v>1.586711540684173</v>
      </c>
      <c r="BC8">
        <v>34.19433018915742</v>
      </c>
      <c r="BD8">
        <v>13.34452581656943</v>
      </c>
      <c r="BE8">
        <v>7.363330138704645</v>
      </c>
      <c r="BF8">
        <v>0</v>
      </c>
      <c r="BG8">
        <v>56.48889768511567</v>
      </c>
      <c r="BH8">
        <v>59.43223310356116</v>
      </c>
      <c r="BL8">
        <v>0</v>
      </c>
      <c r="BM8">
        <v>0</v>
      </c>
      <c r="BN8">
        <v>638.7707912671181</v>
      </c>
      <c r="BR8" t="s">
        <v>511</v>
      </c>
      <c r="BS8" t="b">
        <v>0</v>
      </c>
      <c r="BU8">
        <v>0</v>
      </c>
      <c r="BV8">
        <v>0</v>
      </c>
    </row>
    <row r="9" spans="1:74">
      <c r="A9">
        <v>189703</v>
      </c>
      <c r="B9" t="s">
        <v>81</v>
      </c>
      <c r="C9" t="s">
        <v>181</v>
      </c>
      <c r="D9" t="s">
        <v>275</v>
      </c>
      <c r="E9" t="s">
        <v>280</v>
      </c>
      <c r="F9" t="s">
        <v>282</v>
      </c>
      <c r="G9" t="s">
        <v>291</v>
      </c>
      <c r="H9" t="b">
        <v>0</v>
      </c>
      <c r="I9" t="b">
        <v>0</v>
      </c>
      <c r="J9" t="s">
        <v>296</v>
      </c>
      <c r="K9" t="s">
        <v>297</v>
      </c>
      <c r="L9" t="s">
        <v>298</v>
      </c>
      <c r="M9" t="s">
        <v>302</v>
      </c>
      <c r="N9" t="s">
        <v>306</v>
      </c>
      <c r="O9" t="s">
        <v>307</v>
      </c>
      <c r="P9" t="s">
        <v>312</v>
      </c>
      <c r="Q9" t="s">
        <v>317</v>
      </c>
      <c r="R9" t="s">
        <v>319</v>
      </c>
      <c r="S9" t="s">
        <v>344</v>
      </c>
      <c r="T9" t="s">
        <v>378</v>
      </c>
      <c r="U9" t="s">
        <v>385</v>
      </c>
      <c r="V9" t="s">
        <v>393</v>
      </c>
      <c r="W9" t="s">
        <v>390</v>
      </c>
      <c r="X9" t="s">
        <v>398</v>
      </c>
      <c r="Y9" t="s">
        <v>390</v>
      </c>
      <c r="Z9" t="s">
        <v>398</v>
      </c>
      <c r="AA9" t="s">
        <v>386</v>
      </c>
      <c r="AB9" t="s">
        <v>394</v>
      </c>
      <c r="AC9" s="2">
        <v>45389</v>
      </c>
      <c r="AD9" s="2">
        <v>45389.29166666666</v>
      </c>
      <c r="AE9" s="2">
        <v>45389.79166666666</v>
      </c>
      <c r="AF9" s="2">
        <v>45391.70833333334</v>
      </c>
      <c r="AG9" s="2">
        <v>45391.70833333334</v>
      </c>
      <c r="AH9" s="2">
        <v>45395.25</v>
      </c>
      <c r="AI9" s="2">
        <v>45396.08333333334</v>
      </c>
      <c r="AJ9" s="2">
        <v>45396.20833333334</v>
      </c>
      <c r="AK9" s="2">
        <v>45396.20833333334</v>
      </c>
      <c r="AM9" s="2">
        <v>45396.20833333334</v>
      </c>
      <c r="AN9" s="2">
        <v>45442</v>
      </c>
      <c r="AO9">
        <v>0</v>
      </c>
      <c r="AR9" t="s">
        <v>287</v>
      </c>
      <c r="AS9">
        <v>6</v>
      </c>
      <c r="AT9">
        <v>12</v>
      </c>
      <c r="AU9">
        <v>46</v>
      </c>
      <c r="AV9">
        <v>85</v>
      </c>
      <c r="AW9">
        <v>20</v>
      </c>
      <c r="AX9" t="s">
        <v>406</v>
      </c>
      <c r="AY9">
        <v>2</v>
      </c>
      <c r="AZ9">
        <v>6</v>
      </c>
      <c r="BA9">
        <v>1</v>
      </c>
      <c r="BB9">
        <v>4.170895702081722</v>
      </c>
      <c r="BC9">
        <v>13.35995820109483</v>
      </c>
      <c r="BD9">
        <v>3.677221328087879</v>
      </c>
      <c r="BE9">
        <v>14.59531577642104</v>
      </c>
      <c r="BF9">
        <v>0</v>
      </c>
      <c r="BG9">
        <v>35.80339100768546</v>
      </c>
      <c r="BH9">
        <v>41.07593028545084</v>
      </c>
      <c r="BK9">
        <v>19</v>
      </c>
      <c r="BL9">
        <v>78</v>
      </c>
      <c r="BM9">
        <v>85</v>
      </c>
      <c r="BN9">
        <v>627.770791267257</v>
      </c>
      <c r="BO9" t="s">
        <v>500</v>
      </c>
      <c r="BP9" t="s">
        <v>502</v>
      </c>
      <c r="BR9" t="s">
        <v>512</v>
      </c>
      <c r="BS9" t="b">
        <v>0</v>
      </c>
      <c r="BU9">
        <v>1</v>
      </c>
      <c r="BV9">
        <v>1</v>
      </c>
    </row>
    <row r="10" spans="1:74">
      <c r="A10">
        <v>189796</v>
      </c>
      <c r="B10" t="s">
        <v>82</v>
      </c>
      <c r="C10" t="s">
        <v>182</v>
      </c>
      <c r="D10" t="s">
        <v>274</v>
      </c>
      <c r="E10" t="s">
        <v>281</v>
      </c>
      <c r="F10" t="s">
        <v>286</v>
      </c>
      <c r="G10" t="s">
        <v>294</v>
      </c>
      <c r="H10" t="b">
        <v>0</v>
      </c>
      <c r="I10" t="b">
        <v>1</v>
      </c>
      <c r="J10" t="s">
        <v>296</v>
      </c>
      <c r="K10" t="s">
        <v>297</v>
      </c>
      <c r="L10" t="s">
        <v>300</v>
      </c>
      <c r="M10" t="s">
        <v>304</v>
      </c>
      <c r="N10" t="s">
        <v>306</v>
      </c>
      <c r="O10" t="s">
        <v>307</v>
      </c>
      <c r="P10" t="s">
        <v>310</v>
      </c>
      <c r="Q10" t="s">
        <v>315</v>
      </c>
      <c r="R10" t="s">
        <v>325</v>
      </c>
      <c r="T10" t="s">
        <v>380</v>
      </c>
      <c r="U10" t="s">
        <v>388</v>
      </c>
      <c r="V10" t="s">
        <v>396</v>
      </c>
      <c r="W10" t="s">
        <v>383</v>
      </c>
      <c r="X10" t="s">
        <v>391</v>
      </c>
      <c r="AC10" s="2">
        <v>45409</v>
      </c>
      <c r="AM10" s="2">
        <v>45409</v>
      </c>
      <c r="AN10" s="2">
        <v>45450</v>
      </c>
      <c r="AO10">
        <v>0</v>
      </c>
      <c r="AS10">
        <v>2</v>
      </c>
      <c r="AX10" t="s">
        <v>407</v>
      </c>
      <c r="AY10">
        <v>2</v>
      </c>
      <c r="AZ10">
        <v>4</v>
      </c>
      <c r="BA10">
        <v>1</v>
      </c>
      <c r="BB10">
        <v>7.892378405829505</v>
      </c>
      <c r="BC10">
        <v>7.610217120757607</v>
      </c>
      <c r="BD10">
        <v>1.876090574308382</v>
      </c>
      <c r="BE10">
        <v>2.66796223459227</v>
      </c>
      <c r="BF10">
        <v>0</v>
      </c>
      <c r="BG10">
        <v>20.04664833548776</v>
      </c>
      <c r="BH10">
        <v>19.224650109195</v>
      </c>
      <c r="BL10">
        <v>0</v>
      </c>
      <c r="BM10">
        <v>0</v>
      </c>
      <c r="BN10">
        <v>607.7707912673958</v>
      </c>
      <c r="BR10" t="s">
        <v>513</v>
      </c>
      <c r="BS10" t="b">
        <v>0</v>
      </c>
      <c r="BU10">
        <v>0</v>
      </c>
      <c r="BV10">
        <v>0</v>
      </c>
    </row>
    <row r="11" spans="1:74">
      <c r="A11">
        <v>189801</v>
      </c>
      <c r="B11" t="s">
        <v>83</v>
      </c>
      <c r="C11" t="s">
        <v>183</v>
      </c>
      <c r="D11" t="s">
        <v>274</v>
      </c>
      <c r="E11" t="s">
        <v>281</v>
      </c>
      <c r="F11" t="s">
        <v>284</v>
      </c>
      <c r="G11" t="s">
        <v>292</v>
      </c>
      <c r="H11" t="b">
        <v>1</v>
      </c>
      <c r="I11" t="b">
        <v>0</v>
      </c>
      <c r="J11" t="s">
        <v>296</v>
      </c>
      <c r="K11" t="s">
        <v>297</v>
      </c>
      <c r="L11" t="s">
        <v>299</v>
      </c>
      <c r="M11" t="s">
        <v>303</v>
      </c>
      <c r="N11" t="s">
        <v>306</v>
      </c>
      <c r="O11" t="s">
        <v>307</v>
      </c>
      <c r="P11" t="s">
        <v>312</v>
      </c>
      <c r="Q11" t="s">
        <v>317</v>
      </c>
      <c r="R11" t="s">
        <v>320</v>
      </c>
      <c r="S11" t="s">
        <v>345</v>
      </c>
      <c r="T11" t="s">
        <v>377</v>
      </c>
      <c r="U11" t="s">
        <v>383</v>
      </c>
      <c r="V11" t="s">
        <v>391</v>
      </c>
      <c r="W11" t="s">
        <v>389</v>
      </c>
      <c r="X11" t="s">
        <v>397</v>
      </c>
      <c r="AC11" s="2">
        <v>45323</v>
      </c>
      <c r="AD11" s="2">
        <v>45324.04166666666</v>
      </c>
      <c r="AE11" s="2">
        <v>45324.16666666666</v>
      </c>
      <c r="AM11" s="2">
        <v>45324.16666666666</v>
      </c>
      <c r="AN11" s="2">
        <v>45365</v>
      </c>
      <c r="AO11">
        <v>0</v>
      </c>
      <c r="AR11" t="s">
        <v>283</v>
      </c>
      <c r="AS11">
        <v>3</v>
      </c>
      <c r="AT11">
        <v>3</v>
      </c>
      <c r="AX11" t="s">
        <v>408</v>
      </c>
      <c r="AY11">
        <v>4</v>
      </c>
      <c r="AZ11">
        <v>4</v>
      </c>
      <c r="BA11">
        <v>1</v>
      </c>
      <c r="BB11">
        <v>2.315414536336253</v>
      </c>
      <c r="BC11">
        <v>22.71524923587566</v>
      </c>
      <c r="BD11">
        <v>13.02717592502316</v>
      </c>
      <c r="BE11">
        <v>8.389376564362887</v>
      </c>
      <c r="BF11">
        <v>0</v>
      </c>
      <c r="BG11">
        <v>46.44721626159796</v>
      </c>
      <c r="BH11">
        <v>36.06850133191799</v>
      </c>
      <c r="BK11">
        <v>28</v>
      </c>
      <c r="BL11">
        <v>3</v>
      </c>
      <c r="BM11">
        <v>0</v>
      </c>
      <c r="BN11">
        <v>693.7707912675347</v>
      </c>
      <c r="BS11" t="b">
        <v>0</v>
      </c>
      <c r="BU11">
        <v>0</v>
      </c>
      <c r="BV11">
        <v>0</v>
      </c>
    </row>
    <row r="12" spans="1:74">
      <c r="A12">
        <v>189803</v>
      </c>
      <c r="B12" t="s">
        <v>84</v>
      </c>
      <c r="C12" t="s">
        <v>184</v>
      </c>
      <c r="D12" t="s">
        <v>277</v>
      </c>
      <c r="E12" t="s">
        <v>279</v>
      </c>
      <c r="F12" t="s">
        <v>287</v>
      </c>
      <c r="G12" t="s">
        <v>293</v>
      </c>
      <c r="H12" t="b">
        <v>0</v>
      </c>
      <c r="I12" t="b">
        <v>0</v>
      </c>
      <c r="J12" t="s">
        <v>296</v>
      </c>
      <c r="K12" t="s">
        <v>297</v>
      </c>
      <c r="L12" t="s">
        <v>298</v>
      </c>
      <c r="M12" t="s">
        <v>302</v>
      </c>
      <c r="N12" t="s">
        <v>306</v>
      </c>
      <c r="O12" t="s">
        <v>307</v>
      </c>
      <c r="P12" t="s">
        <v>309</v>
      </c>
      <c r="Q12" t="s">
        <v>314</v>
      </c>
      <c r="R12" t="s">
        <v>326</v>
      </c>
      <c r="S12" t="s">
        <v>346</v>
      </c>
      <c r="T12" t="s">
        <v>380</v>
      </c>
      <c r="U12" t="s">
        <v>386</v>
      </c>
      <c r="V12" t="s">
        <v>394</v>
      </c>
      <c r="W12" t="s">
        <v>385</v>
      </c>
      <c r="X12" t="s">
        <v>393</v>
      </c>
      <c r="Y12" t="s">
        <v>387</v>
      </c>
      <c r="Z12" t="s">
        <v>395</v>
      </c>
      <c r="AA12" t="s">
        <v>387</v>
      </c>
      <c r="AB12" t="s">
        <v>395</v>
      </c>
      <c r="AC12" s="2">
        <v>45367</v>
      </c>
      <c r="AD12" s="2">
        <v>45368.70833333334</v>
      </c>
      <c r="AE12" s="2">
        <v>45369.54166666666</v>
      </c>
      <c r="AF12" s="2">
        <v>45371.54166666666</v>
      </c>
      <c r="AG12" s="2">
        <v>45371.54166666666</v>
      </c>
      <c r="AH12" s="2">
        <v>45374.91666666666</v>
      </c>
      <c r="AI12" s="2">
        <v>45375.58333333334</v>
      </c>
      <c r="AM12" s="2">
        <v>45375.58333333334</v>
      </c>
      <c r="AN12" s="2">
        <v>45419</v>
      </c>
      <c r="AO12">
        <v>0</v>
      </c>
      <c r="AR12" t="s">
        <v>289</v>
      </c>
      <c r="AS12">
        <v>7</v>
      </c>
      <c r="AT12">
        <v>20</v>
      </c>
      <c r="AU12">
        <v>48</v>
      </c>
      <c r="AV12">
        <v>81</v>
      </c>
      <c r="AW12">
        <v>16</v>
      </c>
      <c r="AX12" t="s">
        <v>409</v>
      </c>
      <c r="AY12">
        <v>3</v>
      </c>
      <c r="AZ12">
        <v>9</v>
      </c>
      <c r="BA12">
        <v>1</v>
      </c>
      <c r="BB12">
        <v>5.541016605544089</v>
      </c>
      <c r="BC12">
        <v>37.51003619227046</v>
      </c>
      <c r="BD12">
        <v>1.016970555561625</v>
      </c>
      <c r="BE12">
        <v>1.170304671511286</v>
      </c>
      <c r="BF12">
        <v>0</v>
      </c>
      <c r="BG12">
        <v>45.23832802488746</v>
      </c>
      <c r="BH12">
        <v>39.36935812467058</v>
      </c>
      <c r="BK12">
        <v>61</v>
      </c>
      <c r="BL12">
        <v>84</v>
      </c>
      <c r="BM12">
        <v>81</v>
      </c>
      <c r="BN12">
        <v>649.7707912676505</v>
      </c>
      <c r="BO12" t="s">
        <v>500</v>
      </c>
      <c r="BP12" t="s">
        <v>502</v>
      </c>
      <c r="BR12" t="s">
        <v>514</v>
      </c>
      <c r="BS12" t="b">
        <v>0</v>
      </c>
      <c r="BU12">
        <v>0</v>
      </c>
      <c r="BV12">
        <v>2</v>
      </c>
    </row>
    <row r="13" spans="1:74">
      <c r="A13">
        <v>189805</v>
      </c>
      <c r="B13" t="s">
        <v>85</v>
      </c>
      <c r="C13" t="s">
        <v>185</v>
      </c>
      <c r="D13" t="s">
        <v>275</v>
      </c>
      <c r="E13" t="s">
        <v>281</v>
      </c>
      <c r="F13" t="s">
        <v>282</v>
      </c>
      <c r="G13" t="s">
        <v>295</v>
      </c>
      <c r="H13" t="b">
        <v>0</v>
      </c>
      <c r="I13" t="b">
        <v>0</v>
      </c>
      <c r="J13" t="s">
        <v>296</v>
      </c>
      <c r="K13" t="s">
        <v>297</v>
      </c>
      <c r="L13" t="s">
        <v>299</v>
      </c>
      <c r="M13" t="s">
        <v>303</v>
      </c>
      <c r="N13" t="s">
        <v>306</v>
      </c>
      <c r="O13" t="s">
        <v>307</v>
      </c>
      <c r="P13" t="s">
        <v>309</v>
      </c>
      <c r="Q13" t="s">
        <v>314</v>
      </c>
      <c r="R13" t="s">
        <v>327</v>
      </c>
      <c r="T13" t="s">
        <v>381</v>
      </c>
      <c r="U13" t="s">
        <v>388</v>
      </c>
      <c r="V13" t="s">
        <v>396</v>
      </c>
      <c r="W13" t="s">
        <v>386</v>
      </c>
      <c r="X13" t="s">
        <v>394</v>
      </c>
      <c r="Y13" t="s">
        <v>388</v>
      </c>
      <c r="Z13" t="s">
        <v>396</v>
      </c>
      <c r="AA13" t="s">
        <v>388</v>
      </c>
      <c r="AB13" t="s">
        <v>396</v>
      </c>
      <c r="AC13" s="2">
        <v>45309</v>
      </c>
      <c r="AD13" s="2">
        <v>45309.125</v>
      </c>
      <c r="AE13" s="2">
        <v>45310.04166666666</v>
      </c>
      <c r="AF13" s="2">
        <v>45311.33333333334</v>
      </c>
      <c r="AG13" s="2">
        <v>45311.33333333334</v>
      </c>
      <c r="AH13" s="2">
        <v>45315.75</v>
      </c>
      <c r="AI13" s="2">
        <v>45316.66666666666</v>
      </c>
      <c r="AJ13" s="2">
        <v>45316.83333333334</v>
      </c>
      <c r="AK13" s="2">
        <v>45316.83333333334</v>
      </c>
      <c r="AM13" s="2">
        <v>45316.83333333334</v>
      </c>
      <c r="AN13" s="2">
        <v>45330</v>
      </c>
      <c r="AO13">
        <v>0</v>
      </c>
      <c r="AR13" t="s">
        <v>287</v>
      </c>
      <c r="AS13">
        <v>8</v>
      </c>
      <c r="AT13">
        <v>22</v>
      </c>
      <c r="AU13">
        <v>31</v>
      </c>
      <c r="AV13">
        <v>106</v>
      </c>
      <c r="AW13">
        <v>22</v>
      </c>
      <c r="AX13" t="s">
        <v>410</v>
      </c>
      <c r="AY13">
        <v>2</v>
      </c>
      <c r="AZ13">
        <v>10</v>
      </c>
      <c r="BA13">
        <v>1</v>
      </c>
      <c r="BB13">
        <v>6.212147114965382</v>
      </c>
      <c r="BC13">
        <v>28.14516207032395</v>
      </c>
      <c r="BD13">
        <v>11.92262383483253</v>
      </c>
      <c r="BE13">
        <v>8.029909629911895</v>
      </c>
      <c r="BF13">
        <v>0</v>
      </c>
      <c r="BG13">
        <v>54.30984265003376</v>
      </c>
      <c r="BH13">
        <v>49.8482552868773</v>
      </c>
      <c r="BK13">
        <v>25</v>
      </c>
      <c r="BL13">
        <v>75</v>
      </c>
      <c r="BM13">
        <v>106</v>
      </c>
      <c r="BN13">
        <v>707.7707912677662</v>
      </c>
      <c r="BO13" t="s">
        <v>292</v>
      </c>
      <c r="BP13" t="s">
        <v>503</v>
      </c>
      <c r="BR13" t="s">
        <v>515</v>
      </c>
      <c r="BS13" t="b">
        <v>0</v>
      </c>
      <c r="BU13">
        <v>1</v>
      </c>
      <c r="BV13">
        <v>1</v>
      </c>
    </row>
    <row r="14" spans="1:74">
      <c r="A14">
        <v>189808</v>
      </c>
      <c r="B14" t="s">
        <v>86</v>
      </c>
      <c r="C14" t="s">
        <v>186</v>
      </c>
      <c r="D14" t="s">
        <v>275</v>
      </c>
      <c r="E14" t="s">
        <v>280</v>
      </c>
      <c r="F14" t="s">
        <v>282</v>
      </c>
      <c r="G14" t="s">
        <v>293</v>
      </c>
      <c r="H14" t="b">
        <v>1</v>
      </c>
      <c r="I14" t="b">
        <v>0</v>
      </c>
      <c r="J14" t="s">
        <v>296</v>
      </c>
      <c r="K14" t="s">
        <v>297</v>
      </c>
      <c r="L14" t="s">
        <v>298</v>
      </c>
      <c r="M14" t="s">
        <v>302</v>
      </c>
      <c r="N14" t="s">
        <v>306</v>
      </c>
      <c r="O14" t="s">
        <v>307</v>
      </c>
      <c r="P14" t="s">
        <v>309</v>
      </c>
      <c r="Q14" t="s">
        <v>314</v>
      </c>
      <c r="R14" t="s">
        <v>328</v>
      </c>
      <c r="S14" t="s">
        <v>347</v>
      </c>
      <c r="T14" t="s">
        <v>382</v>
      </c>
      <c r="U14" t="s">
        <v>388</v>
      </c>
      <c r="V14" t="s">
        <v>396</v>
      </c>
      <c r="W14" t="s">
        <v>390</v>
      </c>
      <c r="X14" t="s">
        <v>398</v>
      </c>
      <c r="Y14" t="s">
        <v>390</v>
      </c>
      <c r="Z14" t="s">
        <v>398</v>
      </c>
      <c r="AA14" t="s">
        <v>388</v>
      </c>
      <c r="AB14" t="s">
        <v>396</v>
      </c>
      <c r="AC14" s="2">
        <v>45317</v>
      </c>
      <c r="AD14" s="2">
        <v>45318.04166666666</v>
      </c>
      <c r="AE14" s="2">
        <v>45318.41666666666</v>
      </c>
      <c r="AF14" s="2">
        <v>45320.91666666666</v>
      </c>
      <c r="AG14" s="2">
        <v>45320.91666666666</v>
      </c>
      <c r="AH14" s="2">
        <v>45324.625</v>
      </c>
      <c r="AI14" s="2">
        <v>45325.75</v>
      </c>
      <c r="AJ14" s="2">
        <v>45326.04166666666</v>
      </c>
      <c r="AK14" s="2">
        <v>45326.04166666666</v>
      </c>
      <c r="AM14" s="2">
        <v>45326.04166666666</v>
      </c>
      <c r="AN14" s="2">
        <v>45347</v>
      </c>
      <c r="AO14">
        <v>0</v>
      </c>
      <c r="AR14" t="s">
        <v>287</v>
      </c>
      <c r="AS14">
        <v>8</v>
      </c>
      <c r="AT14">
        <v>9</v>
      </c>
      <c r="AU14">
        <v>60</v>
      </c>
      <c r="AV14">
        <v>89</v>
      </c>
      <c r="AW14">
        <v>27</v>
      </c>
      <c r="AX14" t="s">
        <v>411</v>
      </c>
      <c r="AY14">
        <v>4</v>
      </c>
      <c r="AZ14">
        <v>8</v>
      </c>
      <c r="BA14">
        <v>1</v>
      </c>
      <c r="BB14">
        <v>2.282281579942997</v>
      </c>
      <c r="BC14">
        <v>23.23238563348524</v>
      </c>
      <c r="BD14">
        <v>18.83448970778668</v>
      </c>
      <c r="BE14">
        <v>1.84454913522756</v>
      </c>
      <c r="BF14">
        <v>0</v>
      </c>
      <c r="BG14">
        <v>46.19370605644246</v>
      </c>
      <c r="BH14">
        <v>50.23798094922584</v>
      </c>
      <c r="BK14">
        <v>34</v>
      </c>
      <c r="BL14">
        <v>96</v>
      </c>
      <c r="BM14">
        <v>89</v>
      </c>
      <c r="BN14">
        <v>699.7707912678819</v>
      </c>
      <c r="BO14" t="s">
        <v>292</v>
      </c>
      <c r="BP14" t="s">
        <v>502</v>
      </c>
      <c r="BR14" t="s">
        <v>516</v>
      </c>
      <c r="BS14" t="b">
        <v>0</v>
      </c>
      <c r="BU14">
        <v>1</v>
      </c>
      <c r="BV14">
        <v>0</v>
      </c>
    </row>
    <row r="15" spans="1:74">
      <c r="A15">
        <v>190117</v>
      </c>
      <c r="B15" t="s">
        <v>87</v>
      </c>
      <c r="C15" t="s">
        <v>187</v>
      </c>
      <c r="D15" t="s">
        <v>276</v>
      </c>
      <c r="E15" t="s">
        <v>280</v>
      </c>
      <c r="F15" t="s">
        <v>284</v>
      </c>
      <c r="G15" t="s">
        <v>291</v>
      </c>
      <c r="H15" t="b">
        <v>0</v>
      </c>
      <c r="I15" t="b">
        <v>0</v>
      </c>
      <c r="J15" t="s">
        <v>296</v>
      </c>
      <c r="K15" t="s">
        <v>297</v>
      </c>
      <c r="L15" t="s">
        <v>301</v>
      </c>
      <c r="M15" t="s">
        <v>305</v>
      </c>
      <c r="N15" t="s">
        <v>306</v>
      </c>
      <c r="O15" t="s">
        <v>307</v>
      </c>
      <c r="P15" t="s">
        <v>309</v>
      </c>
      <c r="Q15" t="s">
        <v>314</v>
      </c>
      <c r="R15" t="s">
        <v>322</v>
      </c>
      <c r="S15" t="s">
        <v>348</v>
      </c>
      <c r="T15" t="s">
        <v>381</v>
      </c>
      <c r="U15" t="s">
        <v>388</v>
      </c>
      <c r="V15" t="s">
        <v>396</v>
      </c>
      <c r="W15" t="s">
        <v>388</v>
      </c>
      <c r="X15" t="s">
        <v>396</v>
      </c>
      <c r="AC15" s="2">
        <v>45382</v>
      </c>
      <c r="AD15" s="2">
        <v>45382.58333333334</v>
      </c>
      <c r="AE15" s="2">
        <v>45383.5</v>
      </c>
      <c r="AM15" s="2">
        <v>45383.5</v>
      </c>
      <c r="AN15" s="2">
        <v>45406</v>
      </c>
      <c r="AO15">
        <v>0</v>
      </c>
      <c r="AR15" t="s">
        <v>283</v>
      </c>
      <c r="AS15">
        <v>4</v>
      </c>
      <c r="AT15">
        <v>22</v>
      </c>
      <c r="AX15" t="s">
        <v>412</v>
      </c>
      <c r="AY15">
        <v>1</v>
      </c>
      <c r="AZ15">
        <v>6</v>
      </c>
      <c r="BA15">
        <v>1</v>
      </c>
      <c r="BB15">
        <v>5.961622614588947</v>
      </c>
      <c r="BC15">
        <v>4.789883257059973</v>
      </c>
      <c r="BD15">
        <v>11.72174646857964</v>
      </c>
      <c r="BE15">
        <v>2.782268744021079</v>
      </c>
      <c r="BF15">
        <v>0</v>
      </c>
      <c r="BG15">
        <v>25.25552108424964</v>
      </c>
      <c r="BH15">
        <v>26.32804686377353</v>
      </c>
      <c r="BK15">
        <v>36</v>
      </c>
      <c r="BL15">
        <v>22</v>
      </c>
      <c r="BM15">
        <v>0</v>
      </c>
      <c r="BN15">
        <v>634.7707912679861</v>
      </c>
      <c r="BS15" t="b">
        <v>0</v>
      </c>
      <c r="BU15">
        <v>0</v>
      </c>
      <c r="BV15">
        <v>0</v>
      </c>
    </row>
    <row r="16" spans="1:74">
      <c r="A16">
        <v>190121</v>
      </c>
      <c r="B16" t="s">
        <v>88</v>
      </c>
      <c r="C16" t="s">
        <v>188</v>
      </c>
      <c r="D16" t="s">
        <v>276</v>
      </c>
      <c r="E16" t="s">
        <v>279</v>
      </c>
      <c r="F16" t="s">
        <v>285</v>
      </c>
      <c r="G16" t="s">
        <v>294</v>
      </c>
      <c r="H16" t="b">
        <v>0</v>
      </c>
      <c r="I16" t="b">
        <v>0</v>
      </c>
      <c r="J16" t="s">
        <v>296</v>
      </c>
      <c r="K16" t="s">
        <v>297</v>
      </c>
      <c r="L16" t="s">
        <v>301</v>
      </c>
      <c r="M16" t="s">
        <v>305</v>
      </c>
      <c r="N16" t="s">
        <v>306</v>
      </c>
      <c r="O16" t="s">
        <v>307</v>
      </c>
      <c r="P16" t="s">
        <v>311</v>
      </c>
      <c r="Q16" t="s">
        <v>316</v>
      </c>
      <c r="R16" t="s">
        <v>329</v>
      </c>
      <c r="T16" t="s">
        <v>377</v>
      </c>
      <c r="U16" t="s">
        <v>389</v>
      </c>
      <c r="V16" t="s">
        <v>397</v>
      </c>
      <c r="W16" t="s">
        <v>388</v>
      </c>
      <c r="X16" t="s">
        <v>396</v>
      </c>
      <c r="Y16" t="s">
        <v>389</v>
      </c>
      <c r="Z16" t="s">
        <v>397</v>
      </c>
      <c r="AA16" t="s">
        <v>386</v>
      </c>
      <c r="AB16" t="s">
        <v>394</v>
      </c>
      <c r="AC16" s="2">
        <v>45471</v>
      </c>
      <c r="AD16" s="2">
        <v>45472.83333333334</v>
      </c>
      <c r="AE16" s="2">
        <v>45473.70833333334</v>
      </c>
      <c r="AF16" s="2">
        <v>45474.16666666666</v>
      </c>
      <c r="AG16" s="2">
        <v>45474.16666666666</v>
      </c>
      <c r="AH16" s="2">
        <v>45477.70833333334</v>
      </c>
      <c r="AI16" s="2">
        <v>45479.54166666666</v>
      </c>
      <c r="AJ16" s="2">
        <v>45479.83333333334</v>
      </c>
      <c r="AK16" s="2">
        <v>45480</v>
      </c>
      <c r="AL16" s="2">
        <v>45480.45833333334</v>
      </c>
      <c r="AM16" s="2">
        <v>45480.45833333334</v>
      </c>
      <c r="AN16" s="2">
        <v>45507</v>
      </c>
      <c r="AO16">
        <v>3</v>
      </c>
      <c r="AP16" s="2">
        <v>45485.45833333334</v>
      </c>
      <c r="AQ16" s="2">
        <v>45490.45833333334</v>
      </c>
      <c r="AR16" t="s">
        <v>282</v>
      </c>
      <c r="AS16">
        <v>10</v>
      </c>
      <c r="AT16">
        <v>21</v>
      </c>
      <c r="AU16">
        <v>11</v>
      </c>
      <c r="AV16">
        <v>85</v>
      </c>
      <c r="AW16">
        <v>44</v>
      </c>
      <c r="AX16" t="s">
        <v>413</v>
      </c>
      <c r="AY16">
        <v>3</v>
      </c>
      <c r="AZ16">
        <v>10</v>
      </c>
      <c r="BA16">
        <v>4</v>
      </c>
      <c r="BB16">
        <v>3.258373495394399</v>
      </c>
      <c r="BC16">
        <v>24.98528184126762</v>
      </c>
      <c r="BD16">
        <v>8.069313561027176</v>
      </c>
      <c r="BE16">
        <v>2.762893701656573</v>
      </c>
      <c r="BF16">
        <v>21.12239304297671</v>
      </c>
      <c r="BG16">
        <v>60.19825564232248</v>
      </c>
      <c r="BH16">
        <v>55.00061999302128</v>
      </c>
      <c r="BI16">
        <v>227</v>
      </c>
      <c r="BJ16">
        <v>151</v>
      </c>
      <c r="BK16">
        <v>65</v>
      </c>
      <c r="BL16">
        <v>76</v>
      </c>
      <c r="BM16">
        <v>85</v>
      </c>
      <c r="BN16">
        <v>545.7707912681714</v>
      </c>
      <c r="BO16" t="s">
        <v>500</v>
      </c>
      <c r="BP16" t="s">
        <v>502</v>
      </c>
      <c r="BQ16" t="s">
        <v>507</v>
      </c>
      <c r="BR16" t="s">
        <v>517</v>
      </c>
      <c r="BS16" t="b">
        <v>0</v>
      </c>
      <c r="BU16">
        <v>2</v>
      </c>
      <c r="BV16">
        <v>0</v>
      </c>
    </row>
    <row r="17" spans="1:74">
      <c r="A17">
        <v>190125</v>
      </c>
      <c r="B17" t="s">
        <v>89</v>
      </c>
      <c r="C17" t="s">
        <v>189</v>
      </c>
      <c r="D17" t="s">
        <v>276</v>
      </c>
      <c r="E17" t="s">
        <v>280</v>
      </c>
      <c r="F17" t="s">
        <v>288</v>
      </c>
      <c r="G17" t="s">
        <v>294</v>
      </c>
      <c r="H17" t="b">
        <v>0</v>
      </c>
      <c r="I17" t="b">
        <v>0</v>
      </c>
      <c r="J17" t="s">
        <v>296</v>
      </c>
      <c r="K17" t="s">
        <v>297</v>
      </c>
      <c r="L17" t="s">
        <v>301</v>
      </c>
      <c r="M17" t="s">
        <v>305</v>
      </c>
      <c r="N17" t="s">
        <v>306</v>
      </c>
      <c r="O17" t="s">
        <v>307</v>
      </c>
      <c r="P17" t="s">
        <v>310</v>
      </c>
      <c r="Q17" t="s">
        <v>315</v>
      </c>
      <c r="R17" t="s">
        <v>329</v>
      </c>
      <c r="T17" t="s">
        <v>378</v>
      </c>
      <c r="U17" t="s">
        <v>383</v>
      </c>
      <c r="V17" t="s">
        <v>391</v>
      </c>
      <c r="W17" t="s">
        <v>386</v>
      </c>
      <c r="X17" t="s">
        <v>394</v>
      </c>
      <c r="AC17" s="2">
        <v>45468</v>
      </c>
      <c r="AD17" s="2">
        <v>45469.5</v>
      </c>
      <c r="AE17" s="2">
        <v>45469.83333333334</v>
      </c>
      <c r="AF17" s="2">
        <v>45471.625</v>
      </c>
      <c r="AG17" s="2">
        <v>45471.625</v>
      </c>
      <c r="AM17" s="2">
        <v>45471.625</v>
      </c>
      <c r="AN17" s="2">
        <v>45528</v>
      </c>
      <c r="AO17">
        <v>0</v>
      </c>
      <c r="AR17" t="s">
        <v>284</v>
      </c>
      <c r="AS17">
        <v>3</v>
      </c>
      <c r="AT17">
        <v>8</v>
      </c>
      <c r="AU17">
        <v>43</v>
      </c>
      <c r="AX17" t="s">
        <v>414</v>
      </c>
      <c r="AY17">
        <v>1</v>
      </c>
      <c r="AZ17">
        <v>5</v>
      </c>
      <c r="BA17">
        <v>1</v>
      </c>
      <c r="BB17">
        <v>5.242293729451846</v>
      </c>
      <c r="BC17">
        <v>39.61210015406627</v>
      </c>
      <c r="BD17">
        <v>13.04412025962589</v>
      </c>
      <c r="BE17">
        <v>10.73815453174095</v>
      </c>
      <c r="BF17">
        <v>0</v>
      </c>
      <c r="BG17">
        <v>68.63666867488496</v>
      </c>
      <c r="BH17">
        <v>88.67234023689474</v>
      </c>
      <c r="BK17">
        <v>44</v>
      </c>
      <c r="BL17">
        <v>51</v>
      </c>
      <c r="BM17">
        <v>0</v>
      </c>
      <c r="BN17">
        <v>548.7707912682986</v>
      </c>
      <c r="BR17" t="s">
        <v>518</v>
      </c>
      <c r="BS17" t="b">
        <v>0</v>
      </c>
      <c r="BU17">
        <v>0</v>
      </c>
      <c r="BV17">
        <v>0</v>
      </c>
    </row>
    <row r="18" spans="1:74">
      <c r="A18">
        <v>190142</v>
      </c>
      <c r="B18" t="s">
        <v>90</v>
      </c>
      <c r="C18" t="s">
        <v>190</v>
      </c>
      <c r="D18" t="s">
        <v>276</v>
      </c>
      <c r="E18" t="s">
        <v>280</v>
      </c>
      <c r="F18" t="s">
        <v>288</v>
      </c>
      <c r="G18" t="s">
        <v>290</v>
      </c>
      <c r="H18" t="b">
        <v>0</v>
      </c>
      <c r="I18" t="b">
        <v>0</v>
      </c>
      <c r="J18" t="s">
        <v>296</v>
      </c>
      <c r="K18" t="s">
        <v>297</v>
      </c>
      <c r="L18" t="s">
        <v>300</v>
      </c>
      <c r="M18" t="s">
        <v>304</v>
      </c>
      <c r="N18" t="s">
        <v>306</v>
      </c>
      <c r="O18" t="s">
        <v>307</v>
      </c>
      <c r="P18" t="s">
        <v>312</v>
      </c>
      <c r="Q18" t="s">
        <v>317</v>
      </c>
      <c r="R18" t="s">
        <v>323</v>
      </c>
      <c r="S18" t="s">
        <v>349</v>
      </c>
      <c r="T18" t="s">
        <v>378</v>
      </c>
      <c r="U18" t="s">
        <v>387</v>
      </c>
      <c r="V18" t="s">
        <v>395</v>
      </c>
      <c r="W18" t="s">
        <v>386</v>
      </c>
      <c r="X18" t="s">
        <v>394</v>
      </c>
      <c r="AC18" s="2">
        <v>45306</v>
      </c>
      <c r="AD18" s="2">
        <v>45306.625</v>
      </c>
      <c r="AE18" s="2">
        <v>45306.70833333334</v>
      </c>
      <c r="AF18" s="2">
        <v>45308.45833333334</v>
      </c>
      <c r="AG18" s="2">
        <v>45308.45833333334</v>
      </c>
      <c r="AM18" s="2">
        <v>45308.45833333334</v>
      </c>
      <c r="AN18" s="2">
        <v>45338</v>
      </c>
      <c r="AO18">
        <v>0</v>
      </c>
      <c r="AR18" t="s">
        <v>284</v>
      </c>
      <c r="AS18">
        <v>6</v>
      </c>
      <c r="AT18">
        <v>2</v>
      </c>
      <c r="AU18">
        <v>42</v>
      </c>
      <c r="AX18" t="s">
        <v>415</v>
      </c>
      <c r="AY18">
        <v>3</v>
      </c>
      <c r="AZ18">
        <v>7</v>
      </c>
      <c r="BA18">
        <v>1</v>
      </c>
      <c r="BB18">
        <v>5.25147283070671</v>
      </c>
      <c r="BC18">
        <v>6.463276594224437</v>
      </c>
      <c r="BD18">
        <v>9.435931364584574</v>
      </c>
      <c r="BE18">
        <v>12.19067318898135</v>
      </c>
      <c r="BF18">
        <v>0</v>
      </c>
      <c r="BG18">
        <v>33.34135397849707</v>
      </c>
      <c r="BH18">
        <v>35.4573593950108</v>
      </c>
      <c r="BK18">
        <v>17</v>
      </c>
      <c r="BL18">
        <v>44</v>
      </c>
      <c r="BM18">
        <v>0</v>
      </c>
      <c r="BN18">
        <v>710.7707912684027</v>
      </c>
      <c r="BR18" t="s">
        <v>519</v>
      </c>
      <c r="BS18" t="b">
        <v>0</v>
      </c>
      <c r="BU18">
        <v>0</v>
      </c>
      <c r="BV18">
        <v>0</v>
      </c>
    </row>
    <row r="19" spans="1:74">
      <c r="A19">
        <v>190225</v>
      </c>
      <c r="B19" t="s">
        <v>91</v>
      </c>
      <c r="C19" t="s">
        <v>191</v>
      </c>
      <c r="D19" t="s">
        <v>274</v>
      </c>
      <c r="E19" t="s">
        <v>281</v>
      </c>
      <c r="F19" t="s">
        <v>285</v>
      </c>
      <c r="G19" t="s">
        <v>294</v>
      </c>
      <c r="H19" t="b">
        <v>0</v>
      </c>
      <c r="I19" t="b">
        <v>0</v>
      </c>
      <c r="J19" t="s">
        <v>296</v>
      </c>
      <c r="K19" t="s">
        <v>297</v>
      </c>
      <c r="L19" t="s">
        <v>299</v>
      </c>
      <c r="M19" t="s">
        <v>303</v>
      </c>
      <c r="N19" t="s">
        <v>306</v>
      </c>
      <c r="O19" t="s">
        <v>307</v>
      </c>
      <c r="P19" t="s">
        <v>312</v>
      </c>
      <c r="Q19" t="s">
        <v>317</v>
      </c>
      <c r="R19" t="s">
        <v>325</v>
      </c>
      <c r="T19" t="s">
        <v>380</v>
      </c>
      <c r="U19" t="s">
        <v>390</v>
      </c>
      <c r="V19" t="s">
        <v>398</v>
      </c>
      <c r="W19" t="s">
        <v>389</v>
      </c>
      <c r="X19" t="s">
        <v>397</v>
      </c>
      <c r="Y19" t="s">
        <v>383</v>
      </c>
      <c r="Z19" t="s">
        <v>391</v>
      </c>
      <c r="AA19" t="s">
        <v>383</v>
      </c>
      <c r="AB19" t="s">
        <v>391</v>
      </c>
      <c r="AC19" s="2">
        <v>45360</v>
      </c>
      <c r="AD19" s="2">
        <v>45360.20833333334</v>
      </c>
      <c r="AE19" s="2">
        <v>45360.5</v>
      </c>
      <c r="AF19" s="2">
        <v>45362.25</v>
      </c>
      <c r="AG19" s="2">
        <v>45362.25</v>
      </c>
      <c r="AH19" s="2">
        <v>45363.70833333334</v>
      </c>
      <c r="AI19" s="2">
        <v>45365.58333333334</v>
      </c>
      <c r="AJ19" s="2">
        <v>45366.29166666666</v>
      </c>
      <c r="AK19" s="2">
        <v>45366.58333333334</v>
      </c>
      <c r="AL19" s="2">
        <v>45368.33333333334</v>
      </c>
      <c r="AM19" s="2">
        <v>45368.33333333334</v>
      </c>
      <c r="AN19" s="2">
        <v>45396</v>
      </c>
      <c r="AO19">
        <v>1</v>
      </c>
      <c r="AP19" s="2">
        <v>45373.33333333334</v>
      </c>
      <c r="AQ19" s="2">
        <v>45373.33333333334</v>
      </c>
      <c r="AR19" t="s">
        <v>282</v>
      </c>
      <c r="AS19">
        <v>10</v>
      </c>
      <c r="AT19">
        <v>7</v>
      </c>
      <c r="AU19">
        <v>42</v>
      </c>
      <c r="AV19">
        <v>35</v>
      </c>
      <c r="AW19">
        <v>45</v>
      </c>
      <c r="AX19" t="s">
        <v>416</v>
      </c>
      <c r="AY19">
        <v>4</v>
      </c>
      <c r="AZ19">
        <v>12</v>
      </c>
      <c r="BA19">
        <v>2</v>
      </c>
      <c r="BB19">
        <v>4.518310130560689</v>
      </c>
      <c r="BC19">
        <v>21.21485644218573</v>
      </c>
      <c r="BD19">
        <v>11.13952739166073</v>
      </c>
      <c r="BE19">
        <v>9.750531476457397</v>
      </c>
      <c r="BF19">
        <v>0.1454466566788192</v>
      </c>
      <c r="BG19">
        <v>46.76867209754337</v>
      </c>
      <c r="BH19">
        <v>39.39493968955212</v>
      </c>
      <c r="BI19">
        <v>200</v>
      </c>
      <c r="BJ19">
        <v>146</v>
      </c>
      <c r="BK19">
        <v>12</v>
      </c>
      <c r="BL19">
        <v>94</v>
      </c>
      <c r="BM19">
        <v>35</v>
      </c>
      <c r="BN19">
        <v>656.7707912685185</v>
      </c>
      <c r="BO19" t="s">
        <v>500</v>
      </c>
      <c r="BP19" t="s">
        <v>502</v>
      </c>
      <c r="BQ19" t="s">
        <v>507</v>
      </c>
      <c r="BR19" t="s">
        <v>520</v>
      </c>
      <c r="BS19" t="b">
        <v>0</v>
      </c>
      <c r="BU19">
        <v>1</v>
      </c>
      <c r="BV19">
        <v>0</v>
      </c>
    </row>
    <row r="20" spans="1:74">
      <c r="A20">
        <v>190227</v>
      </c>
      <c r="B20" t="s">
        <v>92</v>
      </c>
      <c r="C20" t="s">
        <v>192</v>
      </c>
      <c r="D20" t="s">
        <v>274</v>
      </c>
      <c r="E20" t="s">
        <v>280</v>
      </c>
      <c r="F20" t="s">
        <v>282</v>
      </c>
      <c r="G20" t="s">
        <v>290</v>
      </c>
      <c r="H20" t="b">
        <v>0</v>
      </c>
      <c r="I20" t="b">
        <v>1</v>
      </c>
      <c r="J20" t="s">
        <v>296</v>
      </c>
      <c r="K20" t="s">
        <v>297</v>
      </c>
      <c r="L20" t="s">
        <v>300</v>
      </c>
      <c r="M20" t="s">
        <v>304</v>
      </c>
      <c r="N20" t="s">
        <v>306</v>
      </c>
      <c r="O20" t="s">
        <v>307</v>
      </c>
      <c r="P20" t="s">
        <v>309</v>
      </c>
      <c r="Q20" t="s">
        <v>314</v>
      </c>
      <c r="R20" t="s">
        <v>318</v>
      </c>
      <c r="T20" t="s">
        <v>379</v>
      </c>
      <c r="U20" t="s">
        <v>383</v>
      </c>
      <c r="V20" t="s">
        <v>391</v>
      </c>
      <c r="W20" t="s">
        <v>383</v>
      </c>
      <c r="X20" t="s">
        <v>391</v>
      </c>
      <c r="Y20" t="s">
        <v>388</v>
      </c>
      <c r="Z20" t="s">
        <v>396</v>
      </c>
      <c r="AA20" t="s">
        <v>389</v>
      </c>
      <c r="AB20" t="s">
        <v>397</v>
      </c>
      <c r="AC20" s="2">
        <v>45327</v>
      </c>
      <c r="AD20" s="2">
        <v>45327.66666666666</v>
      </c>
      <c r="AE20" s="2">
        <v>45328.66666666666</v>
      </c>
      <c r="AF20" s="2">
        <v>45331.58333333334</v>
      </c>
      <c r="AG20" s="2">
        <v>45331.58333333334</v>
      </c>
      <c r="AH20" s="2">
        <v>45333.29166666666</v>
      </c>
      <c r="AI20" s="2">
        <v>45335</v>
      </c>
      <c r="AJ20" s="2">
        <v>45335.625</v>
      </c>
      <c r="AK20" s="2">
        <v>45335.625</v>
      </c>
      <c r="AM20" s="2">
        <v>45335.625</v>
      </c>
      <c r="AN20" s="2">
        <v>45371</v>
      </c>
      <c r="AO20">
        <v>0</v>
      </c>
      <c r="AR20" t="s">
        <v>287</v>
      </c>
      <c r="AS20">
        <v>9</v>
      </c>
      <c r="AT20">
        <v>24</v>
      </c>
      <c r="AU20">
        <v>70</v>
      </c>
      <c r="AV20">
        <v>41</v>
      </c>
      <c r="AW20">
        <v>41</v>
      </c>
      <c r="AX20" t="s">
        <v>417</v>
      </c>
      <c r="AY20">
        <v>0</v>
      </c>
      <c r="AZ20">
        <v>9</v>
      </c>
      <c r="BA20">
        <v>1</v>
      </c>
      <c r="BB20">
        <v>1.177173275408062</v>
      </c>
      <c r="BC20">
        <v>35.21754980519026</v>
      </c>
      <c r="BD20">
        <v>18.85856377114224</v>
      </c>
      <c r="BE20">
        <v>15.43258822711813</v>
      </c>
      <c r="BF20">
        <v>0</v>
      </c>
      <c r="BG20">
        <v>70.6858750788587</v>
      </c>
      <c r="BH20">
        <v>53.79686244211902</v>
      </c>
      <c r="BK20">
        <v>40</v>
      </c>
      <c r="BL20">
        <v>135</v>
      </c>
      <c r="BM20">
        <v>41</v>
      </c>
      <c r="BN20">
        <v>689.7707912686227</v>
      </c>
      <c r="BO20" t="s">
        <v>498</v>
      </c>
      <c r="BP20" t="s">
        <v>504</v>
      </c>
      <c r="BR20" t="s">
        <v>521</v>
      </c>
      <c r="BS20" t="b">
        <v>0</v>
      </c>
      <c r="BU20">
        <v>3</v>
      </c>
      <c r="BV20">
        <v>0</v>
      </c>
    </row>
    <row r="21" spans="1:74">
      <c r="A21">
        <v>190229</v>
      </c>
      <c r="B21" t="s">
        <v>93</v>
      </c>
      <c r="C21" t="s">
        <v>193</v>
      </c>
      <c r="D21" t="s">
        <v>276</v>
      </c>
      <c r="E21" t="s">
        <v>279</v>
      </c>
      <c r="F21" t="s">
        <v>285</v>
      </c>
      <c r="G21" t="s">
        <v>292</v>
      </c>
      <c r="H21" t="b">
        <v>0</v>
      </c>
      <c r="I21" t="b">
        <v>0</v>
      </c>
      <c r="J21" t="s">
        <v>296</v>
      </c>
      <c r="K21" t="s">
        <v>297</v>
      </c>
      <c r="L21" t="s">
        <v>301</v>
      </c>
      <c r="M21" t="s">
        <v>305</v>
      </c>
      <c r="N21" t="s">
        <v>306</v>
      </c>
      <c r="O21" t="s">
        <v>307</v>
      </c>
      <c r="P21" t="s">
        <v>309</v>
      </c>
      <c r="Q21" t="s">
        <v>314</v>
      </c>
      <c r="R21" t="s">
        <v>330</v>
      </c>
      <c r="S21" t="s">
        <v>350</v>
      </c>
      <c r="T21" t="s">
        <v>382</v>
      </c>
      <c r="U21" t="s">
        <v>389</v>
      </c>
      <c r="V21" t="s">
        <v>397</v>
      </c>
      <c r="W21" t="s">
        <v>388</v>
      </c>
      <c r="X21" t="s">
        <v>396</v>
      </c>
      <c r="Y21" t="s">
        <v>390</v>
      </c>
      <c r="Z21" t="s">
        <v>398</v>
      </c>
      <c r="AA21" t="s">
        <v>390</v>
      </c>
      <c r="AB21" t="s">
        <v>398</v>
      </c>
      <c r="AC21" s="2">
        <v>45394</v>
      </c>
      <c r="AD21" s="2">
        <v>45395</v>
      </c>
      <c r="AE21" s="2">
        <v>45395.33333333334</v>
      </c>
      <c r="AF21" s="2">
        <v>45396.125</v>
      </c>
      <c r="AG21" s="2">
        <v>45396.125</v>
      </c>
      <c r="AH21" s="2">
        <v>45399.16666666666</v>
      </c>
      <c r="AI21" s="2">
        <v>45400.625</v>
      </c>
      <c r="AJ21" s="2">
        <v>45400.79166666666</v>
      </c>
      <c r="AK21" s="2">
        <v>45400.83333333334</v>
      </c>
      <c r="AL21" s="2">
        <v>45401.16666666666</v>
      </c>
      <c r="AM21" s="2">
        <v>45401.16666666666</v>
      </c>
      <c r="AN21" s="2">
        <v>45410</v>
      </c>
      <c r="AO21">
        <v>1</v>
      </c>
      <c r="AP21" s="2">
        <v>45408.16666666666</v>
      </c>
      <c r="AQ21" s="2">
        <v>45408.16666666666</v>
      </c>
      <c r="AR21" t="s">
        <v>282</v>
      </c>
      <c r="AS21">
        <v>9</v>
      </c>
      <c r="AT21">
        <v>8</v>
      </c>
      <c r="AU21">
        <v>19</v>
      </c>
      <c r="AV21">
        <v>73</v>
      </c>
      <c r="AW21">
        <v>35</v>
      </c>
      <c r="AX21" t="s">
        <v>418</v>
      </c>
      <c r="AY21">
        <v>3</v>
      </c>
      <c r="AZ21">
        <v>9</v>
      </c>
      <c r="BA21">
        <v>2</v>
      </c>
      <c r="BB21">
        <v>6.764768716919285</v>
      </c>
      <c r="BC21">
        <v>29.88997609241397</v>
      </c>
      <c r="BD21">
        <v>8.029001437115099</v>
      </c>
      <c r="BE21">
        <v>6.623058692855561</v>
      </c>
      <c r="BF21">
        <v>5.899176868546331</v>
      </c>
      <c r="BG21">
        <v>57.20598180785025</v>
      </c>
      <c r="BH21">
        <v>45.2908615467007</v>
      </c>
      <c r="BI21">
        <v>172</v>
      </c>
      <c r="BJ21">
        <v>121</v>
      </c>
      <c r="BK21">
        <v>32</v>
      </c>
      <c r="BL21">
        <v>62</v>
      </c>
      <c r="BM21">
        <v>73</v>
      </c>
      <c r="BN21">
        <v>622.7707912687384</v>
      </c>
      <c r="BO21" t="s">
        <v>290</v>
      </c>
      <c r="BP21" t="s">
        <v>502</v>
      </c>
      <c r="BQ21" t="s">
        <v>507</v>
      </c>
      <c r="BS21" t="b">
        <v>0</v>
      </c>
      <c r="BU21">
        <v>3</v>
      </c>
      <c r="BV21">
        <v>2</v>
      </c>
    </row>
    <row r="22" spans="1:74">
      <c r="A22">
        <v>190238</v>
      </c>
      <c r="B22" t="s">
        <v>94</v>
      </c>
      <c r="C22" t="s">
        <v>194</v>
      </c>
      <c r="D22" t="s">
        <v>274</v>
      </c>
      <c r="E22" t="s">
        <v>280</v>
      </c>
      <c r="F22" t="s">
        <v>282</v>
      </c>
      <c r="G22" t="s">
        <v>295</v>
      </c>
      <c r="H22" t="b">
        <v>0</v>
      </c>
      <c r="I22" t="b">
        <v>0</v>
      </c>
      <c r="J22" t="s">
        <v>296</v>
      </c>
      <c r="K22" t="s">
        <v>297</v>
      </c>
      <c r="L22" t="s">
        <v>299</v>
      </c>
      <c r="M22" t="s">
        <v>303</v>
      </c>
      <c r="N22" t="s">
        <v>306</v>
      </c>
      <c r="O22" t="s">
        <v>307</v>
      </c>
      <c r="P22" t="s">
        <v>308</v>
      </c>
      <c r="Q22" t="s">
        <v>313</v>
      </c>
      <c r="R22" t="s">
        <v>331</v>
      </c>
      <c r="T22" t="s">
        <v>379</v>
      </c>
      <c r="U22" t="s">
        <v>390</v>
      </c>
      <c r="V22" t="s">
        <v>398</v>
      </c>
      <c r="W22" t="s">
        <v>390</v>
      </c>
      <c r="X22" t="s">
        <v>398</v>
      </c>
      <c r="Y22" t="s">
        <v>386</v>
      </c>
      <c r="Z22" t="s">
        <v>394</v>
      </c>
      <c r="AA22" t="s">
        <v>384</v>
      </c>
      <c r="AB22" t="s">
        <v>392</v>
      </c>
      <c r="AC22" s="2">
        <v>45444</v>
      </c>
      <c r="AD22" s="2">
        <v>45444.20833333334</v>
      </c>
      <c r="AE22" s="2">
        <v>45444.75</v>
      </c>
      <c r="AF22" s="2">
        <v>45446.83333333334</v>
      </c>
      <c r="AG22" s="2">
        <v>45446.83333333334</v>
      </c>
      <c r="AH22" s="2">
        <v>45450.33333333334</v>
      </c>
      <c r="AI22" s="2">
        <v>45451.70833333334</v>
      </c>
      <c r="AJ22" s="2">
        <v>45452.45833333334</v>
      </c>
      <c r="AK22" s="2">
        <v>45452.45833333334</v>
      </c>
      <c r="AM22" s="2">
        <v>45452.45833333334</v>
      </c>
      <c r="AN22" s="2">
        <v>45467</v>
      </c>
      <c r="AO22">
        <v>0</v>
      </c>
      <c r="AR22" t="s">
        <v>287</v>
      </c>
      <c r="AS22">
        <v>7</v>
      </c>
      <c r="AT22">
        <v>13</v>
      </c>
      <c r="AU22">
        <v>50</v>
      </c>
      <c r="AV22">
        <v>84</v>
      </c>
      <c r="AW22">
        <v>33</v>
      </c>
      <c r="AX22" t="s">
        <v>419</v>
      </c>
      <c r="AY22">
        <v>1</v>
      </c>
      <c r="AZ22">
        <v>8</v>
      </c>
      <c r="BA22">
        <v>1</v>
      </c>
      <c r="BB22">
        <v>2.905850487288019</v>
      </c>
      <c r="BC22">
        <v>28.18361389881545</v>
      </c>
      <c r="BD22">
        <v>19.24321599456633</v>
      </c>
      <c r="BE22">
        <v>5.285681294227911</v>
      </c>
      <c r="BF22">
        <v>0</v>
      </c>
      <c r="BG22">
        <v>55.61836167489771</v>
      </c>
      <c r="BH22">
        <v>47.1407127088439</v>
      </c>
      <c r="BK22">
        <v>18</v>
      </c>
      <c r="BL22">
        <v>96</v>
      </c>
      <c r="BM22">
        <v>84</v>
      </c>
      <c r="BN22">
        <v>572.7707912688426</v>
      </c>
      <c r="BO22" t="s">
        <v>499</v>
      </c>
      <c r="BP22" t="s">
        <v>502</v>
      </c>
      <c r="BS22" t="b">
        <v>0</v>
      </c>
      <c r="BU22">
        <v>1</v>
      </c>
      <c r="BV22">
        <v>1</v>
      </c>
    </row>
    <row r="23" spans="1:74">
      <c r="A23">
        <v>190240</v>
      </c>
      <c r="B23" t="s">
        <v>95</v>
      </c>
      <c r="C23" t="s">
        <v>195</v>
      </c>
      <c r="D23" t="s">
        <v>276</v>
      </c>
      <c r="E23" t="s">
        <v>280</v>
      </c>
      <c r="F23" t="s">
        <v>282</v>
      </c>
      <c r="G23" t="s">
        <v>291</v>
      </c>
      <c r="H23" t="b">
        <v>0</v>
      </c>
      <c r="I23" t="b">
        <v>0</v>
      </c>
      <c r="J23" t="s">
        <v>296</v>
      </c>
      <c r="K23" t="s">
        <v>297</v>
      </c>
      <c r="L23" t="s">
        <v>301</v>
      </c>
      <c r="M23" t="s">
        <v>305</v>
      </c>
      <c r="N23" t="s">
        <v>306</v>
      </c>
      <c r="O23" t="s">
        <v>307</v>
      </c>
      <c r="P23" t="s">
        <v>310</v>
      </c>
      <c r="Q23" t="s">
        <v>315</v>
      </c>
      <c r="R23" t="s">
        <v>322</v>
      </c>
      <c r="T23" t="s">
        <v>377</v>
      </c>
      <c r="U23" t="s">
        <v>383</v>
      </c>
      <c r="V23" t="s">
        <v>391</v>
      </c>
      <c r="W23" t="s">
        <v>385</v>
      </c>
      <c r="X23" t="s">
        <v>393</v>
      </c>
      <c r="Y23" t="s">
        <v>386</v>
      </c>
      <c r="Z23" t="s">
        <v>394</v>
      </c>
      <c r="AA23" t="s">
        <v>385</v>
      </c>
      <c r="AB23" t="s">
        <v>393</v>
      </c>
      <c r="AC23" s="2">
        <v>45433</v>
      </c>
      <c r="AD23" s="2">
        <v>45433.04166666666</v>
      </c>
      <c r="AE23" s="2">
        <v>45433.95833333334</v>
      </c>
      <c r="AF23" s="2">
        <v>45434.625</v>
      </c>
      <c r="AG23" s="2">
        <v>45434.625</v>
      </c>
      <c r="AH23" s="2">
        <v>45438.58333333334</v>
      </c>
      <c r="AI23" s="2">
        <v>45440.16666666666</v>
      </c>
      <c r="AJ23" s="2">
        <v>45440.58333333334</v>
      </c>
      <c r="AK23" s="2">
        <v>45440.58333333334</v>
      </c>
      <c r="AM23" s="2">
        <v>45440.58333333334</v>
      </c>
      <c r="AN23" s="2">
        <v>45489</v>
      </c>
      <c r="AO23">
        <v>0</v>
      </c>
      <c r="AR23" t="s">
        <v>287</v>
      </c>
      <c r="AS23">
        <v>6</v>
      </c>
      <c r="AT23">
        <v>22</v>
      </c>
      <c r="AU23">
        <v>16</v>
      </c>
      <c r="AV23">
        <v>95</v>
      </c>
      <c r="AW23">
        <v>38</v>
      </c>
      <c r="AX23" t="s">
        <v>420</v>
      </c>
      <c r="AY23">
        <v>4</v>
      </c>
      <c r="AZ23">
        <v>8</v>
      </c>
      <c r="BA23">
        <v>1</v>
      </c>
      <c r="BB23">
        <v>1.898888827998907</v>
      </c>
      <c r="BC23">
        <v>28.39687927549726</v>
      </c>
      <c r="BD23">
        <v>18.15433751814324</v>
      </c>
      <c r="BE23">
        <v>14.0289869228419</v>
      </c>
      <c r="BF23">
        <v>0</v>
      </c>
      <c r="BG23">
        <v>62.47909254448131</v>
      </c>
      <c r="BH23">
        <v>49.7589006151718</v>
      </c>
      <c r="BK23">
        <v>23</v>
      </c>
      <c r="BL23">
        <v>76</v>
      </c>
      <c r="BM23">
        <v>95</v>
      </c>
      <c r="BN23">
        <v>583.7707912689584</v>
      </c>
      <c r="BO23" t="s">
        <v>501</v>
      </c>
      <c r="BP23" t="s">
        <v>503</v>
      </c>
      <c r="BS23" t="b">
        <v>0</v>
      </c>
      <c r="BU23">
        <v>3</v>
      </c>
      <c r="BV23">
        <v>0</v>
      </c>
    </row>
    <row r="24" spans="1:74">
      <c r="A24">
        <v>190241</v>
      </c>
      <c r="B24" t="s">
        <v>96</v>
      </c>
      <c r="C24" t="s">
        <v>196</v>
      </c>
      <c r="D24" t="s">
        <v>276</v>
      </c>
      <c r="E24" t="s">
        <v>279</v>
      </c>
      <c r="F24" t="s">
        <v>283</v>
      </c>
      <c r="G24" t="s">
        <v>290</v>
      </c>
      <c r="H24" t="b">
        <v>0</v>
      </c>
      <c r="I24" t="b">
        <v>0</v>
      </c>
      <c r="J24" t="s">
        <v>296</v>
      </c>
      <c r="K24" t="s">
        <v>297</v>
      </c>
      <c r="L24" t="s">
        <v>300</v>
      </c>
      <c r="M24" t="s">
        <v>304</v>
      </c>
      <c r="N24" t="s">
        <v>306</v>
      </c>
      <c r="O24" t="s">
        <v>307</v>
      </c>
      <c r="P24" t="s">
        <v>311</v>
      </c>
      <c r="Q24" t="s">
        <v>316</v>
      </c>
      <c r="R24" t="s">
        <v>323</v>
      </c>
      <c r="T24" t="s">
        <v>378</v>
      </c>
      <c r="U24" t="s">
        <v>388</v>
      </c>
      <c r="V24" t="s">
        <v>396</v>
      </c>
      <c r="W24" t="s">
        <v>390</v>
      </c>
      <c r="X24" t="s">
        <v>398</v>
      </c>
      <c r="AC24" s="2">
        <v>45456</v>
      </c>
      <c r="AD24" s="2">
        <v>45456.91666666666</v>
      </c>
      <c r="AM24" s="2">
        <v>45456.91666666666</v>
      </c>
      <c r="AN24" s="2">
        <v>45470</v>
      </c>
      <c r="AO24">
        <v>0</v>
      </c>
      <c r="AR24" t="s">
        <v>286</v>
      </c>
      <c r="AS24">
        <v>2</v>
      </c>
      <c r="AX24" t="s">
        <v>421</v>
      </c>
      <c r="AY24">
        <v>3</v>
      </c>
      <c r="AZ24">
        <v>4</v>
      </c>
      <c r="BA24">
        <v>1</v>
      </c>
      <c r="BB24">
        <v>0.8058135616607294</v>
      </c>
      <c r="BC24">
        <v>15.02015489757045</v>
      </c>
      <c r="BD24">
        <v>4.317927128391281</v>
      </c>
      <c r="BE24">
        <v>4.35393757779179</v>
      </c>
      <c r="BF24">
        <v>0</v>
      </c>
      <c r="BG24">
        <v>24.49783316541425</v>
      </c>
      <c r="BH24">
        <v>19.890775913416</v>
      </c>
      <c r="BL24">
        <v>0</v>
      </c>
      <c r="BM24">
        <v>0</v>
      </c>
      <c r="BN24">
        <v>560.770791269074</v>
      </c>
      <c r="BR24" t="s">
        <v>522</v>
      </c>
      <c r="BS24" t="b">
        <v>0</v>
      </c>
      <c r="BU24">
        <v>0</v>
      </c>
      <c r="BV24">
        <v>0</v>
      </c>
    </row>
    <row r="25" spans="1:74">
      <c r="A25">
        <v>190242</v>
      </c>
      <c r="B25" t="s">
        <v>97</v>
      </c>
      <c r="C25" t="s">
        <v>197</v>
      </c>
      <c r="D25" t="s">
        <v>274</v>
      </c>
      <c r="E25" t="s">
        <v>281</v>
      </c>
      <c r="F25" t="s">
        <v>288</v>
      </c>
      <c r="G25" t="s">
        <v>295</v>
      </c>
      <c r="H25" t="b">
        <v>0</v>
      </c>
      <c r="I25" t="b">
        <v>0</v>
      </c>
      <c r="J25" t="s">
        <v>296</v>
      </c>
      <c r="K25" t="s">
        <v>297</v>
      </c>
      <c r="L25" t="s">
        <v>300</v>
      </c>
      <c r="M25" t="s">
        <v>304</v>
      </c>
      <c r="N25" t="s">
        <v>306</v>
      </c>
      <c r="O25" t="s">
        <v>307</v>
      </c>
      <c r="P25" t="s">
        <v>312</v>
      </c>
      <c r="Q25" t="s">
        <v>317</v>
      </c>
      <c r="R25" t="s">
        <v>331</v>
      </c>
      <c r="S25" t="s">
        <v>351</v>
      </c>
      <c r="T25" t="s">
        <v>380</v>
      </c>
      <c r="U25" t="s">
        <v>386</v>
      </c>
      <c r="V25" t="s">
        <v>394</v>
      </c>
      <c r="W25" t="s">
        <v>384</v>
      </c>
      <c r="X25" t="s">
        <v>392</v>
      </c>
      <c r="AC25" s="2">
        <v>45367</v>
      </c>
      <c r="AD25" s="2">
        <v>45368.16666666666</v>
      </c>
      <c r="AE25" s="2">
        <v>45368.41666666666</v>
      </c>
      <c r="AF25" s="2">
        <v>45370.91666666666</v>
      </c>
      <c r="AG25" s="2">
        <v>45370.91666666666</v>
      </c>
      <c r="AM25" s="2">
        <v>45370.91666666666</v>
      </c>
      <c r="AN25" s="2">
        <v>45374</v>
      </c>
      <c r="AO25">
        <v>0</v>
      </c>
      <c r="AR25" t="s">
        <v>284</v>
      </c>
      <c r="AS25">
        <v>6</v>
      </c>
      <c r="AT25">
        <v>6</v>
      </c>
      <c r="AU25">
        <v>60</v>
      </c>
      <c r="AX25" t="s">
        <v>422</v>
      </c>
      <c r="AY25">
        <v>0</v>
      </c>
      <c r="AZ25">
        <v>7</v>
      </c>
      <c r="BA25">
        <v>1</v>
      </c>
      <c r="BB25">
        <v>4.931697073911813</v>
      </c>
      <c r="BC25">
        <v>12.45008192631524</v>
      </c>
      <c r="BD25">
        <v>1.852545367065726</v>
      </c>
      <c r="BE25">
        <v>15.44833809160917</v>
      </c>
      <c r="BF25">
        <v>0</v>
      </c>
      <c r="BG25">
        <v>34.68266245890195</v>
      </c>
      <c r="BH25">
        <v>30.21057942391481</v>
      </c>
      <c r="BK25">
        <v>34</v>
      </c>
      <c r="BL25">
        <v>66</v>
      </c>
      <c r="BM25">
        <v>0</v>
      </c>
      <c r="BN25">
        <v>649.7707912691783</v>
      </c>
      <c r="BR25" t="s">
        <v>523</v>
      </c>
      <c r="BS25" t="b">
        <v>0</v>
      </c>
      <c r="BU25">
        <v>0</v>
      </c>
      <c r="BV25">
        <v>0</v>
      </c>
    </row>
    <row r="26" spans="1:74">
      <c r="A26">
        <v>190243</v>
      </c>
      <c r="B26" t="s">
        <v>98</v>
      </c>
      <c r="C26" t="s">
        <v>198</v>
      </c>
      <c r="D26" t="s">
        <v>274</v>
      </c>
      <c r="E26" t="s">
        <v>281</v>
      </c>
      <c r="F26" t="s">
        <v>288</v>
      </c>
      <c r="G26" t="s">
        <v>294</v>
      </c>
      <c r="H26" t="b">
        <v>0</v>
      </c>
      <c r="I26" t="b">
        <v>0</v>
      </c>
      <c r="J26" t="s">
        <v>296</v>
      </c>
      <c r="K26" t="s">
        <v>297</v>
      </c>
      <c r="L26" t="s">
        <v>300</v>
      </c>
      <c r="M26" t="s">
        <v>304</v>
      </c>
      <c r="N26" t="s">
        <v>306</v>
      </c>
      <c r="O26" t="s">
        <v>307</v>
      </c>
      <c r="P26" t="s">
        <v>308</v>
      </c>
      <c r="Q26" t="s">
        <v>313</v>
      </c>
      <c r="R26" t="s">
        <v>325</v>
      </c>
      <c r="T26" t="s">
        <v>378</v>
      </c>
      <c r="U26" t="s">
        <v>390</v>
      </c>
      <c r="V26" t="s">
        <v>398</v>
      </c>
      <c r="W26" t="s">
        <v>384</v>
      </c>
      <c r="X26" t="s">
        <v>392</v>
      </c>
      <c r="AC26" s="2">
        <v>45359</v>
      </c>
      <c r="AD26" s="2">
        <v>45360.375</v>
      </c>
      <c r="AE26" s="2">
        <v>45360.625</v>
      </c>
      <c r="AF26" s="2">
        <v>45363.375</v>
      </c>
      <c r="AG26" s="2">
        <v>45363.375</v>
      </c>
      <c r="AM26" s="2">
        <v>45363.375</v>
      </c>
      <c r="AN26" s="2">
        <v>45372</v>
      </c>
      <c r="AO26">
        <v>0</v>
      </c>
      <c r="AR26" t="s">
        <v>284</v>
      </c>
      <c r="AS26">
        <v>6</v>
      </c>
      <c r="AT26">
        <v>6</v>
      </c>
      <c r="AU26">
        <v>66</v>
      </c>
      <c r="AX26" t="s">
        <v>423</v>
      </c>
      <c r="AY26">
        <v>0</v>
      </c>
      <c r="AZ26">
        <v>8</v>
      </c>
      <c r="BA26">
        <v>1</v>
      </c>
      <c r="BB26">
        <v>5.581732713817118</v>
      </c>
      <c r="BC26">
        <v>32.56508506366203</v>
      </c>
      <c r="BD26">
        <v>2.46517102685982</v>
      </c>
      <c r="BE26">
        <v>1.182317120347245</v>
      </c>
      <c r="BF26">
        <v>0</v>
      </c>
      <c r="BG26">
        <v>41.79430592468621</v>
      </c>
      <c r="BH26">
        <v>33.60363159588738</v>
      </c>
      <c r="BK26">
        <v>39</v>
      </c>
      <c r="BL26">
        <v>72</v>
      </c>
      <c r="BM26">
        <v>0</v>
      </c>
      <c r="BN26">
        <v>657.7707912692824</v>
      </c>
      <c r="BS26" t="b">
        <v>0</v>
      </c>
      <c r="BU26">
        <v>0</v>
      </c>
      <c r="BV26">
        <v>0</v>
      </c>
    </row>
    <row r="27" spans="1:74">
      <c r="A27">
        <v>190244</v>
      </c>
      <c r="B27" t="s">
        <v>99</v>
      </c>
      <c r="C27" t="s">
        <v>199</v>
      </c>
      <c r="D27" t="s">
        <v>275</v>
      </c>
      <c r="E27" t="s">
        <v>279</v>
      </c>
      <c r="F27" t="s">
        <v>288</v>
      </c>
      <c r="G27" t="s">
        <v>294</v>
      </c>
      <c r="H27" t="b">
        <v>0</v>
      </c>
      <c r="I27" t="b">
        <v>1</v>
      </c>
      <c r="J27" t="s">
        <v>296</v>
      </c>
      <c r="K27" t="s">
        <v>297</v>
      </c>
      <c r="L27" t="s">
        <v>301</v>
      </c>
      <c r="M27" t="s">
        <v>305</v>
      </c>
      <c r="N27" t="s">
        <v>306</v>
      </c>
      <c r="O27" t="s">
        <v>307</v>
      </c>
      <c r="P27" t="s">
        <v>308</v>
      </c>
      <c r="Q27" t="s">
        <v>313</v>
      </c>
      <c r="R27" t="s">
        <v>332</v>
      </c>
      <c r="T27" t="s">
        <v>379</v>
      </c>
      <c r="U27" t="s">
        <v>385</v>
      </c>
      <c r="V27" t="s">
        <v>393</v>
      </c>
      <c r="W27" t="s">
        <v>386</v>
      </c>
      <c r="X27" t="s">
        <v>394</v>
      </c>
      <c r="AC27" s="2">
        <v>45452</v>
      </c>
      <c r="AD27" s="2">
        <v>45452.83333333334</v>
      </c>
      <c r="AE27" s="2">
        <v>45453.70833333334</v>
      </c>
      <c r="AF27" s="2">
        <v>45456.45833333334</v>
      </c>
      <c r="AG27" s="2">
        <v>45456.45833333334</v>
      </c>
      <c r="AM27" s="2">
        <v>45456.45833333334</v>
      </c>
      <c r="AN27" s="2">
        <v>45497</v>
      </c>
      <c r="AO27">
        <v>0</v>
      </c>
      <c r="AR27" t="s">
        <v>284</v>
      </c>
      <c r="AS27">
        <v>4</v>
      </c>
      <c r="AT27">
        <v>21</v>
      </c>
      <c r="AU27">
        <v>66</v>
      </c>
      <c r="AX27" t="s">
        <v>424</v>
      </c>
      <c r="AY27">
        <v>2</v>
      </c>
      <c r="AZ27">
        <v>6</v>
      </c>
      <c r="BA27">
        <v>1</v>
      </c>
      <c r="BB27">
        <v>0.6244087169589212</v>
      </c>
      <c r="BC27">
        <v>32.59442239248805</v>
      </c>
      <c r="BD27">
        <v>0.8553256002052196</v>
      </c>
      <c r="BE27">
        <v>15.54818240061459</v>
      </c>
      <c r="BF27">
        <v>0</v>
      </c>
      <c r="BG27">
        <v>49.62233911026677</v>
      </c>
      <c r="BH27">
        <v>61.43539617909165</v>
      </c>
      <c r="BK27">
        <v>41</v>
      </c>
      <c r="BL27">
        <v>87</v>
      </c>
      <c r="BM27">
        <v>0</v>
      </c>
      <c r="BN27">
        <v>564.7707912693982</v>
      </c>
      <c r="BS27" t="b">
        <v>0</v>
      </c>
      <c r="BU27">
        <v>0</v>
      </c>
      <c r="BV27">
        <v>0</v>
      </c>
    </row>
    <row r="28" spans="1:74">
      <c r="A28">
        <v>190245</v>
      </c>
      <c r="B28" t="s">
        <v>100</v>
      </c>
      <c r="C28" t="s">
        <v>200</v>
      </c>
      <c r="D28" t="s">
        <v>276</v>
      </c>
      <c r="E28" t="s">
        <v>280</v>
      </c>
      <c r="F28" t="s">
        <v>285</v>
      </c>
      <c r="G28" t="s">
        <v>295</v>
      </c>
      <c r="H28" t="b">
        <v>0</v>
      </c>
      <c r="I28" t="b">
        <v>0</v>
      </c>
      <c r="J28" t="s">
        <v>296</v>
      </c>
      <c r="K28" t="s">
        <v>297</v>
      </c>
      <c r="L28" t="s">
        <v>299</v>
      </c>
      <c r="M28" t="s">
        <v>303</v>
      </c>
      <c r="N28" t="s">
        <v>306</v>
      </c>
      <c r="O28" t="s">
        <v>307</v>
      </c>
      <c r="P28" t="s">
        <v>312</v>
      </c>
      <c r="Q28" t="s">
        <v>317</v>
      </c>
      <c r="R28" t="s">
        <v>333</v>
      </c>
      <c r="S28" t="s">
        <v>352</v>
      </c>
      <c r="T28" t="s">
        <v>379</v>
      </c>
      <c r="U28" t="s">
        <v>385</v>
      </c>
      <c r="V28" t="s">
        <v>393</v>
      </c>
      <c r="W28" t="s">
        <v>389</v>
      </c>
      <c r="X28" t="s">
        <v>397</v>
      </c>
      <c r="Y28" t="s">
        <v>384</v>
      </c>
      <c r="Z28" t="s">
        <v>392</v>
      </c>
      <c r="AA28" t="s">
        <v>384</v>
      </c>
      <c r="AB28" t="s">
        <v>392</v>
      </c>
      <c r="AC28" s="2">
        <v>45342</v>
      </c>
      <c r="AD28" s="2">
        <v>45342.41666666666</v>
      </c>
      <c r="AE28" s="2">
        <v>45342.91666666666</v>
      </c>
      <c r="AF28" s="2">
        <v>45343.83333333334</v>
      </c>
      <c r="AG28" s="2">
        <v>45343.83333333334</v>
      </c>
      <c r="AH28" s="2">
        <v>45347.04166666666</v>
      </c>
      <c r="AI28" s="2">
        <v>45348.58333333334</v>
      </c>
      <c r="AJ28" s="2">
        <v>45348.66666666666</v>
      </c>
      <c r="AK28" s="2">
        <v>45348.91666666666</v>
      </c>
      <c r="AL28" s="2">
        <v>45350.25</v>
      </c>
      <c r="AM28" s="2">
        <v>45350.25</v>
      </c>
      <c r="AN28" s="2">
        <v>45350</v>
      </c>
      <c r="AO28">
        <v>0</v>
      </c>
      <c r="AR28" t="s">
        <v>282</v>
      </c>
      <c r="AS28">
        <v>8</v>
      </c>
      <c r="AT28">
        <v>12</v>
      </c>
      <c r="AU28">
        <v>22</v>
      </c>
      <c r="AV28">
        <v>77</v>
      </c>
      <c r="AW28">
        <v>37</v>
      </c>
      <c r="AX28" t="s">
        <v>425</v>
      </c>
      <c r="AY28">
        <v>2</v>
      </c>
      <c r="AZ28">
        <v>8</v>
      </c>
      <c r="BA28">
        <v>1</v>
      </c>
      <c r="BB28">
        <v>4.340697937244608</v>
      </c>
      <c r="BC28">
        <v>34.81582042462404</v>
      </c>
      <c r="BD28">
        <v>2.341637734740604</v>
      </c>
      <c r="BE28">
        <v>1.647398679258642</v>
      </c>
      <c r="BF28">
        <v>0</v>
      </c>
      <c r="BG28">
        <v>43.14555477586789</v>
      </c>
      <c r="BH28">
        <v>32.27892602409798</v>
      </c>
      <c r="BI28">
        <v>198</v>
      </c>
      <c r="BJ28">
        <v>154</v>
      </c>
      <c r="BK28">
        <v>22</v>
      </c>
      <c r="BL28">
        <v>71</v>
      </c>
      <c r="BM28">
        <v>77</v>
      </c>
      <c r="BN28">
        <v>674.7707912695023</v>
      </c>
      <c r="BO28" t="s">
        <v>290</v>
      </c>
      <c r="BP28" t="s">
        <v>504</v>
      </c>
      <c r="BQ28" t="s">
        <v>507</v>
      </c>
      <c r="BS28" t="b">
        <v>0</v>
      </c>
      <c r="BU28">
        <v>1</v>
      </c>
      <c r="BV28">
        <v>1</v>
      </c>
    </row>
    <row r="29" spans="1:74">
      <c r="A29">
        <v>190246</v>
      </c>
      <c r="B29" t="s">
        <v>101</v>
      </c>
      <c r="C29" t="s">
        <v>201</v>
      </c>
      <c r="D29" t="s">
        <v>274</v>
      </c>
      <c r="E29" t="s">
        <v>280</v>
      </c>
      <c r="F29" t="s">
        <v>289</v>
      </c>
      <c r="G29" t="s">
        <v>294</v>
      </c>
      <c r="H29" t="b">
        <v>0</v>
      </c>
      <c r="I29" t="b">
        <v>0</v>
      </c>
      <c r="J29" t="s">
        <v>296</v>
      </c>
      <c r="K29" t="s">
        <v>297</v>
      </c>
      <c r="L29" t="s">
        <v>299</v>
      </c>
      <c r="M29" t="s">
        <v>303</v>
      </c>
      <c r="N29" t="s">
        <v>306</v>
      </c>
      <c r="O29" t="s">
        <v>307</v>
      </c>
      <c r="P29" t="s">
        <v>311</v>
      </c>
      <c r="Q29" t="s">
        <v>316</v>
      </c>
      <c r="R29" t="s">
        <v>325</v>
      </c>
      <c r="S29" t="s">
        <v>353</v>
      </c>
      <c r="T29" t="s">
        <v>382</v>
      </c>
      <c r="U29" t="s">
        <v>384</v>
      </c>
      <c r="V29" t="s">
        <v>392</v>
      </c>
      <c r="W29" t="s">
        <v>384</v>
      </c>
      <c r="X29" t="s">
        <v>392</v>
      </c>
      <c r="AC29" s="2">
        <v>45384</v>
      </c>
      <c r="AD29" s="2">
        <v>45384.83333333334</v>
      </c>
      <c r="AE29" s="2">
        <v>45385.16666666666</v>
      </c>
      <c r="AF29" s="2">
        <v>45385.54166666666</v>
      </c>
      <c r="AG29" s="2">
        <v>45385.54166666666</v>
      </c>
      <c r="AH29" s="2">
        <v>45387.125</v>
      </c>
      <c r="AM29" s="2">
        <v>45387.125</v>
      </c>
      <c r="AN29" s="2">
        <v>45427</v>
      </c>
      <c r="AO29">
        <v>0</v>
      </c>
      <c r="AR29" t="s">
        <v>288</v>
      </c>
      <c r="AS29">
        <v>5</v>
      </c>
      <c r="AT29">
        <v>8</v>
      </c>
      <c r="AU29">
        <v>9</v>
      </c>
      <c r="AV29">
        <v>38</v>
      </c>
      <c r="AX29" t="s">
        <v>426</v>
      </c>
      <c r="AY29">
        <v>1</v>
      </c>
      <c r="AZ29">
        <v>7</v>
      </c>
      <c r="BA29">
        <v>1</v>
      </c>
      <c r="BB29">
        <v>2.198718313984535</v>
      </c>
      <c r="BC29">
        <v>36.61638154970238</v>
      </c>
      <c r="BD29">
        <v>13.81863208161896</v>
      </c>
      <c r="BE29">
        <v>14.36714670547107</v>
      </c>
      <c r="BF29">
        <v>0</v>
      </c>
      <c r="BG29">
        <v>67.00087865077694</v>
      </c>
      <c r="BH29">
        <v>67.98624943367207</v>
      </c>
      <c r="BK29">
        <v>28</v>
      </c>
      <c r="BL29">
        <v>17</v>
      </c>
      <c r="BM29">
        <v>38</v>
      </c>
      <c r="BN29">
        <v>632.770791269618</v>
      </c>
      <c r="BR29" t="s">
        <v>524</v>
      </c>
      <c r="BS29" t="b">
        <v>0</v>
      </c>
      <c r="BU29">
        <v>0</v>
      </c>
      <c r="BV29">
        <v>0</v>
      </c>
    </row>
    <row r="30" spans="1:74">
      <c r="A30">
        <v>190248</v>
      </c>
      <c r="B30" t="s">
        <v>102</v>
      </c>
      <c r="C30" t="s">
        <v>202</v>
      </c>
      <c r="D30" t="s">
        <v>274</v>
      </c>
      <c r="E30" t="s">
        <v>278</v>
      </c>
      <c r="F30" t="s">
        <v>285</v>
      </c>
      <c r="G30" t="s">
        <v>292</v>
      </c>
      <c r="H30" t="b">
        <v>0</v>
      </c>
      <c r="I30" t="b">
        <v>0</v>
      </c>
      <c r="J30" t="s">
        <v>296</v>
      </c>
      <c r="K30" t="s">
        <v>297</v>
      </c>
      <c r="L30" t="s">
        <v>301</v>
      </c>
      <c r="M30" t="s">
        <v>305</v>
      </c>
      <c r="N30" t="s">
        <v>306</v>
      </c>
      <c r="O30" t="s">
        <v>307</v>
      </c>
      <c r="P30" t="s">
        <v>308</v>
      </c>
      <c r="Q30" t="s">
        <v>313</v>
      </c>
      <c r="R30" t="s">
        <v>320</v>
      </c>
      <c r="T30" t="s">
        <v>382</v>
      </c>
      <c r="U30" t="s">
        <v>390</v>
      </c>
      <c r="V30" t="s">
        <v>398</v>
      </c>
      <c r="W30" t="s">
        <v>388</v>
      </c>
      <c r="X30" t="s">
        <v>396</v>
      </c>
      <c r="Y30" t="s">
        <v>390</v>
      </c>
      <c r="Z30" t="s">
        <v>398</v>
      </c>
      <c r="AA30" t="s">
        <v>386</v>
      </c>
      <c r="AB30" t="s">
        <v>394</v>
      </c>
      <c r="AC30" s="2">
        <v>45312</v>
      </c>
      <c r="AD30" s="2">
        <v>45312.25</v>
      </c>
      <c r="AE30" s="2">
        <v>45313.25</v>
      </c>
      <c r="AF30" s="2">
        <v>45315.91666666666</v>
      </c>
      <c r="AG30" s="2">
        <v>45315.91666666666</v>
      </c>
      <c r="AH30" s="2">
        <v>45320.58333333334</v>
      </c>
      <c r="AI30" s="2">
        <v>45320.91666666666</v>
      </c>
      <c r="AJ30" s="2">
        <v>45321.70833333334</v>
      </c>
      <c r="AK30" s="2">
        <v>45321.83333333334</v>
      </c>
      <c r="AL30" s="2">
        <v>45322.20833333334</v>
      </c>
      <c r="AM30" s="2">
        <v>45322.20833333334</v>
      </c>
      <c r="AN30" s="2">
        <v>45361</v>
      </c>
      <c r="AO30">
        <v>3</v>
      </c>
      <c r="AP30" s="2">
        <v>45331.20833333334</v>
      </c>
      <c r="AQ30" s="2">
        <v>45332.20833333334</v>
      </c>
      <c r="AR30" t="s">
        <v>282</v>
      </c>
      <c r="AS30">
        <v>10</v>
      </c>
      <c r="AT30">
        <v>24</v>
      </c>
      <c r="AU30">
        <v>64</v>
      </c>
      <c r="AV30">
        <v>112</v>
      </c>
      <c r="AW30">
        <v>8</v>
      </c>
      <c r="AX30" t="s">
        <v>427</v>
      </c>
      <c r="AY30">
        <v>3</v>
      </c>
      <c r="AZ30">
        <v>12</v>
      </c>
      <c r="BA30">
        <v>4</v>
      </c>
      <c r="BB30">
        <v>5.338795928070874</v>
      </c>
      <c r="BC30">
        <v>20.94235355557657</v>
      </c>
      <c r="BD30">
        <v>1.888178644974465</v>
      </c>
      <c r="BE30">
        <v>8.915516636294498</v>
      </c>
      <c r="BF30">
        <v>25.87091126240236</v>
      </c>
      <c r="BG30">
        <v>62.95575602731877</v>
      </c>
      <c r="BH30">
        <v>59.57113472773126</v>
      </c>
      <c r="BI30">
        <v>245</v>
      </c>
      <c r="BJ30">
        <v>151</v>
      </c>
      <c r="BK30">
        <v>30</v>
      </c>
      <c r="BL30">
        <v>96</v>
      </c>
      <c r="BM30">
        <v>112</v>
      </c>
      <c r="BN30">
        <v>704.7707912697222</v>
      </c>
      <c r="BO30" t="s">
        <v>292</v>
      </c>
      <c r="BP30" t="s">
        <v>502</v>
      </c>
      <c r="BQ30" t="s">
        <v>507</v>
      </c>
      <c r="BR30" t="s">
        <v>525</v>
      </c>
      <c r="BS30" t="b">
        <v>0</v>
      </c>
      <c r="BU30">
        <v>1</v>
      </c>
      <c r="BV30">
        <v>0</v>
      </c>
    </row>
    <row r="31" spans="1:74">
      <c r="A31">
        <v>190250</v>
      </c>
      <c r="B31" t="s">
        <v>103</v>
      </c>
      <c r="C31" t="s">
        <v>203</v>
      </c>
      <c r="D31" t="s">
        <v>277</v>
      </c>
      <c r="E31" t="s">
        <v>279</v>
      </c>
      <c r="F31" t="s">
        <v>282</v>
      </c>
      <c r="G31" t="s">
        <v>292</v>
      </c>
      <c r="H31" t="b">
        <v>0</v>
      </c>
      <c r="I31" t="b">
        <v>1</v>
      </c>
      <c r="J31" t="s">
        <v>296</v>
      </c>
      <c r="K31" t="s">
        <v>297</v>
      </c>
      <c r="L31" t="s">
        <v>299</v>
      </c>
      <c r="M31" t="s">
        <v>303</v>
      </c>
      <c r="N31" t="s">
        <v>306</v>
      </c>
      <c r="O31" t="s">
        <v>307</v>
      </c>
      <c r="P31" t="s">
        <v>308</v>
      </c>
      <c r="Q31" t="s">
        <v>313</v>
      </c>
      <c r="R31" t="s">
        <v>334</v>
      </c>
      <c r="T31" t="s">
        <v>380</v>
      </c>
      <c r="U31" t="s">
        <v>386</v>
      </c>
      <c r="V31" t="s">
        <v>394</v>
      </c>
      <c r="W31" t="s">
        <v>390</v>
      </c>
      <c r="X31" t="s">
        <v>398</v>
      </c>
      <c r="Y31" t="s">
        <v>385</v>
      </c>
      <c r="Z31" t="s">
        <v>393</v>
      </c>
      <c r="AA31" t="s">
        <v>388</v>
      </c>
      <c r="AB31" t="s">
        <v>396</v>
      </c>
      <c r="AC31" s="2">
        <v>45359</v>
      </c>
      <c r="AD31" s="2">
        <v>45360.41666666666</v>
      </c>
      <c r="AE31" s="2">
        <v>45361.25</v>
      </c>
      <c r="AF31" s="2">
        <v>45363.58333333334</v>
      </c>
      <c r="AG31" s="2">
        <v>45363.58333333334</v>
      </c>
      <c r="AH31" s="2">
        <v>45365.04166666666</v>
      </c>
      <c r="AI31" s="2">
        <v>45366.625</v>
      </c>
      <c r="AJ31" s="2">
        <v>45367.625</v>
      </c>
      <c r="AK31" s="2">
        <v>45367.625</v>
      </c>
      <c r="AM31" s="2">
        <v>45367.625</v>
      </c>
      <c r="AN31" s="2">
        <v>45378</v>
      </c>
      <c r="AO31">
        <v>0</v>
      </c>
      <c r="AR31" t="s">
        <v>287</v>
      </c>
      <c r="AS31">
        <v>9</v>
      </c>
      <c r="AT31">
        <v>20</v>
      </c>
      <c r="AU31">
        <v>56</v>
      </c>
      <c r="AV31">
        <v>35</v>
      </c>
      <c r="AW31">
        <v>38</v>
      </c>
      <c r="AX31" t="s">
        <v>428</v>
      </c>
      <c r="AY31">
        <v>3</v>
      </c>
      <c r="AZ31">
        <v>10</v>
      </c>
      <c r="BA31">
        <v>1</v>
      </c>
      <c r="BB31">
        <v>1.807748217537436</v>
      </c>
      <c r="BC31">
        <v>20.55913549280078</v>
      </c>
      <c r="BD31">
        <v>6.720024790728345</v>
      </c>
      <c r="BE31">
        <v>15.8944719417895</v>
      </c>
      <c r="BF31">
        <v>0</v>
      </c>
      <c r="BG31">
        <v>44.98138044285607</v>
      </c>
      <c r="BH31">
        <v>58.00021409365492</v>
      </c>
      <c r="BK31">
        <v>54</v>
      </c>
      <c r="BL31">
        <v>114</v>
      </c>
      <c r="BM31">
        <v>35</v>
      </c>
      <c r="BN31">
        <v>657.7707912698379</v>
      </c>
      <c r="BO31" t="s">
        <v>500</v>
      </c>
      <c r="BP31" t="s">
        <v>502</v>
      </c>
      <c r="BS31" t="b">
        <v>0</v>
      </c>
      <c r="BU31">
        <v>1</v>
      </c>
      <c r="BV31">
        <v>1</v>
      </c>
    </row>
    <row r="32" spans="1:74">
      <c r="A32">
        <v>190337</v>
      </c>
      <c r="B32" t="s">
        <v>104</v>
      </c>
      <c r="C32" t="s">
        <v>204</v>
      </c>
      <c r="D32" t="s">
        <v>274</v>
      </c>
      <c r="E32" t="s">
        <v>279</v>
      </c>
      <c r="F32" t="s">
        <v>285</v>
      </c>
      <c r="G32" t="s">
        <v>295</v>
      </c>
      <c r="H32" t="b">
        <v>0</v>
      </c>
      <c r="I32" t="b">
        <v>0</v>
      </c>
      <c r="J32" t="s">
        <v>296</v>
      </c>
      <c r="K32" t="s">
        <v>297</v>
      </c>
      <c r="L32" t="s">
        <v>301</v>
      </c>
      <c r="M32" t="s">
        <v>305</v>
      </c>
      <c r="N32" t="s">
        <v>306</v>
      </c>
      <c r="O32" t="s">
        <v>307</v>
      </c>
      <c r="P32" t="s">
        <v>310</v>
      </c>
      <c r="Q32" t="s">
        <v>315</v>
      </c>
      <c r="R32" t="s">
        <v>331</v>
      </c>
      <c r="T32" t="s">
        <v>382</v>
      </c>
      <c r="U32" t="s">
        <v>387</v>
      </c>
      <c r="V32" t="s">
        <v>395</v>
      </c>
      <c r="W32" t="s">
        <v>390</v>
      </c>
      <c r="X32" t="s">
        <v>398</v>
      </c>
      <c r="Y32" t="s">
        <v>390</v>
      </c>
      <c r="Z32" t="s">
        <v>398</v>
      </c>
      <c r="AA32" t="s">
        <v>383</v>
      </c>
      <c r="AB32" t="s">
        <v>391</v>
      </c>
      <c r="AC32" s="2">
        <v>45371</v>
      </c>
      <c r="AD32" s="2">
        <v>45372.08333333334</v>
      </c>
      <c r="AE32" s="2">
        <v>45373</v>
      </c>
      <c r="AF32" s="2">
        <v>45375.04166666666</v>
      </c>
      <c r="AG32" s="2">
        <v>45375.04166666666</v>
      </c>
      <c r="AH32" s="2">
        <v>45377.70833333334</v>
      </c>
      <c r="AI32" s="2">
        <v>45379.25</v>
      </c>
      <c r="AJ32" s="2">
        <v>45379.91666666666</v>
      </c>
      <c r="AK32" s="2">
        <v>45380</v>
      </c>
      <c r="AL32" s="2">
        <v>45380.66666666666</v>
      </c>
      <c r="AM32" s="2">
        <v>45380.66666666666</v>
      </c>
      <c r="AN32" s="2">
        <v>45392</v>
      </c>
      <c r="AO32">
        <v>0</v>
      </c>
      <c r="AR32" t="s">
        <v>282</v>
      </c>
      <c r="AS32">
        <v>7</v>
      </c>
      <c r="AT32">
        <v>22</v>
      </c>
      <c r="AU32">
        <v>49</v>
      </c>
      <c r="AV32">
        <v>64</v>
      </c>
      <c r="AW32">
        <v>37</v>
      </c>
      <c r="AX32" t="s">
        <v>429</v>
      </c>
      <c r="AY32">
        <v>2</v>
      </c>
      <c r="AZ32">
        <v>8</v>
      </c>
      <c r="BA32">
        <v>1</v>
      </c>
      <c r="BB32">
        <v>5.682033035768495</v>
      </c>
      <c r="BC32">
        <v>32.13351197970423</v>
      </c>
      <c r="BD32">
        <v>16.97506856390437</v>
      </c>
      <c r="BE32">
        <v>2.106948471030983</v>
      </c>
      <c r="BF32">
        <v>0</v>
      </c>
      <c r="BG32">
        <v>56.89756205040807</v>
      </c>
      <c r="BH32">
        <v>43.65313766818546</v>
      </c>
      <c r="BI32">
        <v>232</v>
      </c>
      <c r="BJ32">
        <v>135</v>
      </c>
      <c r="BK32">
        <v>48</v>
      </c>
      <c r="BL32">
        <v>108</v>
      </c>
      <c r="BM32">
        <v>64</v>
      </c>
      <c r="BN32">
        <v>645.7707912700811</v>
      </c>
      <c r="BO32" t="s">
        <v>290</v>
      </c>
      <c r="BP32" t="s">
        <v>504</v>
      </c>
      <c r="BQ32" t="s">
        <v>507</v>
      </c>
      <c r="BS32" t="b">
        <v>0</v>
      </c>
      <c r="BU32">
        <v>3</v>
      </c>
      <c r="BV32">
        <v>1</v>
      </c>
    </row>
    <row r="33" spans="1:74">
      <c r="A33">
        <v>190341</v>
      </c>
      <c r="B33" t="s">
        <v>105</v>
      </c>
      <c r="C33" t="s">
        <v>205</v>
      </c>
      <c r="D33" t="s">
        <v>276</v>
      </c>
      <c r="E33" t="s">
        <v>281</v>
      </c>
      <c r="F33" t="s">
        <v>287</v>
      </c>
      <c r="G33" t="s">
        <v>290</v>
      </c>
      <c r="H33" t="b">
        <v>0</v>
      </c>
      <c r="I33" t="b">
        <v>0</v>
      </c>
      <c r="J33" t="s">
        <v>296</v>
      </c>
      <c r="K33" t="s">
        <v>297</v>
      </c>
      <c r="L33" t="s">
        <v>299</v>
      </c>
      <c r="M33" t="s">
        <v>303</v>
      </c>
      <c r="N33" t="s">
        <v>306</v>
      </c>
      <c r="O33" t="s">
        <v>307</v>
      </c>
      <c r="P33" t="s">
        <v>311</v>
      </c>
      <c r="Q33" t="s">
        <v>316</v>
      </c>
      <c r="R33" t="s">
        <v>323</v>
      </c>
      <c r="T33" t="s">
        <v>379</v>
      </c>
      <c r="U33" t="s">
        <v>389</v>
      </c>
      <c r="V33" t="s">
        <v>397</v>
      </c>
      <c r="W33" t="s">
        <v>386</v>
      </c>
      <c r="X33" t="s">
        <v>394</v>
      </c>
      <c r="Y33" t="s">
        <v>383</v>
      </c>
      <c r="Z33" t="s">
        <v>391</v>
      </c>
      <c r="AA33" t="s">
        <v>388</v>
      </c>
      <c r="AB33" t="s">
        <v>396</v>
      </c>
      <c r="AC33" s="2">
        <v>45378</v>
      </c>
      <c r="AD33" s="2">
        <v>45378.08333333334</v>
      </c>
      <c r="AE33" s="2">
        <v>45378.875</v>
      </c>
      <c r="AF33" s="2">
        <v>45381.875</v>
      </c>
      <c r="AG33" s="2">
        <v>45381.875</v>
      </c>
      <c r="AH33" s="2">
        <v>45383.41666666666</v>
      </c>
      <c r="AI33" s="2">
        <v>45385.125</v>
      </c>
      <c r="AM33" s="2">
        <v>45385.125</v>
      </c>
      <c r="AN33" s="2">
        <v>45399</v>
      </c>
      <c r="AO33">
        <v>0</v>
      </c>
      <c r="AR33" t="s">
        <v>289</v>
      </c>
      <c r="AS33">
        <v>5</v>
      </c>
      <c r="AT33">
        <v>19</v>
      </c>
      <c r="AU33">
        <v>72</v>
      </c>
      <c r="AV33">
        <v>37</v>
      </c>
      <c r="AW33">
        <v>41</v>
      </c>
      <c r="AX33" t="s">
        <v>430</v>
      </c>
      <c r="AY33">
        <v>3</v>
      </c>
      <c r="AZ33">
        <v>5</v>
      </c>
      <c r="BA33">
        <v>1</v>
      </c>
      <c r="BB33">
        <v>3.400515097254031</v>
      </c>
      <c r="BC33">
        <v>26.34859330033284</v>
      </c>
      <c r="BD33">
        <v>0.9538027468486044</v>
      </c>
      <c r="BE33">
        <v>9.307814266019813</v>
      </c>
      <c r="BF33">
        <v>0</v>
      </c>
      <c r="BG33">
        <v>40.01072541045529</v>
      </c>
      <c r="BH33">
        <v>37.55860246317752</v>
      </c>
      <c r="BK33">
        <v>21</v>
      </c>
      <c r="BL33">
        <v>132</v>
      </c>
      <c r="BM33">
        <v>37</v>
      </c>
      <c r="BN33">
        <v>638.7707912702083</v>
      </c>
      <c r="BO33" t="s">
        <v>499</v>
      </c>
      <c r="BP33" t="s">
        <v>502</v>
      </c>
      <c r="BS33" t="b">
        <v>0</v>
      </c>
      <c r="BU33">
        <v>0</v>
      </c>
      <c r="BV33">
        <v>0</v>
      </c>
    </row>
    <row r="34" spans="1:74">
      <c r="A34">
        <v>190576</v>
      </c>
      <c r="B34" t="s">
        <v>106</v>
      </c>
      <c r="C34" t="s">
        <v>206</v>
      </c>
      <c r="D34" t="s">
        <v>277</v>
      </c>
      <c r="E34" t="s">
        <v>281</v>
      </c>
      <c r="F34" t="s">
        <v>282</v>
      </c>
      <c r="G34" t="s">
        <v>290</v>
      </c>
      <c r="H34" t="b">
        <v>1</v>
      </c>
      <c r="I34" t="b">
        <v>0</v>
      </c>
      <c r="J34" t="s">
        <v>296</v>
      </c>
      <c r="K34" t="s">
        <v>297</v>
      </c>
      <c r="L34" t="s">
        <v>298</v>
      </c>
      <c r="M34" t="s">
        <v>302</v>
      </c>
      <c r="N34" t="s">
        <v>306</v>
      </c>
      <c r="O34" t="s">
        <v>307</v>
      </c>
      <c r="P34" t="s">
        <v>308</v>
      </c>
      <c r="Q34" t="s">
        <v>313</v>
      </c>
      <c r="R34" t="s">
        <v>335</v>
      </c>
      <c r="T34" t="s">
        <v>379</v>
      </c>
      <c r="U34" t="s">
        <v>388</v>
      </c>
      <c r="V34" t="s">
        <v>396</v>
      </c>
      <c r="W34" t="s">
        <v>383</v>
      </c>
      <c r="X34" t="s">
        <v>391</v>
      </c>
      <c r="Y34" t="s">
        <v>388</v>
      </c>
      <c r="Z34" t="s">
        <v>396</v>
      </c>
      <c r="AA34" t="s">
        <v>385</v>
      </c>
      <c r="AB34" t="s">
        <v>393</v>
      </c>
      <c r="AC34" s="2">
        <v>45293</v>
      </c>
      <c r="AD34" s="2">
        <v>45293.20833333334</v>
      </c>
      <c r="AE34" s="2">
        <v>45294.16666666666</v>
      </c>
      <c r="AF34" s="2">
        <v>45294.54166666666</v>
      </c>
      <c r="AG34" s="2">
        <v>45294.54166666666</v>
      </c>
      <c r="AH34" s="2">
        <v>45296.08333333334</v>
      </c>
      <c r="AI34" s="2">
        <v>45296.41666666666</v>
      </c>
      <c r="AJ34" s="2">
        <v>45296.54166666666</v>
      </c>
      <c r="AK34" s="2">
        <v>45296.54166666666</v>
      </c>
      <c r="AM34" s="2">
        <v>45296.54166666666</v>
      </c>
      <c r="AN34" s="2">
        <v>45321</v>
      </c>
      <c r="AO34">
        <v>0</v>
      </c>
      <c r="AR34" t="s">
        <v>287</v>
      </c>
      <c r="AS34">
        <v>9</v>
      </c>
      <c r="AT34">
        <v>23</v>
      </c>
      <c r="AU34">
        <v>9</v>
      </c>
      <c r="AV34">
        <v>37</v>
      </c>
      <c r="AW34">
        <v>8</v>
      </c>
      <c r="AX34" t="s">
        <v>431</v>
      </c>
      <c r="AY34">
        <v>3</v>
      </c>
      <c r="AZ34">
        <v>11</v>
      </c>
      <c r="BA34">
        <v>1</v>
      </c>
      <c r="BB34">
        <v>7.525474915525509</v>
      </c>
      <c r="BC34">
        <v>28.37670821305043</v>
      </c>
      <c r="BD34">
        <v>16.38213541048425</v>
      </c>
      <c r="BE34">
        <v>15.53953803428648</v>
      </c>
      <c r="BF34">
        <v>0</v>
      </c>
      <c r="BG34">
        <v>67.82385657334667</v>
      </c>
      <c r="BH34">
        <v>86.92863377248401</v>
      </c>
      <c r="BK34">
        <v>28</v>
      </c>
      <c r="BL34">
        <v>40</v>
      </c>
      <c r="BM34">
        <v>37</v>
      </c>
      <c r="BN34">
        <v>723.770791270324</v>
      </c>
      <c r="BO34" t="s">
        <v>292</v>
      </c>
      <c r="BP34" t="s">
        <v>502</v>
      </c>
      <c r="BS34" t="b">
        <v>0</v>
      </c>
      <c r="BU34">
        <v>3</v>
      </c>
      <c r="BV34">
        <v>0</v>
      </c>
    </row>
    <row r="35" spans="1:74">
      <c r="A35">
        <v>190586</v>
      </c>
      <c r="B35" t="s">
        <v>107</v>
      </c>
      <c r="C35" t="s">
        <v>207</v>
      </c>
      <c r="D35" t="s">
        <v>275</v>
      </c>
      <c r="E35" t="s">
        <v>279</v>
      </c>
      <c r="F35" t="s">
        <v>287</v>
      </c>
      <c r="G35" t="s">
        <v>295</v>
      </c>
      <c r="H35" t="b">
        <v>0</v>
      </c>
      <c r="I35" t="b">
        <v>0</v>
      </c>
      <c r="J35" t="s">
        <v>296</v>
      </c>
      <c r="K35" t="s">
        <v>297</v>
      </c>
      <c r="L35" t="s">
        <v>298</v>
      </c>
      <c r="M35" t="s">
        <v>302</v>
      </c>
      <c r="N35" t="s">
        <v>306</v>
      </c>
      <c r="O35" t="s">
        <v>307</v>
      </c>
      <c r="P35" t="s">
        <v>311</v>
      </c>
      <c r="Q35" t="s">
        <v>316</v>
      </c>
      <c r="R35" t="s">
        <v>327</v>
      </c>
      <c r="T35" t="s">
        <v>377</v>
      </c>
      <c r="U35" t="s">
        <v>384</v>
      </c>
      <c r="V35" t="s">
        <v>392</v>
      </c>
      <c r="W35" t="s">
        <v>383</v>
      </c>
      <c r="X35" t="s">
        <v>391</v>
      </c>
      <c r="Y35" t="s">
        <v>388</v>
      </c>
      <c r="Z35" t="s">
        <v>396</v>
      </c>
      <c r="AA35" t="s">
        <v>388</v>
      </c>
      <c r="AB35" t="s">
        <v>396</v>
      </c>
      <c r="AC35" s="2">
        <v>45310</v>
      </c>
      <c r="AD35" s="2">
        <v>45311.375</v>
      </c>
      <c r="AE35" s="2">
        <v>45311.70833333334</v>
      </c>
      <c r="AF35" s="2">
        <v>45313.25</v>
      </c>
      <c r="AG35" s="2">
        <v>45313.25</v>
      </c>
      <c r="AH35" s="2">
        <v>45317.125</v>
      </c>
      <c r="AI35" s="2">
        <v>45318.58333333334</v>
      </c>
      <c r="AM35" s="2">
        <v>45318.58333333334</v>
      </c>
      <c r="AN35" s="2">
        <v>45330</v>
      </c>
      <c r="AO35">
        <v>0</v>
      </c>
      <c r="AR35" t="s">
        <v>289</v>
      </c>
      <c r="AS35">
        <v>6</v>
      </c>
      <c r="AT35">
        <v>8</v>
      </c>
      <c r="AU35">
        <v>37</v>
      </c>
      <c r="AV35">
        <v>93</v>
      </c>
      <c r="AW35">
        <v>35</v>
      </c>
      <c r="AX35" t="s">
        <v>432</v>
      </c>
      <c r="AY35">
        <v>0</v>
      </c>
      <c r="AZ35">
        <v>8</v>
      </c>
      <c r="BA35">
        <v>1</v>
      </c>
      <c r="BB35">
        <v>1.531407081094949</v>
      </c>
      <c r="BC35">
        <v>32.03591410800794</v>
      </c>
      <c r="BD35">
        <v>5.996168108081299</v>
      </c>
      <c r="BE35">
        <v>8.846467662552232</v>
      </c>
      <c r="BF35">
        <v>0</v>
      </c>
      <c r="BG35">
        <v>48.40995695973642</v>
      </c>
      <c r="BH35">
        <v>59.02646749953914</v>
      </c>
      <c r="BK35">
        <v>41</v>
      </c>
      <c r="BL35">
        <v>80</v>
      </c>
      <c r="BM35">
        <v>93</v>
      </c>
      <c r="BN35">
        <v>706.7707912704282</v>
      </c>
      <c r="BO35" t="s">
        <v>501</v>
      </c>
      <c r="BP35" t="s">
        <v>502</v>
      </c>
      <c r="BR35" t="s">
        <v>526</v>
      </c>
      <c r="BS35" t="b">
        <v>0</v>
      </c>
      <c r="BU35">
        <v>0</v>
      </c>
      <c r="BV35">
        <v>1</v>
      </c>
    </row>
    <row r="36" spans="1:74">
      <c r="A36">
        <v>190788</v>
      </c>
      <c r="B36" t="s">
        <v>108</v>
      </c>
      <c r="C36" t="s">
        <v>208</v>
      </c>
      <c r="D36" t="s">
        <v>275</v>
      </c>
      <c r="E36" t="s">
        <v>280</v>
      </c>
      <c r="F36" t="s">
        <v>284</v>
      </c>
      <c r="G36" t="s">
        <v>290</v>
      </c>
      <c r="H36" t="b">
        <v>0</v>
      </c>
      <c r="I36" t="b">
        <v>0</v>
      </c>
      <c r="J36" t="s">
        <v>296</v>
      </c>
      <c r="K36" t="s">
        <v>297</v>
      </c>
      <c r="L36" t="s">
        <v>300</v>
      </c>
      <c r="M36" t="s">
        <v>304</v>
      </c>
      <c r="N36" t="s">
        <v>306</v>
      </c>
      <c r="O36" t="s">
        <v>307</v>
      </c>
      <c r="P36" t="s">
        <v>312</v>
      </c>
      <c r="Q36" t="s">
        <v>317</v>
      </c>
      <c r="R36" t="s">
        <v>336</v>
      </c>
      <c r="T36" t="s">
        <v>379</v>
      </c>
      <c r="U36" t="s">
        <v>385</v>
      </c>
      <c r="V36" t="s">
        <v>393</v>
      </c>
      <c r="W36" t="s">
        <v>385</v>
      </c>
      <c r="X36" t="s">
        <v>393</v>
      </c>
      <c r="AC36" s="2">
        <v>45430</v>
      </c>
      <c r="AD36" s="2">
        <v>45430.375</v>
      </c>
      <c r="AE36" s="2">
        <v>45431.375</v>
      </c>
      <c r="AM36" s="2">
        <v>45431.375</v>
      </c>
      <c r="AN36" s="2">
        <v>45473</v>
      </c>
      <c r="AO36">
        <v>0</v>
      </c>
      <c r="AR36" t="s">
        <v>283</v>
      </c>
      <c r="AS36">
        <v>3</v>
      </c>
      <c r="AT36">
        <v>24</v>
      </c>
      <c r="AX36" t="s">
        <v>433</v>
      </c>
      <c r="AY36">
        <v>2</v>
      </c>
      <c r="AZ36">
        <v>5</v>
      </c>
      <c r="BA36">
        <v>1</v>
      </c>
      <c r="BB36">
        <v>3.057997632876939</v>
      </c>
      <c r="BC36">
        <v>35.71020833088509</v>
      </c>
      <c r="BD36">
        <v>2.804214138622297</v>
      </c>
      <c r="BE36">
        <v>10.44097957202894</v>
      </c>
      <c r="BF36">
        <v>0</v>
      </c>
      <c r="BG36">
        <v>52.01339967441327</v>
      </c>
      <c r="BH36">
        <v>61.90859748554056</v>
      </c>
      <c r="BK36">
        <v>33</v>
      </c>
      <c r="BL36">
        <v>24</v>
      </c>
      <c r="BM36">
        <v>0</v>
      </c>
      <c r="BN36">
        <v>586.7707912705439</v>
      </c>
      <c r="BS36" t="b">
        <v>0</v>
      </c>
      <c r="BU36">
        <v>0</v>
      </c>
      <c r="BV36">
        <v>0</v>
      </c>
    </row>
    <row r="37" spans="1:74">
      <c r="A37">
        <v>190916</v>
      </c>
      <c r="B37" t="s">
        <v>109</v>
      </c>
      <c r="C37" t="s">
        <v>209</v>
      </c>
      <c r="D37" t="s">
        <v>275</v>
      </c>
      <c r="E37" t="s">
        <v>279</v>
      </c>
      <c r="F37" t="s">
        <v>285</v>
      </c>
      <c r="G37" t="s">
        <v>290</v>
      </c>
      <c r="H37" t="b">
        <v>0</v>
      </c>
      <c r="I37" t="b">
        <v>0</v>
      </c>
      <c r="J37" t="s">
        <v>296</v>
      </c>
      <c r="K37" t="s">
        <v>297</v>
      </c>
      <c r="L37" t="s">
        <v>298</v>
      </c>
      <c r="M37" t="s">
        <v>302</v>
      </c>
      <c r="N37" t="s">
        <v>306</v>
      </c>
      <c r="O37" t="s">
        <v>307</v>
      </c>
      <c r="P37" t="s">
        <v>309</v>
      </c>
      <c r="Q37" t="s">
        <v>314</v>
      </c>
      <c r="R37" t="s">
        <v>336</v>
      </c>
      <c r="T37" t="s">
        <v>380</v>
      </c>
      <c r="U37" t="s">
        <v>389</v>
      </c>
      <c r="V37" t="s">
        <v>397</v>
      </c>
      <c r="W37" t="s">
        <v>386</v>
      </c>
      <c r="X37" t="s">
        <v>394</v>
      </c>
      <c r="Y37" t="s">
        <v>383</v>
      </c>
      <c r="Z37" t="s">
        <v>391</v>
      </c>
      <c r="AA37" t="s">
        <v>388</v>
      </c>
      <c r="AB37" t="s">
        <v>396</v>
      </c>
      <c r="AC37" s="2">
        <v>45439</v>
      </c>
      <c r="AD37" s="2">
        <v>45440.29166666666</v>
      </c>
      <c r="AE37" s="2">
        <v>45440.625</v>
      </c>
      <c r="AF37" s="2">
        <v>45443.20833333334</v>
      </c>
      <c r="AG37" s="2">
        <v>45443.20833333334</v>
      </c>
      <c r="AH37" s="2">
        <v>45447.83333333334</v>
      </c>
      <c r="AI37" s="2">
        <v>45449.08333333334</v>
      </c>
      <c r="AJ37" s="2">
        <v>45449.41666666666</v>
      </c>
      <c r="AK37" s="2">
        <v>45449.5</v>
      </c>
      <c r="AL37" s="2">
        <v>45449.79166666666</v>
      </c>
      <c r="AM37" s="2">
        <v>45449.79166666666</v>
      </c>
      <c r="AN37" s="2">
        <v>45488</v>
      </c>
      <c r="AO37">
        <v>3</v>
      </c>
      <c r="AP37" s="2">
        <v>45455.79166666666</v>
      </c>
      <c r="AQ37" s="2">
        <v>45458.79166666666</v>
      </c>
      <c r="AR37" t="s">
        <v>282</v>
      </c>
      <c r="AS37">
        <v>7</v>
      </c>
      <c r="AT37">
        <v>8</v>
      </c>
      <c r="AU37">
        <v>62</v>
      </c>
      <c r="AV37">
        <v>111</v>
      </c>
      <c r="AW37">
        <v>30</v>
      </c>
      <c r="AX37" t="s">
        <v>434</v>
      </c>
      <c r="AY37">
        <v>4</v>
      </c>
      <c r="AZ37">
        <v>7</v>
      </c>
      <c r="BA37">
        <v>4</v>
      </c>
      <c r="BB37">
        <v>1.351051409304418</v>
      </c>
      <c r="BC37">
        <v>14.1818111172099</v>
      </c>
      <c r="BD37">
        <v>14.08637472460094</v>
      </c>
      <c r="BE37">
        <v>11.43623033476926</v>
      </c>
      <c r="BF37">
        <v>29.40097725856432</v>
      </c>
      <c r="BG37">
        <v>70.45644484444882</v>
      </c>
      <c r="BH37">
        <v>60.22206117646571</v>
      </c>
      <c r="BI37">
        <v>259</v>
      </c>
      <c r="BJ37">
        <v>158</v>
      </c>
      <c r="BK37">
        <v>39</v>
      </c>
      <c r="BL37">
        <v>100</v>
      </c>
      <c r="BM37">
        <v>111</v>
      </c>
      <c r="BN37">
        <v>577.7707912706481</v>
      </c>
      <c r="BO37" t="s">
        <v>501</v>
      </c>
      <c r="BP37" t="s">
        <v>502</v>
      </c>
      <c r="BQ37" t="s">
        <v>506</v>
      </c>
      <c r="BR37" t="s">
        <v>527</v>
      </c>
      <c r="BS37" t="b">
        <v>0</v>
      </c>
      <c r="BU37">
        <v>1</v>
      </c>
      <c r="BV37">
        <v>2</v>
      </c>
    </row>
    <row r="38" spans="1:74">
      <c r="A38">
        <v>145770</v>
      </c>
      <c r="B38" t="s">
        <v>110</v>
      </c>
      <c r="C38" t="s">
        <v>210</v>
      </c>
      <c r="D38" t="s">
        <v>276</v>
      </c>
      <c r="E38" t="s">
        <v>279</v>
      </c>
      <c r="F38" t="s">
        <v>288</v>
      </c>
      <c r="G38" t="s">
        <v>292</v>
      </c>
      <c r="H38" t="b">
        <v>0</v>
      </c>
      <c r="I38" t="b">
        <v>0</v>
      </c>
      <c r="J38" t="s">
        <v>296</v>
      </c>
      <c r="K38" t="s">
        <v>297</v>
      </c>
      <c r="L38" t="s">
        <v>298</v>
      </c>
      <c r="M38" t="s">
        <v>302</v>
      </c>
      <c r="N38" t="s">
        <v>306</v>
      </c>
      <c r="O38" t="s">
        <v>307</v>
      </c>
      <c r="P38" t="s">
        <v>308</v>
      </c>
      <c r="Q38" t="s">
        <v>313</v>
      </c>
      <c r="R38" t="s">
        <v>330</v>
      </c>
      <c r="T38" t="s">
        <v>381</v>
      </c>
      <c r="U38" t="s">
        <v>389</v>
      </c>
      <c r="V38" t="s">
        <v>397</v>
      </c>
      <c r="W38" t="s">
        <v>387</v>
      </c>
      <c r="X38" t="s">
        <v>395</v>
      </c>
      <c r="AC38" s="2">
        <v>45397</v>
      </c>
      <c r="AD38" s="2">
        <v>45398.25</v>
      </c>
      <c r="AE38" s="2">
        <v>45399.25</v>
      </c>
      <c r="AF38" s="2">
        <v>45399.58333333334</v>
      </c>
      <c r="AG38" s="2">
        <v>45399.58333333334</v>
      </c>
      <c r="AM38" s="2">
        <v>45399.58333333334</v>
      </c>
      <c r="AN38" s="2">
        <v>45447</v>
      </c>
      <c r="AO38">
        <v>0</v>
      </c>
      <c r="AR38" t="s">
        <v>284</v>
      </c>
      <c r="AS38">
        <v>6</v>
      </c>
      <c r="AT38">
        <v>24</v>
      </c>
      <c r="AU38">
        <v>8</v>
      </c>
      <c r="AX38" t="s">
        <v>435</v>
      </c>
      <c r="AY38">
        <v>2</v>
      </c>
      <c r="AZ38">
        <v>6</v>
      </c>
      <c r="BA38">
        <v>1</v>
      </c>
      <c r="BB38">
        <v>7.435202137089221</v>
      </c>
      <c r="BC38">
        <v>15.64773515295782</v>
      </c>
      <c r="BD38">
        <v>12.76438551220774</v>
      </c>
      <c r="BE38">
        <v>7.818115971516598</v>
      </c>
      <c r="BF38">
        <v>0</v>
      </c>
      <c r="BG38">
        <v>43.66543877377138</v>
      </c>
      <c r="BH38">
        <v>35.04293603226701</v>
      </c>
      <c r="BK38">
        <v>54</v>
      </c>
      <c r="BL38">
        <v>32</v>
      </c>
      <c r="BM38">
        <v>0</v>
      </c>
      <c r="BN38">
        <v>619.7707912707523</v>
      </c>
      <c r="BR38" t="s">
        <v>528</v>
      </c>
      <c r="BS38" t="b">
        <v>0</v>
      </c>
      <c r="BU38">
        <v>0</v>
      </c>
      <c r="BV38">
        <v>0</v>
      </c>
    </row>
    <row r="39" spans="1:74">
      <c r="A39">
        <v>194846</v>
      </c>
      <c r="B39" t="s">
        <v>111</v>
      </c>
      <c r="C39" t="s">
        <v>211</v>
      </c>
      <c r="D39" t="s">
        <v>277</v>
      </c>
      <c r="E39" t="s">
        <v>280</v>
      </c>
      <c r="F39" t="s">
        <v>286</v>
      </c>
      <c r="G39" t="s">
        <v>290</v>
      </c>
      <c r="H39" t="b">
        <v>0</v>
      </c>
      <c r="I39" t="b">
        <v>1</v>
      </c>
      <c r="J39" t="s">
        <v>296</v>
      </c>
      <c r="K39" t="s">
        <v>297</v>
      </c>
      <c r="L39" t="s">
        <v>298</v>
      </c>
      <c r="M39" t="s">
        <v>302</v>
      </c>
      <c r="N39" t="s">
        <v>306</v>
      </c>
      <c r="O39" t="s">
        <v>307</v>
      </c>
      <c r="P39" t="s">
        <v>310</v>
      </c>
      <c r="Q39" t="s">
        <v>315</v>
      </c>
      <c r="R39" t="s">
        <v>335</v>
      </c>
      <c r="T39" t="s">
        <v>377</v>
      </c>
      <c r="U39" t="s">
        <v>388</v>
      </c>
      <c r="V39" t="s">
        <v>396</v>
      </c>
      <c r="W39" t="s">
        <v>385</v>
      </c>
      <c r="X39" t="s">
        <v>393</v>
      </c>
      <c r="AC39" s="2">
        <v>45459</v>
      </c>
      <c r="AM39" s="2">
        <v>45459</v>
      </c>
      <c r="AN39" s="2">
        <v>45507</v>
      </c>
      <c r="AO39">
        <v>0</v>
      </c>
      <c r="AS39">
        <v>1</v>
      </c>
      <c r="AX39" t="s">
        <v>436</v>
      </c>
      <c r="AY39">
        <v>4</v>
      </c>
      <c r="AZ39">
        <v>2</v>
      </c>
      <c r="BA39">
        <v>1</v>
      </c>
      <c r="BB39">
        <v>7.080045150357358</v>
      </c>
      <c r="BC39">
        <v>4.665295653793891</v>
      </c>
      <c r="BD39">
        <v>17.61070426377753</v>
      </c>
      <c r="BE39">
        <v>10.41337120126095</v>
      </c>
      <c r="BF39">
        <v>0</v>
      </c>
      <c r="BG39">
        <v>39.76941626918973</v>
      </c>
      <c r="BH39">
        <v>43.79352171768046</v>
      </c>
      <c r="BL39">
        <v>0</v>
      </c>
      <c r="BM39">
        <v>0</v>
      </c>
      <c r="BN39">
        <v>557.7707912708681</v>
      </c>
      <c r="BS39" t="b">
        <v>0</v>
      </c>
      <c r="BU39">
        <v>0</v>
      </c>
      <c r="BV39">
        <v>0</v>
      </c>
    </row>
    <row r="40" spans="1:74">
      <c r="A40">
        <v>190892</v>
      </c>
      <c r="B40" t="s">
        <v>112</v>
      </c>
      <c r="C40" t="s">
        <v>212</v>
      </c>
      <c r="D40" t="s">
        <v>274</v>
      </c>
      <c r="E40" t="s">
        <v>279</v>
      </c>
      <c r="F40" t="s">
        <v>282</v>
      </c>
      <c r="G40" t="s">
        <v>293</v>
      </c>
      <c r="H40" t="b">
        <v>0</v>
      </c>
      <c r="I40" t="b">
        <v>0</v>
      </c>
      <c r="J40" t="s">
        <v>296</v>
      </c>
      <c r="K40" t="s">
        <v>297</v>
      </c>
      <c r="L40" t="s">
        <v>301</v>
      </c>
      <c r="M40" t="s">
        <v>305</v>
      </c>
      <c r="N40" t="s">
        <v>306</v>
      </c>
      <c r="O40" t="s">
        <v>307</v>
      </c>
      <c r="P40" t="s">
        <v>312</v>
      </c>
      <c r="Q40" t="s">
        <v>317</v>
      </c>
      <c r="R40" t="s">
        <v>321</v>
      </c>
      <c r="T40" t="s">
        <v>377</v>
      </c>
      <c r="U40" t="s">
        <v>387</v>
      </c>
      <c r="V40" t="s">
        <v>395</v>
      </c>
      <c r="W40" t="s">
        <v>387</v>
      </c>
      <c r="X40" t="s">
        <v>395</v>
      </c>
      <c r="Y40" t="s">
        <v>390</v>
      </c>
      <c r="Z40" t="s">
        <v>398</v>
      </c>
      <c r="AA40" t="s">
        <v>385</v>
      </c>
      <c r="AB40" t="s">
        <v>393</v>
      </c>
      <c r="AC40" s="2">
        <v>45317</v>
      </c>
      <c r="AD40" s="2">
        <v>45317.16666666666</v>
      </c>
      <c r="AE40" s="2">
        <v>45317.70833333334</v>
      </c>
      <c r="AF40" s="2">
        <v>45319.58333333334</v>
      </c>
      <c r="AG40" s="2">
        <v>45319.58333333334</v>
      </c>
      <c r="AH40" s="2">
        <v>45324.16666666666</v>
      </c>
      <c r="AI40" s="2">
        <v>45324.58333333334</v>
      </c>
      <c r="AJ40" s="2">
        <v>45324.95833333334</v>
      </c>
      <c r="AK40" s="2">
        <v>45324.95833333334</v>
      </c>
      <c r="AM40" s="2">
        <v>45324.95833333334</v>
      </c>
      <c r="AN40" s="2">
        <v>45336</v>
      </c>
      <c r="AO40">
        <v>0</v>
      </c>
      <c r="AR40" t="s">
        <v>287</v>
      </c>
      <c r="AS40">
        <v>6</v>
      </c>
      <c r="AT40">
        <v>13</v>
      </c>
      <c r="AU40">
        <v>45</v>
      </c>
      <c r="AV40">
        <v>110</v>
      </c>
      <c r="AW40">
        <v>10</v>
      </c>
      <c r="AX40" t="s">
        <v>437</v>
      </c>
      <c r="AY40">
        <v>0</v>
      </c>
      <c r="AZ40">
        <v>6</v>
      </c>
      <c r="BA40">
        <v>1</v>
      </c>
      <c r="BB40">
        <v>2.434562207863668</v>
      </c>
      <c r="BC40">
        <v>23.55292549885079</v>
      </c>
      <c r="BD40">
        <v>14.83388535417577</v>
      </c>
      <c r="BE40">
        <v>9.764714678846504</v>
      </c>
      <c r="BF40">
        <v>0</v>
      </c>
      <c r="BG40">
        <v>50.58608773973673</v>
      </c>
      <c r="BH40">
        <v>63.6183586153433</v>
      </c>
      <c r="BK40">
        <v>17</v>
      </c>
      <c r="BL40">
        <v>68</v>
      </c>
      <c r="BM40">
        <v>110</v>
      </c>
      <c r="BN40">
        <v>699.7707912709723</v>
      </c>
      <c r="BO40" t="s">
        <v>499</v>
      </c>
      <c r="BP40" t="s">
        <v>505</v>
      </c>
      <c r="BS40" t="b">
        <v>1</v>
      </c>
      <c r="BT40">
        <v>192406</v>
      </c>
      <c r="BU40">
        <v>1</v>
      </c>
      <c r="BV40">
        <v>0</v>
      </c>
    </row>
    <row r="41" spans="1:74">
      <c r="A41">
        <v>192568</v>
      </c>
      <c r="B41" t="s">
        <v>113</v>
      </c>
      <c r="C41" t="s">
        <v>213</v>
      </c>
      <c r="D41" t="s">
        <v>274</v>
      </c>
      <c r="E41" t="s">
        <v>280</v>
      </c>
      <c r="F41" t="s">
        <v>284</v>
      </c>
      <c r="G41" t="s">
        <v>291</v>
      </c>
      <c r="H41" t="b">
        <v>1</v>
      </c>
      <c r="I41" t="b">
        <v>0</v>
      </c>
      <c r="J41" t="s">
        <v>296</v>
      </c>
      <c r="K41" t="s">
        <v>297</v>
      </c>
      <c r="L41" t="s">
        <v>298</v>
      </c>
      <c r="M41" t="s">
        <v>302</v>
      </c>
      <c r="N41" t="s">
        <v>306</v>
      </c>
      <c r="O41" t="s">
        <v>307</v>
      </c>
      <c r="P41" t="s">
        <v>311</v>
      </c>
      <c r="Q41" t="s">
        <v>316</v>
      </c>
      <c r="R41" t="s">
        <v>337</v>
      </c>
      <c r="T41" t="s">
        <v>380</v>
      </c>
      <c r="U41" t="s">
        <v>387</v>
      </c>
      <c r="V41" t="s">
        <v>395</v>
      </c>
      <c r="W41" t="s">
        <v>383</v>
      </c>
      <c r="X41" t="s">
        <v>391</v>
      </c>
      <c r="AC41" s="2">
        <v>45340</v>
      </c>
      <c r="AD41" s="2">
        <v>45341.45833333334</v>
      </c>
      <c r="AE41" s="2">
        <v>45342.08333333334</v>
      </c>
      <c r="AM41" s="2">
        <v>45342.08333333334</v>
      </c>
      <c r="AN41" s="2">
        <v>45355</v>
      </c>
      <c r="AO41">
        <v>0</v>
      </c>
      <c r="AR41" t="s">
        <v>283</v>
      </c>
      <c r="AS41">
        <v>4</v>
      </c>
      <c r="AT41">
        <v>15</v>
      </c>
      <c r="AX41" t="s">
        <v>438</v>
      </c>
      <c r="AY41">
        <v>1</v>
      </c>
      <c r="AZ41">
        <v>6</v>
      </c>
      <c r="BA41">
        <v>1</v>
      </c>
      <c r="BB41">
        <v>5.449880345256343</v>
      </c>
      <c r="BC41">
        <v>2.401748678072941</v>
      </c>
      <c r="BD41">
        <v>16.16787814250455</v>
      </c>
      <c r="BE41">
        <v>14.51737015736484</v>
      </c>
      <c r="BF41">
        <v>0</v>
      </c>
      <c r="BG41">
        <v>38.53687732319867</v>
      </c>
      <c r="BH41">
        <v>39.84935610995126</v>
      </c>
      <c r="BK41">
        <v>50</v>
      </c>
      <c r="BL41">
        <v>15</v>
      </c>
      <c r="BM41">
        <v>0</v>
      </c>
      <c r="BN41">
        <v>676.770791271088</v>
      </c>
      <c r="BR41" t="s">
        <v>529</v>
      </c>
      <c r="BS41" t="b">
        <v>0</v>
      </c>
      <c r="BU41">
        <v>0</v>
      </c>
      <c r="BV41">
        <v>0</v>
      </c>
    </row>
    <row r="42" spans="1:74">
      <c r="A42">
        <v>192406</v>
      </c>
      <c r="B42" t="s">
        <v>114</v>
      </c>
      <c r="C42" t="s">
        <v>214</v>
      </c>
      <c r="D42" t="s">
        <v>276</v>
      </c>
      <c r="E42" t="s">
        <v>280</v>
      </c>
      <c r="F42" t="s">
        <v>285</v>
      </c>
      <c r="G42" t="s">
        <v>294</v>
      </c>
      <c r="H42" t="b">
        <v>0</v>
      </c>
      <c r="I42" t="b">
        <v>0</v>
      </c>
      <c r="J42" t="s">
        <v>296</v>
      </c>
      <c r="K42" t="s">
        <v>297</v>
      </c>
      <c r="L42" t="s">
        <v>298</v>
      </c>
      <c r="M42" t="s">
        <v>302</v>
      </c>
      <c r="N42" t="s">
        <v>306</v>
      </c>
      <c r="O42" t="s">
        <v>307</v>
      </c>
      <c r="P42" t="s">
        <v>312</v>
      </c>
      <c r="Q42" t="s">
        <v>317</v>
      </c>
      <c r="R42" t="s">
        <v>329</v>
      </c>
      <c r="T42" t="s">
        <v>380</v>
      </c>
      <c r="U42" t="s">
        <v>390</v>
      </c>
      <c r="V42" t="s">
        <v>398</v>
      </c>
      <c r="W42" t="s">
        <v>386</v>
      </c>
      <c r="X42" t="s">
        <v>394</v>
      </c>
      <c r="Y42" t="s">
        <v>383</v>
      </c>
      <c r="Z42" t="s">
        <v>391</v>
      </c>
      <c r="AA42" t="s">
        <v>390</v>
      </c>
      <c r="AB42" t="s">
        <v>398</v>
      </c>
      <c r="AC42" s="2">
        <v>45400</v>
      </c>
      <c r="AD42" s="2">
        <v>45400.5</v>
      </c>
      <c r="AE42" s="2">
        <v>45400.875</v>
      </c>
      <c r="AF42" s="2">
        <v>45403.41666666666</v>
      </c>
      <c r="AG42" s="2">
        <v>45403.41666666666</v>
      </c>
      <c r="AH42" s="2">
        <v>45405.04166666666</v>
      </c>
      <c r="AI42" s="2">
        <v>45405.375</v>
      </c>
      <c r="AJ42" s="2">
        <v>45406.04166666666</v>
      </c>
      <c r="AK42" s="2">
        <v>45406.125</v>
      </c>
      <c r="AL42" s="2">
        <v>45406.29166666666</v>
      </c>
      <c r="AM42" s="2">
        <v>45406.29166666666</v>
      </c>
      <c r="AN42" s="2">
        <v>45448</v>
      </c>
      <c r="AO42">
        <v>0</v>
      </c>
      <c r="AR42" t="s">
        <v>282</v>
      </c>
      <c r="AS42">
        <v>9</v>
      </c>
      <c r="AT42">
        <v>9</v>
      </c>
      <c r="AU42">
        <v>61</v>
      </c>
      <c r="AV42">
        <v>39</v>
      </c>
      <c r="AW42">
        <v>8</v>
      </c>
      <c r="AX42" t="s">
        <v>439</v>
      </c>
      <c r="AY42">
        <v>3</v>
      </c>
      <c r="AZ42">
        <v>11</v>
      </c>
      <c r="BA42">
        <v>1</v>
      </c>
      <c r="BB42">
        <v>6.629166501509118</v>
      </c>
      <c r="BC42">
        <v>19.15832270716595</v>
      </c>
      <c r="BD42">
        <v>5.999674165140476</v>
      </c>
      <c r="BE42">
        <v>1.681695705121868</v>
      </c>
      <c r="BF42">
        <v>0</v>
      </c>
      <c r="BG42">
        <v>33.46885907893741</v>
      </c>
      <c r="BH42">
        <v>34.90693608621648</v>
      </c>
      <c r="BI42">
        <v>151</v>
      </c>
      <c r="BJ42">
        <v>69</v>
      </c>
      <c r="BK42">
        <v>21</v>
      </c>
      <c r="BL42">
        <v>78</v>
      </c>
      <c r="BM42">
        <v>39</v>
      </c>
      <c r="BN42">
        <v>616.7707912711921</v>
      </c>
      <c r="BO42" t="s">
        <v>499</v>
      </c>
      <c r="BP42" t="s">
        <v>503</v>
      </c>
      <c r="BQ42" t="s">
        <v>507</v>
      </c>
      <c r="BR42" t="s">
        <v>530</v>
      </c>
      <c r="BS42" t="b">
        <v>0</v>
      </c>
      <c r="BU42">
        <v>1</v>
      </c>
      <c r="BV42">
        <v>0</v>
      </c>
    </row>
    <row r="43" spans="1:74">
      <c r="A43">
        <v>191499</v>
      </c>
      <c r="B43" t="s">
        <v>115</v>
      </c>
      <c r="C43" t="s">
        <v>215</v>
      </c>
      <c r="D43" t="s">
        <v>274</v>
      </c>
      <c r="E43" t="s">
        <v>279</v>
      </c>
      <c r="F43" t="s">
        <v>285</v>
      </c>
      <c r="G43" t="s">
        <v>293</v>
      </c>
      <c r="H43" t="b">
        <v>1</v>
      </c>
      <c r="I43" t="b">
        <v>0</v>
      </c>
      <c r="J43" t="s">
        <v>296</v>
      </c>
      <c r="K43" t="s">
        <v>297</v>
      </c>
      <c r="L43" t="s">
        <v>300</v>
      </c>
      <c r="M43" t="s">
        <v>304</v>
      </c>
      <c r="N43" t="s">
        <v>306</v>
      </c>
      <c r="O43" t="s">
        <v>307</v>
      </c>
      <c r="P43" t="s">
        <v>308</v>
      </c>
      <c r="Q43" t="s">
        <v>313</v>
      </c>
      <c r="R43" t="s">
        <v>321</v>
      </c>
      <c r="S43" t="s">
        <v>354</v>
      </c>
      <c r="T43" t="s">
        <v>382</v>
      </c>
      <c r="U43" t="s">
        <v>385</v>
      </c>
      <c r="V43" t="s">
        <v>393</v>
      </c>
      <c r="W43" t="s">
        <v>387</v>
      </c>
      <c r="X43" t="s">
        <v>395</v>
      </c>
      <c r="Y43" t="s">
        <v>389</v>
      </c>
      <c r="Z43" t="s">
        <v>397</v>
      </c>
      <c r="AA43" t="s">
        <v>390</v>
      </c>
      <c r="AB43" t="s">
        <v>398</v>
      </c>
      <c r="AC43" s="2">
        <v>45315</v>
      </c>
      <c r="AD43" s="2">
        <v>45315.66666666666</v>
      </c>
      <c r="AE43" s="2">
        <v>45315.91666666666</v>
      </c>
      <c r="AF43" s="2">
        <v>45318.16666666666</v>
      </c>
      <c r="AG43" s="2">
        <v>45318.16666666666</v>
      </c>
      <c r="AH43" s="2">
        <v>45321.08333333334</v>
      </c>
      <c r="AI43" s="2">
        <v>45322.5</v>
      </c>
      <c r="AJ43" s="2">
        <v>45322.83333333334</v>
      </c>
      <c r="AK43" s="2">
        <v>45323.125</v>
      </c>
      <c r="AL43" s="2">
        <v>45323.29166666666</v>
      </c>
      <c r="AM43" s="2">
        <v>45323.29166666666</v>
      </c>
      <c r="AN43" s="2">
        <v>45332</v>
      </c>
      <c r="AO43">
        <v>3</v>
      </c>
      <c r="AP43" s="2">
        <v>45324.29166666666</v>
      </c>
      <c r="AQ43" s="2">
        <v>45327.29166666666</v>
      </c>
      <c r="AR43" t="s">
        <v>282</v>
      </c>
      <c r="AS43">
        <v>9</v>
      </c>
      <c r="AT43">
        <v>6</v>
      </c>
      <c r="AU43">
        <v>54</v>
      </c>
      <c r="AV43">
        <v>70</v>
      </c>
      <c r="AW43">
        <v>34</v>
      </c>
      <c r="AX43" t="s">
        <v>440</v>
      </c>
      <c r="AY43">
        <v>0</v>
      </c>
      <c r="AZ43">
        <v>9</v>
      </c>
      <c r="BA43">
        <v>4</v>
      </c>
      <c r="BB43">
        <v>4.664006086995967</v>
      </c>
      <c r="BC43">
        <v>22.16314075359549</v>
      </c>
      <c r="BD43">
        <v>3.960071103704595</v>
      </c>
      <c r="BE43">
        <v>5.214447843883455</v>
      </c>
      <c r="BF43">
        <v>3.866391657319477</v>
      </c>
      <c r="BG43">
        <v>39.86805744549898</v>
      </c>
      <c r="BH43">
        <v>34.60497376560146</v>
      </c>
      <c r="BI43">
        <v>199</v>
      </c>
      <c r="BJ43">
        <v>123</v>
      </c>
      <c r="BK43">
        <v>22</v>
      </c>
      <c r="BL43">
        <v>94</v>
      </c>
      <c r="BM43">
        <v>70</v>
      </c>
      <c r="BN43">
        <v>701.7707912713079</v>
      </c>
      <c r="BO43" t="s">
        <v>500</v>
      </c>
      <c r="BP43" t="s">
        <v>502</v>
      </c>
      <c r="BQ43" t="s">
        <v>507</v>
      </c>
      <c r="BR43" t="s">
        <v>531</v>
      </c>
      <c r="BS43" t="b">
        <v>0</v>
      </c>
      <c r="BU43">
        <v>1</v>
      </c>
      <c r="BV43">
        <v>2</v>
      </c>
    </row>
    <row r="44" spans="1:74">
      <c r="A44">
        <v>192322</v>
      </c>
      <c r="B44" t="s">
        <v>116</v>
      </c>
      <c r="C44" t="s">
        <v>216</v>
      </c>
      <c r="D44" t="s">
        <v>277</v>
      </c>
      <c r="E44" t="s">
        <v>279</v>
      </c>
      <c r="F44" t="s">
        <v>285</v>
      </c>
      <c r="G44" t="s">
        <v>290</v>
      </c>
      <c r="H44" t="b">
        <v>0</v>
      </c>
      <c r="I44" t="b">
        <v>0</v>
      </c>
      <c r="J44" t="s">
        <v>296</v>
      </c>
      <c r="K44" t="s">
        <v>297</v>
      </c>
      <c r="L44" t="s">
        <v>298</v>
      </c>
      <c r="M44" t="s">
        <v>302</v>
      </c>
      <c r="N44" t="s">
        <v>306</v>
      </c>
      <c r="O44" t="s">
        <v>307</v>
      </c>
      <c r="P44" t="s">
        <v>311</v>
      </c>
      <c r="Q44" t="s">
        <v>316</v>
      </c>
      <c r="R44" t="s">
        <v>335</v>
      </c>
      <c r="S44" t="s">
        <v>355</v>
      </c>
      <c r="T44" t="s">
        <v>377</v>
      </c>
      <c r="U44" t="s">
        <v>387</v>
      </c>
      <c r="V44" t="s">
        <v>395</v>
      </c>
      <c r="W44" t="s">
        <v>386</v>
      </c>
      <c r="X44" t="s">
        <v>394</v>
      </c>
      <c r="Y44" t="s">
        <v>387</v>
      </c>
      <c r="Z44" t="s">
        <v>395</v>
      </c>
      <c r="AA44" t="s">
        <v>385</v>
      </c>
      <c r="AB44" t="s">
        <v>393</v>
      </c>
      <c r="AC44" s="2">
        <v>45359</v>
      </c>
      <c r="AD44" s="2">
        <v>45360.25</v>
      </c>
      <c r="AE44" s="2">
        <v>45360.66666666666</v>
      </c>
      <c r="AF44" s="2">
        <v>45363</v>
      </c>
      <c r="AG44" s="2">
        <v>45363</v>
      </c>
      <c r="AH44" s="2">
        <v>45367.04166666666</v>
      </c>
      <c r="AI44" s="2">
        <v>45368.66666666666</v>
      </c>
      <c r="AJ44" s="2">
        <v>45369.625</v>
      </c>
      <c r="AK44" s="2">
        <v>45369.95833333334</v>
      </c>
      <c r="AL44" s="2">
        <v>45370.375</v>
      </c>
      <c r="AM44" s="2">
        <v>45370.375</v>
      </c>
      <c r="AN44" s="2">
        <v>45378</v>
      </c>
      <c r="AO44">
        <v>2</v>
      </c>
      <c r="AP44" s="2">
        <v>45374.375</v>
      </c>
      <c r="AQ44" s="2">
        <v>45374.375</v>
      </c>
      <c r="AR44" t="s">
        <v>282</v>
      </c>
      <c r="AS44">
        <v>8</v>
      </c>
      <c r="AT44">
        <v>10</v>
      </c>
      <c r="AU44">
        <v>56</v>
      </c>
      <c r="AV44">
        <v>97</v>
      </c>
      <c r="AW44">
        <v>39</v>
      </c>
      <c r="AX44" t="s">
        <v>441</v>
      </c>
      <c r="AY44">
        <v>3</v>
      </c>
      <c r="AZ44">
        <v>10</v>
      </c>
      <c r="BA44">
        <v>3</v>
      </c>
      <c r="BB44">
        <v>4.472379337670048</v>
      </c>
      <c r="BC44">
        <v>12.17510883300309</v>
      </c>
      <c r="BD44">
        <v>15.13698765699674</v>
      </c>
      <c r="BE44">
        <v>15.25617226114838</v>
      </c>
      <c r="BF44">
        <v>2.560916779155449</v>
      </c>
      <c r="BG44">
        <v>49.60156486797371</v>
      </c>
      <c r="BH44">
        <v>57.62192759228193</v>
      </c>
      <c r="BI44">
        <v>273</v>
      </c>
      <c r="BJ44">
        <v>177</v>
      </c>
      <c r="BK44">
        <v>40</v>
      </c>
      <c r="BL44">
        <v>105</v>
      </c>
      <c r="BM44">
        <v>97</v>
      </c>
      <c r="BN44">
        <v>657.770791271412</v>
      </c>
      <c r="BO44" t="s">
        <v>501</v>
      </c>
      <c r="BP44" t="s">
        <v>502</v>
      </c>
      <c r="BQ44" t="s">
        <v>507</v>
      </c>
      <c r="BR44" t="s">
        <v>532</v>
      </c>
      <c r="BS44" t="b">
        <v>0</v>
      </c>
      <c r="BU44">
        <v>2</v>
      </c>
      <c r="BV44">
        <v>2</v>
      </c>
    </row>
    <row r="45" spans="1:74">
      <c r="A45">
        <v>192350</v>
      </c>
      <c r="B45" t="s">
        <v>117</v>
      </c>
      <c r="C45" t="s">
        <v>217</v>
      </c>
      <c r="D45" t="s">
        <v>275</v>
      </c>
      <c r="E45" t="s">
        <v>279</v>
      </c>
      <c r="F45" t="s">
        <v>288</v>
      </c>
      <c r="G45" t="s">
        <v>292</v>
      </c>
      <c r="H45" t="b">
        <v>0</v>
      </c>
      <c r="I45" t="b">
        <v>0</v>
      </c>
      <c r="J45" t="s">
        <v>296</v>
      </c>
      <c r="K45" t="s">
        <v>297</v>
      </c>
      <c r="L45" t="s">
        <v>298</v>
      </c>
      <c r="M45" t="s">
        <v>302</v>
      </c>
      <c r="N45" t="s">
        <v>306</v>
      </c>
      <c r="O45" t="s">
        <v>307</v>
      </c>
      <c r="P45" t="s">
        <v>309</v>
      </c>
      <c r="Q45" t="s">
        <v>314</v>
      </c>
      <c r="R45" t="s">
        <v>338</v>
      </c>
      <c r="S45" t="s">
        <v>356</v>
      </c>
      <c r="T45" t="s">
        <v>382</v>
      </c>
      <c r="U45" t="s">
        <v>386</v>
      </c>
      <c r="V45" t="s">
        <v>394</v>
      </c>
      <c r="W45" t="s">
        <v>386</v>
      </c>
      <c r="X45" t="s">
        <v>394</v>
      </c>
      <c r="AC45" s="2">
        <v>45440</v>
      </c>
      <c r="AD45" s="2">
        <v>45442</v>
      </c>
      <c r="AE45" s="2">
        <v>45442.75</v>
      </c>
      <c r="AF45" s="2">
        <v>45443.125</v>
      </c>
      <c r="AG45" s="2">
        <v>45443.125</v>
      </c>
      <c r="AM45" s="2">
        <v>45443.125</v>
      </c>
      <c r="AN45" s="2">
        <v>45494</v>
      </c>
      <c r="AO45">
        <v>0</v>
      </c>
      <c r="AR45" t="s">
        <v>284</v>
      </c>
      <c r="AS45">
        <v>6</v>
      </c>
      <c r="AT45">
        <v>18</v>
      </c>
      <c r="AU45">
        <v>9</v>
      </c>
      <c r="AX45" t="s">
        <v>442</v>
      </c>
      <c r="AY45">
        <v>1</v>
      </c>
      <c r="AZ45">
        <v>8</v>
      </c>
      <c r="BA45">
        <v>1</v>
      </c>
      <c r="BB45">
        <v>2.313892181753388</v>
      </c>
      <c r="BC45">
        <v>24.04249716219142</v>
      </c>
      <c r="BD45">
        <v>16.23327741571165</v>
      </c>
      <c r="BE45">
        <v>14.35395675836374</v>
      </c>
      <c r="BF45">
        <v>0</v>
      </c>
      <c r="BG45">
        <v>56.9436235180202</v>
      </c>
      <c r="BH45">
        <v>46.25110574216944</v>
      </c>
      <c r="BK45">
        <v>66</v>
      </c>
      <c r="BL45">
        <v>27</v>
      </c>
      <c r="BM45">
        <v>0</v>
      </c>
      <c r="BN45">
        <v>576.7707912715277</v>
      </c>
      <c r="BS45" t="b">
        <v>0</v>
      </c>
      <c r="BU45">
        <v>0</v>
      </c>
      <c r="BV45">
        <v>0</v>
      </c>
    </row>
    <row r="46" spans="1:74">
      <c r="A46">
        <v>192404</v>
      </c>
      <c r="B46" t="s">
        <v>118</v>
      </c>
      <c r="C46" t="s">
        <v>218</v>
      </c>
      <c r="D46" t="s">
        <v>276</v>
      </c>
      <c r="E46" t="s">
        <v>279</v>
      </c>
      <c r="F46" t="s">
        <v>286</v>
      </c>
      <c r="G46" t="s">
        <v>295</v>
      </c>
      <c r="H46" t="b">
        <v>0</v>
      </c>
      <c r="I46" t="b">
        <v>0</v>
      </c>
      <c r="J46" t="s">
        <v>296</v>
      </c>
      <c r="K46" t="s">
        <v>297</v>
      </c>
      <c r="L46" t="s">
        <v>299</v>
      </c>
      <c r="M46" t="s">
        <v>303</v>
      </c>
      <c r="N46" t="s">
        <v>306</v>
      </c>
      <c r="O46" t="s">
        <v>307</v>
      </c>
      <c r="P46" t="s">
        <v>312</v>
      </c>
      <c r="Q46" t="s">
        <v>317</v>
      </c>
      <c r="R46" t="s">
        <v>333</v>
      </c>
      <c r="S46" t="s">
        <v>357</v>
      </c>
      <c r="T46" t="s">
        <v>379</v>
      </c>
      <c r="U46" t="s">
        <v>387</v>
      </c>
      <c r="V46" t="s">
        <v>395</v>
      </c>
      <c r="W46" t="s">
        <v>383</v>
      </c>
      <c r="X46" t="s">
        <v>391</v>
      </c>
      <c r="AC46" s="2">
        <v>45372</v>
      </c>
      <c r="AM46" s="2">
        <v>45372</v>
      </c>
      <c r="AN46" s="2">
        <v>45382</v>
      </c>
      <c r="AO46">
        <v>0</v>
      </c>
      <c r="AS46">
        <v>3</v>
      </c>
      <c r="AX46" t="s">
        <v>443</v>
      </c>
      <c r="AY46">
        <v>1</v>
      </c>
      <c r="AZ46">
        <v>3</v>
      </c>
      <c r="BA46">
        <v>1</v>
      </c>
      <c r="BB46">
        <v>1.198270758544244</v>
      </c>
      <c r="BC46">
        <v>2.189509747622928</v>
      </c>
      <c r="BD46">
        <v>19.81485026901313</v>
      </c>
      <c r="BE46">
        <v>7.834851291785694</v>
      </c>
      <c r="BF46">
        <v>0</v>
      </c>
      <c r="BG46">
        <v>31.037482066966</v>
      </c>
      <c r="BH46">
        <v>27.75395054408377</v>
      </c>
      <c r="BL46">
        <v>0</v>
      </c>
      <c r="BM46">
        <v>0</v>
      </c>
      <c r="BN46">
        <v>644.7707912716435</v>
      </c>
      <c r="BS46" t="b">
        <v>0</v>
      </c>
      <c r="BU46">
        <v>0</v>
      </c>
      <c r="BV46">
        <v>0</v>
      </c>
    </row>
    <row r="47" spans="1:74">
      <c r="A47">
        <v>192543</v>
      </c>
      <c r="B47" t="s">
        <v>119</v>
      </c>
      <c r="C47" t="s">
        <v>219</v>
      </c>
      <c r="D47" t="s">
        <v>274</v>
      </c>
      <c r="E47" t="s">
        <v>278</v>
      </c>
      <c r="F47" t="s">
        <v>285</v>
      </c>
      <c r="G47" t="s">
        <v>290</v>
      </c>
      <c r="H47" t="b">
        <v>0</v>
      </c>
      <c r="I47" t="b">
        <v>0</v>
      </c>
      <c r="J47" t="s">
        <v>296</v>
      </c>
      <c r="K47" t="s">
        <v>297</v>
      </c>
      <c r="L47" t="s">
        <v>300</v>
      </c>
      <c r="M47" t="s">
        <v>304</v>
      </c>
      <c r="N47" t="s">
        <v>306</v>
      </c>
      <c r="O47" t="s">
        <v>307</v>
      </c>
      <c r="P47" t="s">
        <v>308</v>
      </c>
      <c r="Q47" t="s">
        <v>313</v>
      </c>
      <c r="R47" t="s">
        <v>318</v>
      </c>
      <c r="S47" t="s">
        <v>358</v>
      </c>
      <c r="T47" t="s">
        <v>377</v>
      </c>
      <c r="U47" t="s">
        <v>389</v>
      </c>
      <c r="V47" t="s">
        <v>397</v>
      </c>
      <c r="W47" t="s">
        <v>385</v>
      </c>
      <c r="X47" t="s">
        <v>393</v>
      </c>
      <c r="Y47" t="s">
        <v>383</v>
      </c>
      <c r="Z47" t="s">
        <v>391</v>
      </c>
      <c r="AA47" t="s">
        <v>383</v>
      </c>
      <c r="AB47" t="s">
        <v>391</v>
      </c>
      <c r="AC47" s="2">
        <v>45304</v>
      </c>
      <c r="AD47" s="2">
        <v>45305.58333333334</v>
      </c>
      <c r="AE47" s="2">
        <v>45306.25</v>
      </c>
      <c r="AF47" s="2">
        <v>45309</v>
      </c>
      <c r="AG47" s="2">
        <v>45309</v>
      </c>
      <c r="AH47" s="2">
        <v>45313.875</v>
      </c>
      <c r="AI47" s="2">
        <v>45315.41666666666</v>
      </c>
      <c r="AJ47" s="2">
        <v>45315.70833333334</v>
      </c>
      <c r="AK47" s="2">
        <v>45315.75</v>
      </c>
      <c r="AL47" s="2">
        <v>45317.125</v>
      </c>
      <c r="AM47" s="2">
        <v>45317.125</v>
      </c>
      <c r="AN47" s="2">
        <v>45316</v>
      </c>
      <c r="AO47">
        <v>1</v>
      </c>
      <c r="AP47" s="2">
        <v>45319.125</v>
      </c>
      <c r="AQ47" s="2">
        <v>45319.125</v>
      </c>
      <c r="AR47" t="s">
        <v>282</v>
      </c>
      <c r="AS47">
        <v>10</v>
      </c>
      <c r="AT47">
        <v>16</v>
      </c>
      <c r="AU47">
        <v>66</v>
      </c>
      <c r="AV47">
        <v>117</v>
      </c>
      <c r="AW47">
        <v>37</v>
      </c>
      <c r="AX47" t="s">
        <v>444</v>
      </c>
      <c r="AY47">
        <v>0</v>
      </c>
      <c r="AZ47">
        <v>10</v>
      </c>
      <c r="BA47">
        <v>2</v>
      </c>
      <c r="BB47">
        <v>7.229118184649951</v>
      </c>
      <c r="BC47">
        <v>2.456579361219362</v>
      </c>
      <c r="BD47">
        <v>8.546044699772816</v>
      </c>
      <c r="BE47">
        <v>10.30198896702305</v>
      </c>
      <c r="BF47">
        <v>6.408747448032146</v>
      </c>
      <c r="BG47">
        <v>34.94247866069733</v>
      </c>
      <c r="BH47">
        <v>33.37921726919046</v>
      </c>
      <c r="BI47">
        <v>315</v>
      </c>
      <c r="BJ47">
        <v>195</v>
      </c>
      <c r="BK47">
        <v>54</v>
      </c>
      <c r="BL47">
        <v>119</v>
      </c>
      <c r="BM47">
        <v>117</v>
      </c>
      <c r="BN47">
        <v>712.7707912717477</v>
      </c>
      <c r="BO47" t="s">
        <v>292</v>
      </c>
      <c r="BP47" t="s">
        <v>502</v>
      </c>
      <c r="BQ47" t="s">
        <v>507</v>
      </c>
      <c r="BS47" t="b">
        <v>0</v>
      </c>
      <c r="BU47">
        <v>1</v>
      </c>
      <c r="BV47">
        <v>0</v>
      </c>
    </row>
    <row r="48" spans="1:74">
      <c r="A48">
        <v>192155</v>
      </c>
      <c r="B48" t="s">
        <v>120</v>
      </c>
      <c r="C48" t="s">
        <v>220</v>
      </c>
      <c r="D48" t="s">
        <v>276</v>
      </c>
      <c r="E48" t="s">
        <v>279</v>
      </c>
      <c r="F48" t="s">
        <v>289</v>
      </c>
      <c r="G48" t="s">
        <v>292</v>
      </c>
      <c r="H48" t="b">
        <v>0</v>
      </c>
      <c r="I48" t="b">
        <v>1</v>
      </c>
      <c r="J48" t="s">
        <v>296</v>
      </c>
      <c r="K48" t="s">
        <v>297</v>
      </c>
      <c r="L48" t="s">
        <v>300</v>
      </c>
      <c r="M48" t="s">
        <v>304</v>
      </c>
      <c r="N48" t="s">
        <v>306</v>
      </c>
      <c r="O48" t="s">
        <v>307</v>
      </c>
      <c r="P48" t="s">
        <v>310</v>
      </c>
      <c r="Q48" t="s">
        <v>315</v>
      </c>
      <c r="R48" t="s">
        <v>330</v>
      </c>
      <c r="S48" t="s">
        <v>359</v>
      </c>
      <c r="T48" t="s">
        <v>377</v>
      </c>
      <c r="U48" t="s">
        <v>388</v>
      </c>
      <c r="V48" t="s">
        <v>396</v>
      </c>
      <c r="W48" t="s">
        <v>385</v>
      </c>
      <c r="X48" t="s">
        <v>393</v>
      </c>
      <c r="AC48" s="2">
        <v>45444</v>
      </c>
      <c r="AD48" s="2">
        <v>45444.20833333334</v>
      </c>
      <c r="AE48" s="2">
        <v>45445.125</v>
      </c>
      <c r="AF48" s="2">
        <v>45446.45833333334</v>
      </c>
      <c r="AG48" s="2">
        <v>45446.45833333334</v>
      </c>
      <c r="AH48" s="2">
        <v>45448.91666666666</v>
      </c>
      <c r="AM48" s="2">
        <v>45448.91666666666</v>
      </c>
      <c r="AN48" s="2">
        <v>45458</v>
      </c>
      <c r="AO48">
        <v>0</v>
      </c>
      <c r="AR48" t="s">
        <v>288</v>
      </c>
      <c r="AS48">
        <v>7</v>
      </c>
      <c r="AT48">
        <v>22</v>
      </c>
      <c r="AU48">
        <v>32</v>
      </c>
      <c r="AV48">
        <v>59</v>
      </c>
      <c r="AX48" t="s">
        <v>419</v>
      </c>
      <c r="AY48">
        <v>1</v>
      </c>
      <c r="AZ48">
        <v>9</v>
      </c>
      <c r="BA48">
        <v>1</v>
      </c>
      <c r="BB48">
        <v>7.253135428724978</v>
      </c>
      <c r="BC48">
        <v>33.08142186572667</v>
      </c>
      <c r="BD48">
        <v>7.754352672959272</v>
      </c>
      <c r="BE48">
        <v>5.16071774471699</v>
      </c>
      <c r="BF48">
        <v>0</v>
      </c>
      <c r="BG48">
        <v>53.24962771212792</v>
      </c>
      <c r="BH48">
        <v>53.49277761114524</v>
      </c>
      <c r="BK48">
        <v>27</v>
      </c>
      <c r="BL48">
        <v>54</v>
      </c>
      <c r="BM48">
        <v>59</v>
      </c>
      <c r="BN48">
        <v>572.7707912718519</v>
      </c>
      <c r="BR48" t="s">
        <v>533</v>
      </c>
      <c r="BS48" t="b">
        <v>0</v>
      </c>
      <c r="BU48">
        <v>0</v>
      </c>
      <c r="BV48">
        <v>0</v>
      </c>
    </row>
    <row r="49" spans="1:74">
      <c r="A49">
        <v>192159</v>
      </c>
      <c r="B49" t="s">
        <v>121</v>
      </c>
      <c r="C49" t="s">
        <v>221</v>
      </c>
      <c r="D49" t="s">
        <v>274</v>
      </c>
      <c r="E49" t="s">
        <v>279</v>
      </c>
      <c r="F49" t="s">
        <v>285</v>
      </c>
      <c r="G49" t="s">
        <v>291</v>
      </c>
      <c r="H49" t="b">
        <v>0</v>
      </c>
      <c r="I49" t="b">
        <v>1</v>
      </c>
      <c r="J49" t="s">
        <v>296</v>
      </c>
      <c r="K49" t="s">
        <v>297</v>
      </c>
      <c r="L49" t="s">
        <v>300</v>
      </c>
      <c r="M49" t="s">
        <v>304</v>
      </c>
      <c r="N49" t="s">
        <v>306</v>
      </c>
      <c r="O49" t="s">
        <v>307</v>
      </c>
      <c r="P49" t="s">
        <v>311</v>
      </c>
      <c r="Q49" t="s">
        <v>316</v>
      </c>
      <c r="R49" t="s">
        <v>337</v>
      </c>
      <c r="S49" t="s">
        <v>360</v>
      </c>
      <c r="T49" t="s">
        <v>378</v>
      </c>
      <c r="U49" t="s">
        <v>386</v>
      </c>
      <c r="V49" t="s">
        <v>394</v>
      </c>
      <c r="W49" t="s">
        <v>386</v>
      </c>
      <c r="X49" t="s">
        <v>394</v>
      </c>
      <c r="Y49" t="s">
        <v>386</v>
      </c>
      <c r="Z49" t="s">
        <v>394</v>
      </c>
      <c r="AA49" t="s">
        <v>386</v>
      </c>
      <c r="AB49" t="s">
        <v>394</v>
      </c>
      <c r="AC49" s="2">
        <v>45437</v>
      </c>
      <c r="AD49" s="2">
        <v>45437.66666666666</v>
      </c>
      <c r="AE49" s="2">
        <v>45438.45833333334</v>
      </c>
      <c r="AF49" s="2">
        <v>45438.75</v>
      </c>
      <c r="AG49" s="2">
        <v>45438.75</v>
      </c>
      <c r="AH49" s="2">
        <v>45442.375</v>
      </c>
      <c r="AI49" s="2">
        <v>45442.75</v>
      </c>
      <c r="AJ49" s="2">
        <v>45443.375</v>
      </c>
      <c r="AK49" s="2">
        <v>45443.625</v>
      </c>
      <c r="AL49" s="2">
        <v>45444.33333333334</v>
      </c>
      <c r="AM49" s="2">
        <v>45444.33333333334</v>
      </c>
      <c r="AN49" s="2">
        <v>45457</v>
      </c>
      <c r="AO49">
        <v>2</v>
      </c>
      <c r="AP49" s="2">
        <v>45448.33333333334</v>
      </c>
      <c r="AQ49" s="2">
        <v>45450.33333333334</v>
      </c>
      <c r="AR49" t="s">
        <v>282</v>
      </c>
      <c r="AS49">
        <v>9</v>
      </c>
      <c r="AT49">
        <v>19</v>
      </c>
      <c r="AU49">
        <v>7</v>
      </c>
      <c r="AV49">
        <v>87</v>
      </c>
      <c r="AW49">
        <v>9</v>
      </c>
      <c r="AX49" t="s">
        <v>445</v>
      </c>
      <c r="AY49">
        <v>4</v>
      </c>
      <c r="AZ49">
        <v>11</v>
      </c>
      <c r="BA49">
        <v>3</v>
      </c>
      <c r="BB49">
        <v>5.24826092954951</v>
      </c>
      <c r="BC49">
        <v>15.04743501503925</v>
      </c>
      <c r="BD49">
        <v>15.64005273446894</v>
      </c>
      <c r="BE49">
        <v>3.82181739585642</v>
      </c>
      <c r="BF49">
        <v>6.913345666477264</v>
      </c>
      <c r="BG49">
        <v>46.67091174139139</v>
      </c>
      <c r="BH49">
        <v>39.45772815505308</v>
      </c>
      <c r="BI49">
        <v>176</v>
      </c>
      <c r="BJ49">
        <v>134</v>
      </c>
      <c r="BK49">
        <v>35</v>
      </c>
      <c r="BL49">
        <v>35</v>
      </c>
      <c r="BM49">
        <v>87</v>
      </c>
      <c r="BN49">
        <v>579.7707912719676</v>
      </c>
      <c r="BO49" t="s">
        <v>290</v>
      </c>
      <c r="BP49" t="s">
        <v>502</v>
      </c>
      <c r="BQ49" t="s">
        <v>505</v>
      </c>
      <c r="BS49" t="b">
        <v>1</v>
      </c>
      <c r="BT49">
        <v>192380</v>
      </c>
      <c r="BU49">
        <v>3</v>
      </c>
      <c r="BV49">
        <v>0</v>
      </c>
    </row>
    <row r="50" spans="1:74">
      <c r="A50">
        <v>192162</v>
      </c>
      <c r="B50" t="s">
        <v>122</v>
      </c>
      <c r="C50" t="s">
        <v>222</v>
      </c>
      <c r="D50" t="s">
        <v>274</v>
      </c>
      <c r="E50" t="s">
        <v>281</v>
      </c>
      <c r="F50" t="s">
        <v>285</v>
      </c>
      <c r="G50" t="s">
        <v>290</v>
      </c>
      <c r="H50" t="b">
        <v>0</v>
      </c>
      <c r="I50" t="b">
        <v>0</v>
      </c>
      <c r="J50" t="s">
        <v>296</v>
      </c>
      <c r="K50" t="s">
        <v>297</v>
      </c>
      <c r="L50" t="s">
        <v>300</v>
      </c>
      <c r="M50" t="s">
        <v>304</v>
      </c>
      <c r="N50" t="s">
        <v>306</v>
      </c>
      <c r="O50" t="s">
        <v>307</v>
      </c>
      <c r="P50" t="s">
        <v>312</v>
      </c>
      <c r="Q50" t="s">
        <v>317</v>
      </c>
      <c r="R50" t="s">
        <v>318</v>
      </c>
      <c r="T50" t="s">
        <v>381</v>
      </c>
      <c r="U50" t="s">
        <v>390</v>
      </c>
      <c r="V50" t="s">
        <v>398</v>
      </c>
      <c r="W50" t="s">
        <v>384</v>
      </c>
      <c r="X50" t="s">
        <v>392</v>
      </c>
      <c r="Y50" t="s">
        <v>383</v>
      </c>
      <c r="Z50" t="s">
        <v>391</v>
      </c>
      <c r="AA50" t="s">
        <v>387</v>
      </c>
      <c r="AB50" t="s">
        <v>395</v>
      </c>
      <c r="AC50" s="2">
        <v>45393</v>
      </c>
      <c r="AD50" s="2">
        <v>45393.375</v>
      </c>
      <c r="AE50" s="2">
        <v>45394.29166666666</v>
      </c>
      <c r="AF50" s="2">
        <v>45395.95833333334</v>
      </c>
      <c r="AG50" s="2">
        <v>45395.95833333334</v>
      </c>
      <c r="AH50" s="2">
        <v>45398.70833333334</v>
      </c>
      <c r="AI50" s="2">
        <v>45399.70833333334</v>
      </c>
      <c r="AJ50" s="2">
        <v>45399.875</v>
      </c>
      <c r="AK50" s="2">
        <v>45399.91666666666</v>
      </c>
      <c r="AL50" s="2">
        <v>45401.16666666666</v>
      </c>
      <c r="AM50" s="2">
        <v>45401.16666666666</v>
      </c>
      <c r="AN50" s="2">
        <v>45439</v>
      </c>
      <c r="AO50">
        <v>0</v>
      </c>
      <c r="AR50" t="s">
        <v>282</v>
      </c>
      <c r="AS50">
        <v>8</v>
      </c>
      <c r="AT50">
        <v>22</v>
      </c>
      <c r="AU50">
        <v>40</v>
      </c>
      <c r="AV50">
        <v>66</v>
      </c>
      <c r="AW50">
        <v>24</v>
      </c>
      <c r="AX50" t="s">
        <v>446</v>
      </c>
      <c r="AY50">
        <v>1</v>
      </c>
      <c r="AZ50">
        <v>10</v>
      </c>
      <c r="BA50">
        <v>1</v>
      </c>
      <c r="BB50">
        <v>3.042723432865256</v>
      </c>
      <c r="BC50">
        <v>5.955359993423507</v>
      </c>
      <c r="BD50">
        <v>7.145669034933848</v>
      </c>
      <c r="BE50">
        <v>7.955476074099733</v>
      </c>
      <c r="BF50">
        <v>0</v>
      </c>
      <c r="BG50">
        <v>24.09922853532234</v>
      </c>
      <c r="BH50">
        <v>18.52994730492213</v>
      </c>
      <c r="BI50">
        <v>196</v>
      </c>
      <c r="BJ50">
        <v>125</v>
      </c>
      <c r="BK50">
        <v>31</v>
      </c>
      <c r="BL50">
        <v>86</v>
      </c>
      <c r="BM50">
        <v>66</v>
      </c>
      <c r="BN50">
        <v>623.7707912720717</v>
      </c>
      <c r="BO50" t="s">
        <v>292</v>
      </c>
      <c r="BP50" t="s">
        <v>505</v>
      </c>
      <c r="BQ50" t="s">
        <v>507</v>
      </c>
      <c r="BR50" t="s">
        <v>534</v>
      </c>
      <c r="BS50" t="b">
        <v>1</v>
      </c>
      <c r="BT50">
        <v>191830</v>
      </c>
      <c r="BU50">
        <v>1</v>
      </c>
      <c r="BV50">
        <v>0</v>
      </c>
    </row>
    <row r="51" spans="1:74">
      <c r="A51">
        <v>192167</v>
      </c>
      <c r="B51" t="s">
        <v>123</v>
      </c>
      <c r="C51" t="s">
        <v>223</v>
      </c>
      <c r="D51" t="s">
        <v>276</v>
      </c>
      <c r="E51" t="s">
        <v>279</v>
      </c>
      <c r="F51" t="s">
        <v>285</v>
      </c>
      <c r="G51" t="s">
        <v>295</v>
      </c>
      <c r="H51" t="b">
        <v>0</v>
      </c>
      <c r="I51" t="b">
        <v>0</v>
      </c>
      <c r="J51" t="s">
        <v>296</v>
      </c>
      <c r="K51" t="s">
        <v>297</v>
      </c>
      <c r="L51" t="s">
        <v>300</v>
      </c>
      <c r="M51" t="s">
        <v>304</v>
      </c>
      <c r="N51" t="s">
        <v>306</v>
      </c>
      <c r="O51" t="s">
        <v>307</v>
      </c>
      <c r="P51" t="s">
        <v>312</v>
      </c>
      <c r="Q51" t="s">
        <v>317</v>
      </c>
      <c r="R51" t="s">
        <v>333</v>
      </c>
      <c r="T51" t="s">
        <v>377</v>
      </c>
      <c r="U51" t="s">
        <v>385</v>
      </c>
      <c r="V51" t="s">
        <v>393</v>
      </c>
      <c r="W51" t="s">
        <v>389</v>
      </c>
      <c r="X51" t="s">
        <v>397</v>
      </c>
      <c r="Y51" t="s">
        <v>388</v>
      </c>
      <c r="Z51" t="s">
        <v>396</v>
      </c>
      <c r="AA51" t="s">
        <v>388</v>
      </c>
      <c r="AB51" t="s">
        <v>396</v>
      </c>
      <c r="AC51" s="2">
        <v>45310</v>
      </c>
      <c r="AD51" s="2">
        <v>45311.45833333334</v>
      </c>
      <c r="AE51" s="2">
        <v>45311.75</v>
      </c>
      <c r="AF51" s="2">
        <v>45314.5</v>
      </c>
      <c r="AG51" s="2">
        <v>45314.5</v>
      </c>
      <c r="AH51" s="2">
        <v>45316.20833333334</v>
      </c>
      <c r="AI51" s="2">
        <v>45316.70833333334</v>
      </c>
      <c r="AJ51" s="2">
        <v>45317.25</v>
      </c>
      <c r="AK51" s="2">
        <v>45317.33333333334</v>
      </c>
      <c r="AL51" s="2">
        <v>45318</v>
      </c>
      <c r="AM51" s="2">
        <v>45318</v>
      </c>
      <c r="AN51" s="2">
        <v>45340</v>
      </c>
      <c r="AO51">
        <v>2</v>
      </c>
      <c r="AP51" s="2">
        <v>45321</v>
      </c>
      <c r="AQ51" s="2">
        <v>45324</v>
      </c>
      <c r="AR51" t="s">
        <v>282</v>
      </c>
      <c r="AS51">
        <v>8</v>
      </c>
      <c r="AT51">
        <v>7</v>
      </c>
      <c r="AU51">
        <v>66</v>
      </c>
      <c r="AV51">
        <v>41</v>
      </c>
      <c r="AW51">
        <v>12</v>
      </c>
      <c r="AX51" t="s">
        <v>447</v>
      </c>
      <c r="AY51">
        <v>3</v>
      </c>
      <c r="AZ51">
        <v>9</v>
      </c>
      <c r="BA51">
        <v>3</v>
      </c>
      <c r="BB51">
        <v>3.119071809594957</v>
      </c>
      <c r="BC51">
        <v>21.36748714213737</v>
      </c>
      <c r="BD51">
        <v>18.64976784926951</v>
      </c>
      <c r="BE51">
        <v>6.300283420390793</v>
      </c>
      <c r="BF51">
        <v>9.479232805257446</v>
      </c>
      <c r="BG51">
        <v>58.91584302665008</v>
      </c>
      <c r="BH51">
        <v>62.82620686030564</v>
      </c>
      <c r="BI51">
        <v>192</v>
      </c>
      <c r="BJ51">
        <v>84</v>
      </c>
      <c r="BK51">
        <v>42</v>
      </c>
      <c r="BL51">
        <v>85</v>
      </c>
      <c r="BM51">
        <v>41</v>
      </c>
      <c r="BN51">
        <v>706.7707912721875</v>
      </c>
      <c r="BO51" t="s">
        <v>498</v>
      </c>
      <c r="BP51" t="s">
        <v>502</v>
      </c>
      <c r="BQ51" t="s">
        <v>507</v>
      </c>
      <c r="BR51" t="s">
        <v>535</v>
      </c>
      <c r="BS51" t="b">
        <v>0</v>
      </c>
      <c r="BU51">
        <v>2</v>
      </c>
      <c r="BV51">
        <v>0</v>
      </c>
    </row>
    <row r="52" spans="1:74">
      <c r="A52">
        <v>192184</v>
      </c>
      <c r="B52" t="s">
        <v>124</v>
      </c>
      <c r="C52" t="s">
        <v>224</v>
      </c>
      <c r="D52" t="s">
        <v>275</v>
      </c>
      <c r="E52" t="s">
        <v>280</v>
      </c>
      <c r="F52" t="s">
        <v>288</v>
      </c>
      <c r="G52" t="s">
        <v>292</v>
      </c>
      <c r="H52" t="b">
        <v>0</v>
      </c>
      <c r="I52" t="b">
        <v>0</v>
      </c>
      <c r="J52" t="s">
        <v>296</v>
      </c>
      <c r="K52" t="s">
        <v>297</v>
      </c>
      <c r="L52" t="s">
        <v>300</v>
      </c>
      <c r="M52" t="s">
        <v>304</v>
      </c>
      <c r="N52" t="s">
        <v>306</v>
      </c>
      <c r="O52" t="s">
        <v>307</v>
      </c>
      <c r="P52" t="s">
        <v>309</v>
      </c>
      <c r="Q52" t="s">
        <v>314</v>
      </c>
      <c r="R52" t="s">
        <v>338</v>
      </c>
      <c r="T52" t="s">
        <v>379</v>
      </c>
      <c r="U52" t="s">
        <v>390</v>
      </c>
      <c r="V52" t="s">
        <v>398</v>
      </c>
      <c r="W52" t="s">
        <v>383</v>
      </c>
      <c r="X52" t="s">
        <v>391</v>
      </c>
      <c r="AC52" s="2">
        <v>45431</v>
      </c>
      <c r="AD52" s="2">
        <v>45432.91666666666</v>
      </c>
      <c r="AE52" s="2">
        <v>45433.33333333334</v>
      </c>
      <c r="AF52" s="2">
        <v>45436.20833333334</v>
      </c>
      <c r="AG52" s="2">
        <v>45436.20833333334</v>
      </c>
      <c r="AM52" s="2">
        <v>45436.20833333334</v>
      </c>
      <c r="AN52" s="2">
        <v>45438</v>
      </c>
      <c r="AO52">
        <v>0</v>
      </c>
      <c r="AR52" t="s">
        <v>284</v>
      </c>
      <c r="AS52">
        <v>5</v>
      </c>
      <c r="AT52">
        <v>10</v>
      </c>
      <c r="AU52">
        <v>69</v>
      </c>
      <c r="AX52" t="s">
        <v>448</v>
      </c>
      <c r="AY52">
        <v>3</v>
      </c>
      <c r="AZ52">
        <v>6</v>
      </c>
      <c r="BA52">
        <v>1</v>
      </c>
      <c r="BB52">
        <v>5.944667591526796</v>
      </c>
      <c r="BC52">
        <v>31.02974857084583</v>
      </c>
      <c r="BD52">
        <v>17.23904866093873</v>
      </c>
      <c r="BE52">
        <v>9.754841677763082</v>
      </c>
      <c r="BF52">
        <v>0</v>
      </c>
      <c r="BG52">
        <v>63.96830650107444</v>
      </c>
      <c r="BH52">
        <v>55.85573916790053</v>
      </c>
      <c r="BK52">
        <v>56</v>
      </c>
      <c r="BL52">
        <v>79</v>
      </c>
      <c r="BM52">
        <v>0</v>
      </c>
      <c r="BN52">
        <v>585.7707912722916</v>
      </c>
      <c r="BR52" t="s">
        <v>536</v>
      </c>
      <c r="BS52" t="b">
        <v>0</v>
      </c>
      <c r="BU52">
        <v>0</v>
      </c>
      <c r="BV52">
        <v>0</v>
      </c>
    </row>
    <row r="53" spans="1:74">
      <c r="A53">
        <v>192214</v>
      </c>
      <c r="B53" t="s">
        <v>125</v>
      </c>
      <c r="C53" t="s">
        <v>225</v>
      </c>
      <c r="D53" t="s">
        <v>275</v>
      </c>
      <c r="E53" t="s">
        <v>281</v>
      </c>
      <c r="F53" t="s">
        <v>289</v>
      </c>
      <c r="G53" t="s">
        <v>292</v>
      </c>
      <c r="H53" t="b">
        <v>0</v>
      </c>
      <c r="I53" t="b">
        <v>1</v>
      </c>
      <c r="J53" t="s">
        <v>296</v>
      </c>
      <c r="K53" t="s">
        <v>297</v>
      </c>
      <c r="L53" t="s">
        <v>301</v>
      </c>
      <c r="M53" t="s">
        <v>305</v>
      </c>
      <c r="N53" t="s">
        <v>306</v>
      </c>
      <c r="O53" t="s">
        <v>307</v>
      </c>
      <c r="P53" t="s">
        <v>309</v>
      </c>
      <c r="Q53" t="s">
        <v>314</v>
      </c>
      <c r="R53" t="s">
        <v>338</v>
      </c>
      <c r="S53" t="s">
        <v>361</v>
      </c>
      <c r="T53" t="s">
        <v>382</v>
      </c>
      <c r="U53" t="s">
        <v>389</v>
      </c>
      <c r="V53" t="s">
        <v>397</v>
      </c>
      <c r="W53" t="s">
        <v>389</v>
      </c>
      <c r="X53" t="s">
        <v>397</v>
      </c>
      <c r="AC53" s="2">
        <v>45462</v>
      </c>
      <c r="AD53" s="2">
        <v>45463.5</v>
      </c>
      <c r="AE53" s="2">
        <v>45463.91666666666</v>
      </c>
      <c r="AF53" s="2">
        <v>45464.54166666666</v>
      </c>
      <c r="AG53" s="2">
        <v>45464.54166666666</v>
      </c>
      <c r="AH53" s="2">
        <v>45469.54166666666</v>
      </c>
      <c r="AM53" s="2">
        <v>45469.54166666666</v>
      </c>
      <c r="AN53" s="2">
        <v>45477</v>
      </c>
      <c r="AO53">
        <v>0</v>
      </c>
      <c r="AR53" t="s">
        <v>288</v>
      </c>
      <c r="AS53">
        <v>5</v>
      </c>
      <c r="AT53">
        <v>10</v>
      </c>
      <c r="AU53">
        <v>15</v>
      </c>
      <c r="AV53">
        <v>120</v>
      </c>
      <c r="AX53" t="s">
        <v>449</v>
      </c>
      <c r="AY53">
        <v>3</v>
      </c>
      <c r="AZ53">
        <v>6</v>
      </c>
      <c r="BA53">
        <v>1</v>
      </c>
      <c r="BB53">
        <v>7.228326949644328</v>
      </c>
      <c r="BC53">
        <v>9.417020072376884</v>
      </c>
      <c r="BD53">
        <v>8.865383533812858</v>
      </c>
      <c r="BE53">
        <v>2.166019554474773</v>
      </c>
      <c r="BF53">
        <v>0</v>
      </c>
      <c r="BG53">
        <v>27.67675011030884</v>
      </c>
      <c r="BH53">
        <v>29.02579608254059</v>
      </c>
      <c r="BK53">
        <v>46</v>
      </c>
      <c r="BL53">
        <v>25</v>
      </c>
      <c r="BM53">
        <v>120</v>
      </c>
      <c r="BN53">
        <v>554.7707912723959</v>
      </c>
      <c r="BR53" t="s">
        <v>537</v>
      </c>
      <c r="BS53" t="b">
        <v>0</v>
      </c>
      <c r="BU53">
        <v>0</v>
      </c>
      <c r="BV53">
        <v>0</v>
      </c>
    </row>
    <row r="54" spans="1:74">
      <c r="A54">
        <v>192380</v>
      </c>
      <c r="B54" t="s">
        <v>126</v>
      </c>
      <c r="C54" t="s">
        <v>226</v>
      </c>
      <c r="D54" t="s">
        <v>275</v>
      </c>
      <c r="E54" t="s">
        <v>281</v>
      </c>
      <c r="F54" t="s">
        <v>285</v>
      </c>
      <c r="G54" t="s">
        <v>292</v>
      </c>
      <c r="H54" t="b">
        <v>0</v>
      </c>
      <c r="I54" t="b">
        <v>0</v>
      </c>
      <c r="J54" t="s">
        <v>296</v>
      </c>
      <c r="K54" t="s">
        <v>297</v>
      </c>
      <c r="L54" t="s">
        <v>298</v>
      </c>
      <c r="M54" t="s">
        <v>302</v>
      </c>
      <c r="N54" t="s">
        <v>306</v>
      </c>
      <c r="O54" t="s">
        <v>307</v>
      </c>
      <c r="P54" t="s">
        <v>310</v>
      </c>
      <c r="Q54" t="s">
        <v>315</v>
      </c>
      <c r="R54" t="s">
        <v>338</v>
      </c>
      <c r="S54" t="s">
        <v>362</v>
      </c>
      <c r="T54" t="s">
        <v>382</v>
      </c>
      <c r="U54" t="s">
        <v>386</v>
      </c>
      <c r="V54" t="s">
        <v>394</v>
      </c>
      <c r="W54" t="s">
        <v>389</v>
      </c>
      <c r="X54" t="s">
        <v>397</v>
      </c>
      <c r="Y54" t="s">
        <v>386</v>
      </c>
      <c r="Z54" t="s">
        <v>394</v>
      </c>
      <c r="AA54" t="s">
        <v>383</v>
      </c>
      <c r="AB54" t="s">
        <v>391</v>
      </c>
      <c r="AC54" s="2">
        <v>45359</v>
      </c>
      <c r="AD54" s="2">
        <v>45359.33333333334</v>
      </c>
      <c r="AE54" s="2">
        <v>45359.5</v>
      </c>
      <c r="AF54" s="2">
        <v>45362.5</v>
      </c>
      <c r="AG54" s="2">
        <v>45362.5</v>
      </c>
      <c r="AH54" s="2">
        <v>45363.625</v>
      </c>
      <c r="AI54" s="2">
        <v>45364.5</v>
      </c>
      <c r="AJ54" s="2">
        <v>45364.95833333334</v>
      </c>
      <c r="AK54" s="2">
        <v>45365.125</v>
      </c>
      <c r="AL54" s="2">
        <v>45367.04166666666</v>
      </c>
      <c r="AM54" s="2">
        <v>45367.04166666666</v>
      </c>
      <c r="AN54" s="2">
        <v>45387</v>
      </c>
      <c r="AO54">
        <v>1</v>
      </c>
      <c r="AP54" s="2">
        <v>45372.04166666666</v>
      </c>
      <c r="AQ54" s="2">
        <v>45372.04166666666</v>
      </c>
      <c r="AR54" t="s">
        <v>282</v>
      </c>
      <c r="AS54">
        <v>9</v>
      </c>
      <c r="AT54">
        <v>4</v>
      </c>
      <c r="AU54">
        <v>72</v>
      </c>
      <c r="AV54">
        <v>27</v>
      </c>
      <c r="AW54">
        <v>21</v>
      </c>
      <c r="AX54" t="s">
        <v>450</v>
      </c>
      <c r="AY54">
        <v>3</v>
      </c>
      <c r="AZ54">
        <v>9</v>
      </c>
      <c r="BA54">
        <v>2</v>
      </c>
      <c r="BB54">
        <v>7.15314818198838</v>
      </c>
      <c r="BC54">
        <v>25.29272855694101</v>
      </c>
      <c r="BD54">
        <v>15.1419858219342</v>
      </c>
      <c r="BE54">
        <v>15.6159221149925</v>
      </c>
      <c r="BF54">
        <v>1.922890188086708</v>
      </c>
      <c r="BG54">
        <v>65.1266748639428</v>
      </c>
      <c r="BH54">
        <v>51.62055062602697</v>
      </c>
      <c r="BI54">
        <v>193</v>
      </c>
      <c r="BJ54">
        <v>109</v>
      </c>
      <c r="BK54">
        <v>12</v>
      </c>
      <c r="BL54">
        <v>97</v>
      </c>
      <c r="BM54">
        <v>27</v>
      </c>
      <c r="BN54">
        <v>657.7707912725116</v>
      </c>
      <c r="BO54" t="s">
        <v>498</v>
      </c>
      <c r="BP54" t="s">
        <v>502</v>
      </c>
      <c r="BQ54" t="s">
        <v>503</v>
      </c>
      <c r="BR54" t="s">
        <v>538</v>
      </c>
      <c r="BS54" t="b">
        <v>0</v>
      </c>
      <c r="BU54">
        <v>3</v>
      </c>
      <c r="BV54">
        <v>1</v>
      </c>
    </row>
    <row r="55" spans="1:74">
      <c r="A55">
        <v>192455</v>
      </c>
      <c r="B55" t="s">
        <v>127</v>
      </c>
      <c r="C55" t="s">
        <v>227</v>
      </c>
      <c r="D55" t="s">
        <v>275</v>
      </c>
      <c r="E55" t="s">
        <v>279</v>
      </c>
      <c r="F55" t="s">
        <v>288</v>
      </c>
      <c r="G55" t="s">
        <v>291</v>
      </c>
      <c r="H55" t="b">
        <v>0</v>
      </c>
      <c r="I55" t="b">
        <v>0</v>
      </c>
      <c r="J55" t="s">
        <v>296</v>
      </c>
      <c r="K55" t="s">
        <v>297</v>
      </c>
      <c r="L55" t="s">
        <v>300</v>
      </c>
      <c r="M55" t="s">
        <v>304</v>
      </c>
      <c r="N55" t="s">
        <v>306</v>
      </c>
      <c r="O55" t="s">
        <v>307</v>
      </c>
      <c r="P55" t="s">
        <v>310</v>
      </c>
      <c r="Q55" t="s">
        <v>315</v>
      </c>
      <c r="R55" t="s">
        <v>319</v>
      </c>
      <c r="T55" t="s">
        <v>378</v>
      </c>
      <c r="U55" t="s">
        <v>386</v>
      </c>
      <c r="V55" t="s">
        <v>394</v>
      </c>
      <c r="W55" t="s">
        <v>385</v>
      </c>
      <c r="X55" t="s">
        <v>393</v>
      </c>
      <c r="AC55" s="2">
        <v>45421</v>
      </c>
      <c r="AD55" s="2">
        <v>45422.33333333334</v>
      </c>
      <c r="AE55" s="2">
        <v>45422.70833333334</v>
      </c>
      <c r="AF55" s="2">
        <v>45423.04166666666</v>
      </c>
      <c r="AG55" s="2">
        <v>45423.04166666666</v>
      </c>
      <c r="AM55" s="2">
        <v>45423.04166666666</v>
      </c>
      <c r="AN55" s="2">
        <v>45433</v>
      </c>
      <c r="AO55">
        <v>0</v>
      </c>
      <c r="AR55" t="s">
        <v>284</v>
      </c>
      <c r="AS55">
        <v>6</v>
      </c>
      <c r="AT55">
        <v>9</v>
      </c>
      <c r="AU55">
        <v>8</v>
      </c>
      <c r="AX55" t="s">
        <v>451</v>
      </c>
      <c r="AY55">
        <v>4</v>
      </c>
      <c r="AZ55">
        <v>7</v>
      </c>
      <c r="BA55">
        <v>1</v>
      </c>
      <c r="BB55">
        <v>6.349066593932179</v>
      </c>
      <c r="BC55">
        <v>4.328551134756951</v>
      </c>
      <c r="BD55">
        <v>15.21358604465131</v>
      </c>
      <c r="BE55">
        <v>15.79316116719404</v>
      </c>
      <c r="BF55">
        <v>0</v>
      </c>
      <c r="BG55">
        <v>41.68436494053448</v>
      </c>
      <c r="BH55">
        <v>41.21266721431942</v>
      </c>
      <c r="BK55">
        <v>41</v>
      </c>
      <c r="BL55">
        <v>17</v>
      </c>
      <c r="BM55">
        <v>0</v>
      </c>
      <c r="BN55">
        <v>595.7707912726157</v>
      </c>
      <c r="BR55" t="s">
        <v>539</v>
      </c>
      <c r="BS55" t="b">
        <v>0</v>
      </c>
      <c r="BU55">
        <v>0</v>
      </c>
      <c r="BV55">
        <v>0</v>
      </c>
    </row>
    <row r="56" spans="1:74">
      <c r="A56">
        <v>192261</v>
      </c>
      <c r="B56" t="s">
        <v>128</v>
      </c>
      <c r="C56" t="s">
        <v>228</v>
      </c>
      <c r="D56" t="s">
        <v>274</v>
      </c>
      <c r="E56" t="s">
        <v>280</v>
      </c>
      <c r="F56" t="s">
        <v>284</v>
      </c>
      <c r="G56" t="s">
        <v>290</v>
      </c>
      <c r="H56" t="b">
        <v>1</v>
      </c>
      <c r="I56" t="b">
        <v>0</v>
      </c>
      <c r="J56" t="s">
        <v>296</v>
      </c>
      <c r="K56" t="s">
        <v>297</v>
      </c>
      <c r="L56" t="s">
        <v>298</v>
      </c>
      <c r="M56" t="s">
        <v>302</v>
      </c>
      <c r="N56" t="s">
        <v>306</v>
      </c>
      <c r="O56" t="s">
        <v>307</v>
      </c>
      <c r="P56" t="s">
        <v>308</v>
      </c>
      <c r="Q56" t="s">
        <v>313</v>
      </c>
      <c r="R56" t="s">
        <v>318</v>
      </c>
      <c r="T56" t="s">
        <v>381</v>
      </c>
      <c r="U56" t="s">
        <v>386</v>
      </c>
      <c r="V56" t="s">
        <v>394</v>
      </c>
      <c r="W56" t="s">
        <v>385</v>
      </c>
      <c r="X56" t="s">
        <v>393</v>
      </c>
      <c r="AC56" s="2">
        <v>45454</v>
      </c>
      <c r="AD56" s="2">
        <v>45455.16666666666</v>
      </c>
      <c r="AE56" s="2">
        <v>45455.54166666666</v>
      </c>
      <c r="AM56" s="2">
        <v>45455.54166666666</v>
      </c>
      <c r="AN56" s="2">
        <v>45463</v>
      </c>
      <c r="AO56">
        <v>0</v>
      </c>
      <c r="AR56" t="s">
        <v>283</v>
      </c>
      <c r="AS56">
        <v>4</v>
      </c>
      <c r="AT56">
        <v>9</v>
      </c>
      <c r="AX56" t="s">
        <v>452</v>
      </c>
      <c r="AY56">
        <v>2</v>
      </c>
      <c r="AZ56">
        <v>4</v>
      </c>
      <c r="BA56">
        <v>1</v>
      </c>
      <c r="BB56">
        <v>5.315237346157158</v>
      </c>
      <c r="BC56">
        <v>3.0155871255757</v>
      </c>
      <c r="BD56">
        <v>2.510915442300686</v>
      </c>
      <c r="BE56">
        <v>11.47242571029618</v>
      </c>
      <c r="BF56">
        <v>0</v>
      </c>
      <c r="BG56">
        <v>22.31416562432972</v>
      </c>
      <c r="BH56">
        <v>22.75048922166512</v>
      </c>
      <c r="BK56">
        <v>37</v>
      </c>
      <c r="BL56">
        <v>9</v>
      </c>
      <c r="BM56">
        <v>0</v>
      </c>
      <c r="BN56">
        <v>562.7707912727316</v>
      </c>
      <c r="BR56" t="s">
        <v>540</v>
      </c>
      <c r="BS56" t="b">
        <v>0</v>
      </c>
      <c r="BU56">
        <v>0</v>
      </c>
      <c r="BV56">
        <v>0</v>
      </c>
    </row>
    <row r="57" spans="1:74">
      <c r="A57">
        <v>192255</v>
      </c>
      <c r="B57" t="s">
        <v>129</v>
      </c>
      <c r="C57" t="s">
        <v>229</v>
      </c>
      <c r="D57" t="s">
        <v>275</v>
      </c>
      <c r="E57" t="s">
        <v>281</v>
      </c>
      <c r="F57" t="s">
        <v>282</v>
      </c>
      <c r="G57" t="s">
        <v>291</v>
      </c>
      <c r="H57" t="b">
        <v>0</v>
      </c>
      <c r="I57" t="b">
        <v>0</v>
      </c>
      <c r="J57" t="s">
        <v>296</v>
      </c>
      <c r="K57" t="s">
        <v>297</v>
      </c>
      <c r="L57" t="s">
        <v>298</v>
      </c>
      <c r="M57" t="s">
        <v>302</v>
      </c>
      <c r="N57" t="s">
        <v>306</v>
      </c>
      <c r="O57" t="s">
        <v>307</v>
      </c>
      <c r="P57" t="s">
        <v>308</v>
      </c>
      <c r="Q57" t="s">
        <v>313</v>
      </c>
      <c r="R57" t="s">
        <v>319</v>
      </c>
      <c r="T57" t="s">
        <v>379</v>
      </c>
      <c r="U57" t="s">
        <v>389</v>
      </c>
      <c r="V57" t="s">
        <v>397</v>
      </c>
      <c r="W57" t="s">
        <v>384</v>
      </c>
      <c r="X57" t="s">
        <v>392</v>
      </c>
      <c r="Y57" t="s">
        <v>388</v>
      </c>
      <c r="Z57" t="s">
        <v>396</v>
      </c>
      <c r="AA57" t="s">
        <v>388</v>
      </c>
      <c r="AB57" t="s">
        <v>396</v>
      </c>
      <c r="AC57" s="2">
        <v>45292</v>
      </c>
      <c r="AD57" s="2">
        <v>45292.91666666666</v>
      </c>
      <c r="AE57" s="2">
        <v>45293.125</v>
      </c>
      <c r="AF57" s="2">
        <v>45294.58333333334</v>
      </c>
      <c r="AG57" s="2">
        <v>45294.58333333334</v>
      </c>
      <c r="AH57" s="2">
        <v>45295.75</v>
      </c>
      <c r="AI57" s="2">
        <v>45297.08333333334</v>
      </c>
      <c r="AJ57" s="2">
        <v>45297.875</v>
      </c>
      <c r="AK57" s="2">
        <v>45297.875</v>
      </c>
      <c r="AM57" s="2">
        <v>45297.875</v>
      </c>
      <c r="AN57" s="2">
        <v>45344</v>
      </c>
      <c r="AO57">
        <v>0</v>
      </c>
      <c r="AR57" t="s">
        <v>287</v>
      </c>
      <c r="AS57">
        <v>9</v>
      </c>
      <c r="AT57">
        <v>5</v>
      </c>
      <c r="AU57">
        <v>35</v>
      </c>
      <c r="AV57">
        <v>28</v>
      </c>
      <c r="AW57">
        <v>32</v>
      </c>
      <c r="AX57" t="s">
        <v>453</v>
      </c>
      <c r="AY57">
        <v>0</v>
      </c>
      <c r="AZ57">
        <v>9</v>
      </c>
      <c r="BA57">
        <v>1</v>
      </c>
      <c r="BB57">
        <v>1.131049737462866</v>
      </c>
      <c r="BC57">
        <v>21.72283063115777</v>
      </c>
      <c r="BD57">
        <v>18.09978168025155</v>
      </c>
      <c r="BE57">
        <v>9.041445495161806</v>
      </c>
      <c r="BF57">
        <v>0</v>
      </c>
      <c r="BG57">
        <v>49.995107544034</v>
      </c>
      <c r="BH57">
        <v>36.55112925887347</v>
      </c>
      <c r="BK57">
        <v>27</v>
      </c>
      <c r="BL57">
        <v>72</v>
      </c>
      <c r="BM57">
        <v>28</v>
      </c>
      <c r="BN57">
        <v>724.7707912728357</v>
      </c>
      <c r="BO57" t="s">
        <v>499</v>
      </c>
      <c r="BP57" t="s">
        <v>502</v>
      </c>
      <c r="BS57" t="b">
        <v>0</v>
      </c>
      <c r="BU57">
        <v>2</v>
      </c>
      <c r="BV57">
        <v>1</v>
      </c>
    </row>
    <row r="58" spans="1:74">
      <c r="A58">
        <v>192256</v>
      </c>
      <c r="B58" t="s">
        <v>130</v>
      </c>
      <c r="C58" t="s">
        <v>230</v>
      </c>
      <c r="D58" t="s">
        <v>277</v>
      </c>
      <c r="E58" t="s">
        <v>279</v>
      </c>
      <c r="F58" t="s">
        <v>285</v>
      </c>
      <c r="G58" t="s">
        <v>294</v>
      </c>
      <c r="H58" t="b">
        <v>1</v>
      </c>
      <c r="I58" t="b">
        <v>0</v>
      </c>
      <c r="J58" t="s">
        <v>296</v>
      </c>
      <c r="K58" t="s">
        <v>297</v>
      </c>
      <c r="L58" t="s">
        <v>301</v>
      </c>
      <c r="M58" t="s">
        <v>305</v>
      </c>
      <c r="N58" t="s">
        <v>306</v>
      </c>
      <c r="O58" t="s">
        <v>307</v>
      </c>
      <c r="P58" t="s">
        <v>310</v>
      </c>
      <c r="Q58" t="s">
        <v>315</v>
      </c>
      <c r="R58" t="s">
        <v>324</v>
      </c>
      <c r="S58" t="s">
        <v>363</v>
      </c>
      <c r="T58" t="s">
        <v>382</v>
      </c>
      <c r="U58" t="s">
        <v>389</v>
      </c>
      <c r="V58" t="s">
        <v>397</v>
      </c>
      <c r="W58" t="s">
        <v>389</v>
      </c>
      <c r="X58" t="s">
        <v>397</v>
      </c>
      <c r="Y58" t="s">
        <v>384</v>
      </c>
      <c r="Z58" t="s">
        <v>392</v>
      </c>
      <c r="AA58" t="s">
        <v>387</v>
      </c>
      <c r="AB58" t="s">
        <v>395</v>
      </c>
      <c r="AC58" s="2">
        <v>45401</v>
      </c>
      <c r="AD58" s="2">
        <v>45402.5</v>
      </c>
      <c r="AE58" s="2">
        <v>45402.54166666666</v>
      </c>
      <c r="AF58" s="2">
        <v>45403.20833333334</v>
      </c>
      <c r="AG58" s="2">
        <v>45403.20833333334</v>
      </c>
      <c r="AH58" s="2">
        <v>45403.91666666666</v>
      </c>
      <c r="AI58" s="2">
        <v>45405.91666666666</v>
      </c>
      <c r="AJ58" s="2">
        <v>45406.16666666666</v>
      </c>
      <c r="AK58" s="2">
        <v>45406.20833333334</v>
      </c>
      <c r="AL58" s="2">
        <v>45407.20833333334</v>
      </c>
      <c r="AM58" s="2">
        <v>45407.20833333334</v>
      </c>
      <c r="AN58" s="2">
        <v>45445</v>
      </c>
      <c r="AO58">
        <v>1</v>
      </c>
      <c r="AP58" s="2">
        <v>45414.20833333334</v>
      </c>
      <c r="AQ58" s="2">
        <v>45414.20833333334</v>
      </c>
      <c r="AR58" t="s">
        <v>282</v>
      </c>
      <c r="AS58">
        <v>10</v>
      </c>
      <c r="AT58">
        <v>1</v>
      </c>
      <c r="AU58">
        <v>16</v>
      </c>
      <c r="AV58">
        <v>17</v>
      </c>
      <c r="AW58">
        <v>48</v>
      </c>
      <c r="AX58" t="s">
        <v>454</v>
      </c>
      <c r="AY58">
        <v>3</v>
      </c>
      <c r="AZ58">
        <v>11</v>
      </c>
      <c r="BA58">
        <v>2</v>
      </c>
      <c r="BB58">
        <v>1.712215355709603</v>
      </c>
      <c r="BC58">
        <v>22.08476974279415</v>
      </c>
      <c r="BD58">
        <v>10.35242126273321</v>
      </c>
      <c r="BE58">
        <v>5.642914244294916</v>
      </c>
      <c r="BF58">
        <v>1.770104842767468</v>
      </c>
      <c r="BG58">
        <v>41.56242544829935</v>
      </c>
      <c r="BH58">
        <v>37.48775194461761</v>
      </c>
      <c r="BI58">
        <v>149</v>
      </c>
      <c r="BJ58">
        <v>96</v>
      </c>
      <c r="BK58">
        <v>37</v>
      </c>
      <c r="BL58">
        <v>65</v>
      </c>
      <c r="BM58">
        <v>17</v>
      </c>
      <c r="BN58">
        <v>615.7707912729398</v>
      </c>
      <c r="BO58" t="s">
        <v>500</v>
      </c>
      <c r="BP58" t="s">
        <v>502</v>
      </c>
      <c r="BQ58" t="s">
        <v>507</v>
      </c>
      <c r="BR58" t="s">
        <v>541</v>
      </c>
      <c r="BS58" t="b">
        <v>0</v>
      </c>
      <c r="BU58">
        <v>1</v>
      </c>
      <c r="BV58">
        <v>1</v>
      </c>
    </row>
    <row r="59" spans="1:74">
      <c r="A59">
        <v>192262</v>
      </c>
      <c r="B59" t="s">
        <v>131</v>
      </c>
      <c r="C59" t="s">
        <v>231</v>
      </c>
      <c r="D59" t="s">
        <v>276</v>
      </c>
      <c r="E59" t="s">
        <v>280</v>
      </c>
      <c r="F59" t="s">
        <v>282</v>
      </c>
      <c r="G59" t="s">
        <v>294</v>
      </c>
      <c r="H59" t="b">
        <v>0</v>
      </c>
      <c r="I59" t="b">
        <v>0</v>
      </c>
      <c r="J59" t="s">
        <v>296</v>
      </c>
      <c r="K59" t="s">
        <v>297</v>
      </c>
      <c r="L59" t="s">
        <v>300</v>
      </c>
      <c r="M59" t="s">
        <v>304</v>
      </c>
      <c r="N59" t="s">
        <v>306</v>
      </c>
      <c r="O59" t="s">
        <v>307</v>
      </c>
      <c r="P59" t="s">
        <v>310</v>
      </c>
      <c r="Q59" t="s">
        <v>315</v>
      </c>
      <c r="R59" t="s">
        <v>329</v>
      </c>
      <c r="T59" t="s">
        <v>380</v>
      </c>
      <c r="U59" t="s">
        <v>390</v>
      </c>
      <c r="V59" t="s">
        <v>398</v>
      </c>
      <c r="W59" t="s">
        <v>389</v>
      </c>
      <c r="X59" t="s">
        <v>397</v>
      </c>
      <c r="Y59" t="s">
        <v>385</v>
      </c>
      <c r="Z59" t="s">
        <v>393</v>
      </c>
      <c r="AA59" t="s">
        <v>386</v>
      </c>
      <c r="AB59" t="s">
        <v>394</v>
      </c>
      <c r="AC59" s="2">
        <v>45324</v>
      </c>
      <c r="AD59" s="2">
        <v>45324.125</v>
      </c>
      <c r="AE59" s="2">
        <v>45324.54166666666</v>
      </c>
      <c r="AF59" s="2">
        <v>45326.54166666666</v>
      </c>
      <c r="AG59" s="2">
        <v>45326.54166666666</v>
      </c>
      <c r="AH59" s="2">
        <v>45331.08333333334</v>
      </c>
      <c r="AI59" s="2">
        <v>45331.33333333334</v>
      </c>
      <c r="AJ59" s="2">
        <v>45331.875</v>
      </c>
      <c r="AK59" s="2">
        <v>45331.875</v>
      </c>
      <c r="AM59" s="2">
        <v>45331.875</v>
      </c>
      <c r="AN59" s="2">
        <v>45344</v>
      </c>
      <c r="AO59">
        <v>0</v>
      </c>
      <c r="AR59" t="s">
        <v>287</v>
      </c>
      <c r="AS59">
        <v>6</v>
      </c>
      <c r="AT59">
        <v>10</v>
      </c>
      <c r="AU59">
        <v>48</v>
      </c>
      <c r="AV59">
        <v>109</v>
      </c>
      <c r="AW59">
        <v>6</v>
      </c>
      <c r="AX59" t="s">
        <v>455</v>
      </c>
      <c r="AY59">
        <v>1</v>
      </c>
      <c r="AZ59">
        <v>7</v>
      </c>
      <c r="BA59">
        <v>1</v>
      </c>
      <c r="BB59">
        <v>7.239156413953094</v>
      </c>
      <c r="BC59">
        <v>25.85976615843005</v>
      </c>
      <c r="BD59">
        <v>16.61592058910096</v>
      </c>
      <c r="BE59">
        <v>13.20692529560423</v>
      </c>
      <c r="BF59">
        <v>0</v>
      </c>
      <c r="BG59">
        <v>62.92176845708834</v>
      </c>
      <c r="BH59">
        <v>49.11980342771492</v>
      </c>
      <c r="BK59">
        <v>13</v>
      </c>
      <c r="BL59">
        <v>64</v>
      </c>
      <c r="BM59">
        <v>109</v>
      </c>
      <c r="BN59">
        <v>692.7707912730556</v>
      </c>
      <c r="BO59" t="s">
        <v>498</v>
      </c>
      <c r="BP59" t="s">
        <v>502</v>
      </c>
      <c r="BS59" t="b">
        <v>0</v>
      </c>
      <c r="BU59">
        <v>3</v>
      </c>
      <c r="BV59">
        <v>0</v>
      </c>
    </row>
    <row r="60" spans="1:74">
      <c r="A60">
        <v>192243</v>
      </c>
      <c r="B60" t="s">
        <v>132</v>
      </c>
      <c r="C60" t="s">
        <v>232</v>
      </c>
      <c r="D60" t="s">
        <v>277</v>
      </c>
      <c r="E60" t="s">
        <v>281</v>
      </c>
      <c r="F60" t="s">
        <v>282</v>
      </c>
      <c r="G60" t="s">
        <v>290</v>
      </c>
      <c r="H60" t="b">
        <v>0</v>
      </c>
      <c r="I60" t="b">
        <v>0</v>
      </c>
      <c r="J60" t="s">
        <v>296</v>
      </c>
      <c r="K60" t="s">
        <v>297</v>
      </c>
      <c r="L60" t="s">
        <v>299</v>
      </c>
      <c r="M60" t="s">
        <v>303</v>
      </c>
      <c r="N60" t="s">
        <v>306</v>
      </c>
      <c r="O60" t="s">
        <v>307</v>
      </c>
      <c r="P60" t="s">
        <v>311</v>
      </c>
      <c r="Q60" t="s">
        <v>316</v>
      </c>
      <c r="R60" t="s">
        <v>335</v>
      </c>
      <c r="S60" t="s">
        <v>364</v>
      </c>
      <c r="T60" t="s">
        <v>379</v>
      </c>
      <c r="U60" t="s">
        <v>384</v>
      </c>
      <c r="V60" t="s">
        <v>392</v>
      </c>
      <c r="W60" t="s">
        <v>386</v>
      </c>
      <c r="X60" t="s">
        <v>394</v>
      </c>
      <c r="Y60" t="s">
        <v>388</v>
      </c>
      <c r="Z60" t="s">
        <v>396</v>
      </c>
      <c r="AA60" t="s">
        <v>390</v>
      </c>
      <c r="AB60" t="s">
        <v>398</v>
      </c>
      <c r="AC60" s="2">
        <v>45466</v>
      </c>
      <c r="AD60" s="2">
        <v>45466.66666666666</v>
      </c>
      <c r="AE60" s="2">
        <v>45467.58333333334</v>
      </c>
      <c r="AF60" s="2">
        <v>45468.20833333334</v>
      </c>
      <c r="AG60" s="2">
        <v>45468.20833333334</v>
      </c>
      <c r="AH60" s="2">
        <v>45470.41666666666</v>
      </c>
      <c r="AI60" s="2">
        <v>45472.04166666666</v>
      </c>
      <c r="AJ60" s="2">
        <v>45472.66666666666</v>
      </c>
      <c r="AK60" s="2">
        <v>45472.66666666666</v>
      </c>
      <c r="AM60" s="2">
        <v>45472.66666666666</v>
      </c>
      <c r="AN60" s="2">
        <v>45512</v>
      </c>
      <c r="AO60">
        <v>0</v>
      </c>
      <c r="AR60" t="s">
        <v>287</v>
      </c>
      <c r="AS60">
        <v>8</v>
      </c>
      <c r="AT60">
        <v>22</v>
      </c>
      <c r="AU60">
        <v>15</v>
      </c>
      <c r="AV60">
        <v>53</v>
      </c>
      <c r="AW60">
        <v>39</v>
      </c>
      <c r="AX60" t="s">
        <v>456</v>
      </c>
      <c r="AY60">
        <v>3</v>
      </c>
      <c r="AZ60">
        <v>9</v>
      </c>
      <c r="BA60">
        <v>1</v>
      </c>
      <c r="BB60">
        <v>5.048217947446925</v>
      </c>
      <c r="BC60">
        <v>29.3175620151838</v>
      </c>
      <c r="BD60">
        <v>6.74096722009693</v>
      </c>
      <c r="BE60">
        <v>11.27096758830819</v>
      </c>
      <c r="BF60">
        <v>0</v>
      </c>
      <c r="BG60">
        <v>52.37771477103584</v>
      </c>
      <c r="BH60">
        <v>38.65606201595236</v>
      </c>
      <c r="BK60">
        <v>38</v>
      </c>
      <c r="BL60">
        <v>76</v>
      </c>
      <c r="BM60">
        <v>53</v>
      </c>
      <c r="BN60">
        <v>550.7707912731597</v>
      </c>
      <c r="BO60" t="s">
        <v>501</v>
      </c>
      <c r="BP60" t="s">
        <v>504</v>
      </c>
      <c r="BR60" t="s">
        <v>542</v>
      </c>
      <c r="BS60" t="b">
        <v>0</v>
      </c>
      <c r="BU60">
        <v>1</v>
      </c>
      <c r="BV60">
        <v>1</v>
      </c>
    </row>
    <row r="61" spans="1:74">
      <c r="A61">
        <v>192292</v>
      </c>
      <c r="B61" t="s">
        <v>133</v>
      </c>
      <c r="C61" t="s">
        <v>233</v>
      </c>
      <c r="D61" t="s">
        <v>276</v>
      </c>
      <c r="E61" t="s">
        <v>280</v>
      </c>
      <c r="F61" t="s">
        <v>283</v>
      </c>
      <c r="G61" t="s">
        <v>291</v>
      </c>
      <c r="H61" t="b">
        <v>0</v>
      </c>
      <c r="I61" t="b">
        <v>0</v>
      </c>
      <c r="J61" t="s">
        <v>296</v>
      </c>
      <c r="K61" t="s">
        <v>297</v>
      </c>
      <c r="L61" t="s">
        <v>301</v>
      </c>
      <c r="M61" t="s">
        <v>305</v>
      </c>
      <c r="N61" t="s">
        <v>306</v>
      </c>
      <c r="O61" t="s">
        <v>307</v>
      </c>
      <c r="P61" t="s">
        <v>309</v>
      </c>
      <c r="Q61" t="s">
        <v>314</v>
      </c>
      <c r="R61" t="s">
        <v>322</v>
      </c>
      <c r="T61" t="s">
        <v>379</v>
      </c>
      <c r="U61" t="s">
        <v>390</v>
      </c>
      <c r="V61" t="s">
        <v>398</v>
      </c>
      <c r="W61" t="s">
        <v>385</v>
      </c>
      <c r="X61" t="s">
        <v>393</v>
      </c>
      <c r="AC61" s="2">
        <v>45331</v>
      </c>
      <c r="AD61" s="2">
        <v>45331.66666666666</v>
      </c>
      <c r="AM61" s="2">
        <v>45331.66666666666</v>
      </c>
      <c r="AN61" s="2">
        <v>45348</v>
      </c>
      <c r="AO61">
        <v>0</v>
      </c>
      <c r="AR61" t="s">
        <v>286</v>
      </c>
      <c r="AS61">
        <v>1</v>
      </c>
      <c r="AX61" t="s">
        <v>457</v>
      </c>
      <c r="AY61">
        <v>1</v>
      </c>
      <c r="AZ61">
        <v>3</v>
      </c>
      <c r="BA61">
        <v>1</v>
      </c>
      <c r="BB61">
        <v>0.5689778871247224</v>
      </c>
      <c r="BC61">
        <v>39.05823109903885</v>
      </c>
      <c r="BD61">
        <v>17.96270295567591</v>
      </c>
      <c r="BE61">
        <v>3.439254090173369</v>
      </c>
      <c r="BF61">
        <v>0</v>
      </c>
      <c r="BG61">
        <v>61.02916603201285</v>
      </c>
      <c r="BH61">
        <v>78.9702846549786</v>
      </c>
      <c r="BL61">
        <v>0</v>
      </c>
      <c r="BM61">
        <v>0</v>
      </c>
      <c r="BN61">
        <v>685.770791273264</v>
      </c>
      <c r="BR61" t="s">
        <v>543</v>
      </c>
      <c r="BS61" t="b">
        <v>0</v>
      </c>
      <c r="BU61">
        <v>0</v>
      </c>
      <c r="BV61">
        <v>0</v>
      </c>
    </row>
    <row r="62" spans="1:74">
      <c r="A62">
        <v>191516</v>
      </c>
      <c r="B62" t="s">
        <v>134</v>
      </c>
      <c r="C62" t="s">
        <v>234</v>
      </c>
      <c r="D62" t="s">
        <v>274</v>
      </c>
      <c r="E62" t="s">
        <v>279</v>
      </c>
      <c r="F62" t="s">
        <v>282</v>
      </c>
      <c r="G62" t="s">
        <v>295</v>
      </c>
      <c r="H62" t="b">
        <v>0</v>
      </c>
      <c r="I62" t="b">
        <v>1</v>
      </c>
      <c r="J62" t="s">
        <v>296</v>
      </c>
      <c r="K62" t="s">
        <v>297</v>
      </c>
      <c r="L62" t="s">
        <v>299</v>
      </c>
      <c r="M62" t="s">
        <v>303</v>
      </c>
      <c r="N62" t="s">
        <v>306</v>
      </c>
      <c r="O62" t="s">
        <v>307</v>
      </c>
      <c r="P62" t="s">
        <v>308</v>
      </c>
      <c r="Q62" t="s">
        <v>313</v>
      </c>
      <c r="R62" t="s">
        <v>331</v>
      </c>
      <c r="T62" t="s">
        <v>381</v>
      </c>
      <c r="U62" t="s">
        <v>385</v>
      </c>
      <c r="V62" t="s">
        <v>393</v>
      </c>
      <c r="W62" t="s">
        <v>389</v>
      </c>
      <c r="X62" t="s">
        <v>397</v>
      </c>
      <c r="Y62" t="s">
        <v>386</v>
      </c>
      <c r="Z62" t="s">
        <v>394</v>
      </c>
      <c r="AA62" t="s">
        <v>383</v>
      </c>
      <c r="AB62" t="s">
        <v>391</v>
      </c>
      <c r="AC62" s="2">
        <v>45337</v>
      </c>
      <c r="AD62" s="2">
        <v>45338.125</v>
      </c>
      <c r="AE62" s="2">
        <v>45338.16666666666</v>
      </c>
      <c r="AF62" s="2">
        <v>45339.16666666666</v>
      </c>
      <c r="AG62" s="2">
        <v>45339.16666666666</v>
      </c>
      <c r="AH62" s="2">
        <v>45343.41666666666</v>
      </c>
      <c r="AI62" s="2">
        <v>45344.45833333334</v>
      </c>
      <c r="AJ62" s="2">
        <v>45345.08333333334</v>
      </c>
      <c r="AK62" s="2">
        <v>45345.08333333334</v>
      </c>
      <c r="AM62" s="2">
        <v>45345.08333333334</v>
      </c>
      <c r="AN62" s="2">
        <v>45395</v>
      </c>
      <c r="AO62">
        <v>0</v>
      </c>
      <c r="AR62" t="s">
        <v>287</v>
      </c>
      <c r="AS62">
        <v>8</v>
      </c>
      <c r="AT62">
        <v>1</v>
      </c>
      <c r="AU62">
        <v>24</v>
      </c>
      <c r="AV62">
        <v>102</v>
      </c>
      <c r="AW62">
        <v>25</v>
      </c>
      <c r="AX62" t="s">
        <v>458</v>
      </c>
      <c r="AY62">
        <v>1</v>
      </c>
      <c r="AZ62">
        <v>9</v>
      </c>
      <c r="BA62">
        <v>1</v>
      </c>
      <c r="BB62">
        <v>1.261036571495241</v>
      </c>
      <c r="BC62">
        <v>21.13571358374661</v>
      </c>
      <c r="BD62">
        <v>8.08943273531618</v>
      </c>
      <c r="BE62">
        <v>14.66390776740764</v>
      </c>
      <c r="BF62">
        <v>0</v>
      </c>
      <c r="BG62">
        <v>45.15009065796568</v>
      </c>
      <c r="BH62">
        <v>40.33764665530751</v>
      </c>
      <c r="BK62">
        <v>28</v>
      </c>
      <c r="BL62">
        <v>50</v>
      </c>
      <c r="BM62">
        <v>102</v>
      </c>
      <c r="BN62">
        <v>679.7707912733797</v>
      </c>
      <c r="BO62" t="s">
        <v>292</v>
      </c>
      <c r="BP62" t="s">
        <v>502</v>
      </c>
      <c r="BS62" t="b">
        <v>0</v>
      </c>
      <c r="BU62">
        <v>3</v>
      </c>
      <c r="BV62">
        <v>0</v>
      </c>
    </row>
    <row r="63" spans="1:74">
      <c r="A63">
        <v>192531</v>
      </c>
      <c r="B63" t="s">
        <v>135</v>
      </c>
      <c r="C63" t="s">
        <v>235</v>
      </c>
      <c r="D63" t="s">
        <v>276</v>
      </c>
      <c r="E63" t="s">
        <v>279</v>
      </c>
      <c r="F63" t="s">
        <v>285</v>
      </c>
      <c r="G63" t="s">
        <v>292</v>
      </c>
      <c r="H63" t="b">
        <v>1</v>
      </c>
      <c r="I63" t="b">
        <v>0</v>
      </c>
      <c r="J63" t="s">
        <v>296</v>
      </c>
      <c r="K63" t="s">
        <v>297</v>
      </c>
      <c r="L63" t="s">
        <v>298</v>
      </c>
      <c r="M63" t="s">
        <v>302</v>
      </c>
      <c r="N63" t="s">
        <v>306</v>
      </c>
      <c r="O63" t="s">
        <v>307</v>
      </c>
      <c r="P63" t="s">
        <v>309</v>
      </c>
      <c r="Q63" t="s">
        <v>314</v>
      </c>
      <c r="R63" t="s">
        <v>330</v>
      </c>
      <c r="T63" t="s">
        <v>382</v>
      </c>
      <c r="U63" t="s">
        <v>388</v>
      </c>
      <c r="V63" t="s">
        <v>396</v>
      </c>
      <c r="W63" t="s">
        <v>390</v>
      </c>
      <c r="X63" t="s">
        <v>398</v>
      </c>
      <c r="Y63" t="s">
        <v>384</v>
      </c>
      <c r="Z63" t="s">
        <v>392</v>
      </c>
      <c r="AA63" t="s">
        <v>389</v>
      </c>
      <c r="AB63" t="s">
        <v>397</v>
      </c>
      <c r="AC63" s="2">
        <v>45463</v>
      </c>
      <c r="AD63" s="2">
        <v>45465</v>
      </c>
      <c r="AE63" s="2">
        <v>45465.33333333334</v>
      </c>
      <c r="AF63" s="2">
        <v>45466.83333333334</v>
      </c>
      <c r="AG63" s="2">
        <v>45466.83333333334</v>
      </c>
      <c r="AH63" s="2">
        <v>45468</v>
      </c>
      <c r="AI63" s="2">
        <v>45470</v>
      </c>
      <c r="AJ63" s="2">
        <v>45470.20833333334</v>
      </c>
      <c r="AK63" s="2">
        <v>45470.5</v>
      </c>
      <c r="AL63" s="2">
        <v>45470.625</v>
      </c>
      <c r="AM63" s="2">
        <v>45470.625</v>
      </c>
      <c r="AN63" s="2">
        <v>45500</v>
      </c>
      <c r="AO63">
        <v>1</v>
      </c>
      <c r="AP63" s="2">
        <v>45474.625</v>
      </c>
      <c r="AQ63" s="2">
        <v>45474.625</v>
      </c>
      <c r="AR63" t="s">
        <v>282</v>
      </c>
      <c r="AS63">
        <v>9</v>
      </c>
      <c r="AT63">
        <v>8</v>
      </c>
      <c r="AU63">
        <v>36</v>
      </c>
      <c r="AV63">
        <v>28</v>
      </c>
      <c r="AW63">
        <v>48</v>
      </c>
      <c r="AX63" t="s">
        <v>459</v>
      </c>
      <c r="AY63">
        <v>3</v>
      </c>
      <c r="AZ63">
        <v>11</v>
      </c>
      <c r="BA63">
        <v>2</v>
      </c>
      <c r="BB63">
        <v>5.476263268310419</v>
      </c>
      <c r="BC63">
        <v>13.59530244470859</v>
      </c>
      <c r="BD63">
        <v>0.711334203865818</v>
      </c>
      <c r="BE63">
        <v>13.33805864384754</v>
      </c>
      <c r="BF63">
        <v>3.642698610480755</v>
      </c>
      <c r="BG63">
        <v>36.76365717121312</v>
      </c>
      <c r="BH63">
        <v>43.59892790732479</v>
      </c>
      <c r="BI63">
        <v>183</v>
      </c>
      <c r="BJ63">
        <v>91</v>
      </c>
      <c r="BK63">
        <v>56</v>
      </c>
      <c r="BL63">
        <v>92</v>
      </c>
      <c r="BM63">
        <v>28</v>
      </c>
      <c r="BN63">
        <v>553.7707912734838</v>
      </c>
      <c r="BO63" t="s">
        <v>292</v>
      </c>
      <c r="BP63" t="s">
        <v>504</v>
      </c>
      <c r="BQ63" t="s">
        <v>507</v>
      </c>
      <c r="BR63" t="s">
        <v>544</v>
      </c>
      <c r="BS63" t="b">
        <v>0</v>
      </c>
      <c r="BU63">
        <v>3</v>
      </c>
      <c r="BV63">
        <v>0</v>
      </c>
    </row>
    <row r="64" spans="1:74">
      <c r="A64">
        <v>192477</v>
      </c>
      <c r="B64" t="s">
        <v>136</v>
      </c>
      <c r="C64" t="s">
        <v>236</v>
      </c>
      <c r="D64" t="s">
        <v>275</v>
      </c>
      <c r="E64" t="s">
        <v>279</v>
      </c>
      <c r="F64" t="s">
        <v>284</v>
      </c>
      <c r="G64" t="s">
        <v>292</v>
      </c>
      <c r="H64" t="b">
        <v>1</v>
      </c>
      <c r="I64" t="b">
        <v>0</v>
      </c>
      <c r="J64" t="s">
        <v>296</v>
      </c>
      <c r="K64" t="s">
        <v>297</v>
      </c>
      <c r="L64" t="s">
        <v>298</v>
      </c>
      <c r="M64" t="s">
        <v>302</v>
      </c>
      <c r="N64" t="s">
        <v>306</v>
      </c>
      <c r="O64" t="s">
        <v>307</v>
      </c>
      <c r="P64" t="s">
        <v>309</v>
      </c>
      <c r="Q64" t="s">
        <v>314</v>
      </c>
      <c r="R64" t="s">
        <v>338</v>
      </c>
      <c r="T64" t="s">
        <v>379</v>
      </c>
      <c r="U64" t="s">
        <v>386</v>
      </c>
      <c r="V64" t="s">
        <v>394</v>
      </c>
      <c r="W64" t="s">
        <v>384</v>
      </c>
      <c r="X64" t="s">
        <v>392</v>
      </c>
      <c r="AC64" s="2">
        <v>45409</v>
      </c>
      <c r="AD64" s="2">
        <v>45409.95833333334</v>
      </c>
      <c r="AE64" s="2">
        <v>45410.375</v>
      </c>
      <c r="AM64" s="2">
        <v>45410.375</v>
      </c>
      <c r="AN64" s="2">
        <v>45468</v>
      </c>
      <c r="AO64">
        <v>0</v>
      </c>
      <c r="AR64" t="s">
        <v>283</v>
      </c>
      <c r="AS64">
        <v>2</v>
      </c>
      <c r="AT64">
        <v>10</v>
      </c>
      <c r="AX64" t="s">
        <v>460</v>
      </c>
      <c r="AY64">
        <v>4</v>
      </c>
      <c r="AZ64">
        <v>2</v>
      </c>
      <c r="BA64">
        <v>1</v>
      </c>
      <c r="BB64">
        <v>0.5379618788466402</v>
      </c>
      <c r="BC64">
        <v>32.01226159597944</v>
      </c>
      <c r="BD64">
        <v>18.15494854017564</v>
      </c>
      <c r="BE64">
        <v>15.24699869937886</v>
      </c>
      <c r="BF64">
        <v>0</v>
      </c>
      <c r="BG64">
        <v>65.95217071438059</v>
      </c>
      <c r="BH64">
        <v>56.24298186034726</v>
      </c>
      <c r="BK64">
        <v>33</v>
      </c>
      <c r="BL64">
        <v>10</v>
      </c>
      <c r="BM64">
        <v>0</v>
      </c>
      <c r="BN64">
        <v>607.7707912735996</v>
      </c>
      <c r="BS64" t="b">
        <v>0</v>
      </c>
      <c r="BU64">
        <v>0</v>
      </c>
      <c r="BV64">
        <v>0</v>
      </c>
    </row>
    <row r="65" spans="1:74">
      <c r="A65">
        <v>191517</v>
      </c>
      <c r="B65" t="s">
        <v>137</v>
      </c>
      <c r="C65" t="s">
        <v>237</v>
      </c>
      <c r="D65" t="s">
        <v>274</v>
      </c>
      <c r="E65" t="s">
        <v>279</v>
      </c>
      <c r="F65" t="s">
        <v>287</v>
      </c>
      <c r="G65" t="s">
        <v>290</v>
      </c>
      <c r="H65" t="b">
        <v>0</v>
      </c>
      <c r="I65" t="b">
        <v>0</v>
      </c>
      <c r="J65" t="s">
        <v>296</v>
      </c>
      <c r="K65" t="s">
        <v>297</v>
      </c>
      <c r="L65" t="s">
        <v>301</v>
      </c>
      <c r="M65" t="s">
        <v>305</v>
      </c>
      <c r="N65" t="s">
        <v>306</v>
      </c>
      <c r="O65" t="s">
        <v>307</v>
      </c>
      <c r="P65" t="s">
        <v>310</v>
      </c>
      <c r="Q65" t="s">
        <v>315</v>
      </c>
      <c r="R65" t="s">
        <v>318</v>
      </c>
      <c r="T65" t="s">
        <v>378</v>
      </c>
      <c r="U65" t="s">
        <v>384</v>
      </c>
      <c r="V65" t="s">
        <v>392</v>
      </c>
      <c r="W65" t="s">
        <v>387</v>
      </c>
      <c r="X65" t="s">
        <v>395</v>
      </c>
      <c r="Y65" t="s">
        <v>388</v>
      </c>
      <c r="Z65" t="s">
        <v>396</v>
      </c>
      <c r="AA65" t="s">
        <v>389</v>
      </c>
      <c r="AB65" t="s">
        <v>397</v>
      </c>
      <c r="AC65" s="2">
        <v>45350</v>
      </c>
      <c r="AD65" s="2">
        <v>45350.625</v>
      </c>
      <c r="AE65" s="2">
        <v>45350.66666666666</v>
      </c>
      <c r="AF65" s="2">
        <v>45351.75</v>
      </c>
      <c r="AG65" s="2">
        <v>45351.75</v>
      </c>
      <c r="AH65" s="2">
        <v>45354.20833333334</v>
      </c>
      <c r="AI65" s="2">
        <v>45355.25</v>
      </c>
      <c r="AM65" s="2">
        <v>45355.25</v>
      </c>
      <c r="AN65" s="2">
        <v>45374</v>
      </c>
      <c r="AO65">
        <v>0</v>
      </c>
      <c r="AR65" t="s">
        <v>289</v>
      </c>
      <c r="AS65">
        <v>5</v>
      </c>
      <c r="AT65">
        <v>1</v>
      </c>
      <c r="AU65">
        <v>26</v>
      </c>
      <c r="AV65">
        <v>59</v>
      </c>
      <c r="AW65">
        <v>25</v>
      </c>
      <c r="AX65" t="s">
        <v>461</v>
      </c>
      <c r="AY65">
        <v>1</v>
      </c>
      <c r="AZ65">
        <v>7</v>
      </c>
      <c r="BA65">
        <v>1</v>
      </c>
      <c r="BB65">
        <v>1.70606038563124</v>
      </c>
      <c r="BC65">
        <v>11.56245779922089</v>
      </c>
      <c r="BD65">
        <v>2.280090197329605</v>
      </c>
      <c r="BE65">
        <v>11.8857926258254</v>
      </c>
      <c r="BF65">
        <v>0</v>
      </c>
      <c r="BG65">
        <v>27.43440100800714</v>
      </c>
      <c r="BH65">
        <v>30.42205208732885</v>
      </c>
      <c r="BK65">
        <v>16</v>
      </c>
      <c r="BL65">
        <v>52</v>
      </c>
      <c r="BM65">
        <v>59</v>
      </c>
      <c r="BN65">
        <v>666.7707912737037</v>
      </c>
      <c r="BO65" t="s">
        <v>499</v>
      </c>
      <c r="BP65" t="s">
        <v>502</v>
      </c>
      <c r="BR65" t="s">
        <v>545</v>
      </c>
      <c r="BS65" t="b">
        <v>0</v>
      </c>
      <c r="BU65">
        <v>0</v>
      </c>
      <c r="BV65">
        <v>1</v>
      </c>
    </row>
    <row r="66" spans="1:74">
      <c r="A66">
        <v>192542</v>
      </c>
      <c r="B66" t="s">
        <v>138</v>
      </c>
      <c r="C66" t="s">
        <v>238</v>
      </c>
      <c r="D66" t="s">
        <v>276</v>
      </c>
      <c r="E66" t="s">
        <v>281</v>
      </c>
      <c r="F66" t="s">
        <v>285</v>
      </c>
      <c r="G66" t="s">
        <v>294</v>
      </c>
      <c r="H66" t="b">
        <v>0</v>
      </c>
      <c r="I66" t="b">
        <v>0</v>
      </c>
      <c r="J66" t="s">
        <v>296</v>
      </c>
      <c r="K66" t="s">
        <v>297</v>
      </c>
      <c r="L66" t="s">
        <v>301</v>
      </c>
      <c r="M66" t="s">
        <v>305</v>
      </c>
      <c r="N66" t="s">
        <v>306</v>
      </c>
      <c r="O66" t="s">
        <v>307</v>
      </c>
      <c r="P66" t="s">
        <v>311</v>
      </c>
      <c r="Q66" t="s">
        <v>316</v>
      </c>
      <c r="R66" t="s">
        <v>329</v>
      </c>
      <c r="T66" t="s">
        <v>378</v>
      </c>
      <c r="U66" t="s">
        <v>388</v>
      </c>
      <c r="V66" t="s">
        <v>396</v>
      </c>
      <c r="W66" t="s">
        <v>390</v>
      </c>
      <c r="X66" t="s">
        <v>398</v>
      </c>
      <c r="Y66" t="s">
        <v>389</v>
      </c>
      <c r="Z66" t="s">
        <v>397</v>
      </c>
      <c r="AA66" t="s">
        <v>387</v>
      </c>
      <c r="AB66" t="s">
        <v>395</v>
      </c>
      <c r="AC66" s="2">
        <v>45309</v>
      </c>
      <c r="AD66" s="2">
        <v>45309.75</v>
      </c>
      <c r="AE66" s="2">
        <v>45310.25</v>
      </c>
      <c r="AF66" s="2">
        <v>45313.04166666666</v>
      </c>
      <c r="AG66" s="2">
        <v>45313.04166666666</v>
      </c>
      <c r="AH66" s="2">
        <v>45315.5</v>
      </c>
      <c r="AI66" s="2">
        <v>45317.45833333334</v>
      </c>
      <c r="AJ66" s="2">
        <v>45318.25</v>
      </c>
      <c r="AK66" s="2">
        <v>45318.5</v>
      </c>
      <c r="AL66" s="2">
        <v>45318.58333333334</v>
      </c>
      <c r="AM66" s="2">
        <v>45318.58333333334</v>
      </c>
      <c r="AN66" s="2">
        <v>45323</v>
      </c>
      <c r="AO66">
        <v>2</v>
      </c>
      <c r="AP66" s="2">
        <v>45321.58333333334</v>
      </c>
      <c r="AQ66" s="2">
        <v>45325.58333333334</v>
      </c>
      <c r="AR66" t="s">
        <v>282</v>
      </c>
      <c r="AS66">
        <v>9</v>
      </c>
      <c r="AT66">
        <v>12</v>
      </c>
      <c r="AU66">
        <v>67</v>
      </c>
      <c r="AV66">
        <v>59</v>
      </c>
      <c r="AW66">
        <v>47</v>
      </c>
      <c r="AX66" t="s">
        <v>462</v>
      </c>
      <c r="AY66">
        <v>1</v>
      </c>
      <c r="AZ66">
        <v>10</v>
      </c>
      <c r="BA66">
        <v>3</v>
      </c>
      <c r="BB66">
        <v>4.615503420249396</v>
      </c>
      <c r="BC66">
        <v>18.11988540751981</v>
      </c>
      <c r="BD66">
        <v>6.72661593301309</v>
      </c>
      <c r="BE66">
        <v>10.20122793903685</v>
      </c>
      <c r="BF66">
        <v>0.7862427968219787</v>
      </c>
      <c r="BG66">
        <v>40.44947549664113</v>
      </c>
      <c r="BH66">
        <v>46.76512376193187</v>
      </c>
      <c r="BI66">
        <v>230</v>
      </c>
      <c r="BJ66">
        <v>133</v>
      </c>
      <c r="BK66">
        <v>30</v>
      </c>
      <c r="BL66">
        <v>126</v>
      </c>
      <c r="BM66">
        <v>59</v>
      </c>
      <c r="BN66">
        <v>707.7707912738078</v>
      </c>
      <c r="BO66" t="s">
        <v>290</v>
      </c>
      <c r="BP66" t="s">
        <v>502</v>
      </c>
      <c r="BQ66" t="s">
        <v>507</v>
      </c>
      <c r="BR66" t="s">
        <v>546</v>
      </c>
      <c r="BS66" t="b">
        <v>0</v>
      </c>
      <c r="BU66">
        <v>3</v>
      </c>
      <c r="BV66">
        <v>0</v>
      </c>
    </row>
    <row r="67" spans="1:74">
      <c r="A67">
        <v>191545</v>
      </c>
      <c r="B67" t="s">
        <v>139</v>
      </c>
      <c r="C67" t="s">
        <v>239</v>
      </c>
      <c r="D67" t="s">
        <v>274</v>
      </c>
      <c r="E67" t="s">
        <v>280</v>
      </c>
      <c r="F67" t="s">
        <v>285</v>
      </c>
      <c r="G67" t="s">
        <v>294</v>
      </c>
      <c r="H67" t="b">
        <v>1</v>
      </c>
      <c r="I67" t="b">
        <v>0</v>
      </c>
      <c r="J67" t="s">
        <v>296</v>
      </c>
      <c r="K67" t="s">
        <v>297</v>
      </c>
      <c r="L67" t="s">
        <v>299</v>
      </c>
      <c r="M67" t="s">
        <v>303</v>
      </c>
      <c r="N67" t="s">
        <v>306</v>
      </c>
      <c r="O67" t="s">
        <v>307</v>
      </c>
      <c r="P67" t="s">
        <v>312</v>
      </c>
      <c r="Q67" t="s">
        <v>317</v>
      </c>
      <c r="R67" t="s">
        <v>325</v>
      </c>
      <c r="T67" t="s">
        <v>382</v>
      </c>
      <c r="U67" t="s">
        <v>384</v>
      </c>
      <c r="V67" t="s">
        <v>392</v>
      </c>
      <c r="W67" t="s">
        <v>390</v>
      </c>
      <c r="X67" t="s">
        <v>398</v>
      </c>
      <c r="Y67" t="s">
        <v>383</v>
      </c>
      <c r="Z67" t="s">
        <v>391</v>
      </c>
      <c r="AA67" t="s">
        <v>389</v>
      </c>
      <c r="AB67" t="s">
        <v>397</v>
      </c>
      <c r="AC67" s="2">
        <v>45359</v>
      </c>
      <c r="AD67" s="2">
        <v>45359.125</v>
      </c>
      <c r="AE67" s="2">
        <v>45359.29166666666</v>
      </c>
      <c r="AF67" s="2">
        <v>45361.66666666666</v>
      </c>
      <c r="AG67" s="2">
        <v>45361.66666666666</v>
      </c>
      <c r="AH67" s="2">
        <v>45363.83333333334</v>
      </c>
      <c r="AI67" s="2">
        <v>45364.83333333334</v>
      </c>
      <c r="AJ67" s="2">
        <v>45365.45833333334</v>
      </c>
      <c r="AK67" s="2">
        <v>45365.54166666666</v>
      </c>
      <c r="AL67" s="2">
        <v>45366.58333333334</v>
      </c>
      <c r="AM67" s="2">
        <v>45366.58333333334</v>
      </c>
      <c r="AN67" s="2">
        <v>45402</v>
      </c>
      <c r="AO67">
        <v>1</v>
      </c>
      <c r="AP67" s="2">
        <v>45371.58333333334</v>
      </c>
      <c r="AQ67" s="2">
        <v>45371.58333333334</v>
      </c>
      <c r="AR67" t="s">
        <v>282</v>
      </c>
      <c r="AS67">
        <v>8</v>
      </c>
      <c r="AT67">
        <v>4</v>
      </c>
      <c r="AU67">
        <v>57</v>
      </c>
      <c r="AV67">
        <v>52</v>
      </c>
      <c r="AW67">
        <v>24</v>
      </c>
      <c r="AX67" t="s">
        <v>463</v>
      </c>
      <c r="AY67">
        <v>3</v>
      </c>
      <c r="AZ67">
        <v>8</v>
      </c>
      <c r="BA67">
        <v>2</v>
      </c>
      <c r="BB67">
        <v>5.6892139826952</v>
      </c>
      <c r="BC67">
        <v>4.059798872348372</v>
      </c>
      <c r="BD67">
        <v>19.02620835749069</v>
      </c>
      <c r="BE67">
        <v>7.273645544359283</v>
      </c>
      <c r="BF67">
        <v>7.994103989090426</v>
      </c>
      <c r="BG67">
        <v>44.04297074598397</v>
      </c>
      <c r="BH67">
        <v>46.5702992988484</v>
      </c>
      <c r="BI67">
        <v>182</v>
      </c>
      <c r="BJ67">
        <v>118</v>
      </c>
      <c r="BK67">
        <v>7</v>
      </c>
      <c r="BL67">
        <v>85</v>
      </c>
      <c r="BM67">
        <v>52</v>
      </c>
      <c r="BN67">
        <v>657.7707912739236</v>
      </c>
      <c r="BO67" t="s">
        <v>499</v>
      </c>
      <c r="BP67" t="s">
        <v>502</v>
      </c>
      <c r="BQ67" t="s">
        <v>507</v>
      </c>
      <c r="BR67" t="s">
        <v>547</v>
      </c>
      <c r="BS67" t="b">
        <v>0</v>
      </c>
      <c r="BU67">
        <v>2</v>
      </c>
      <c r="BV67">
        <v>1</v>
      </c>
    </row>
    <row r="68" spans="1:74">
      <c r="A68">
        <v>191555</v>
      </c>
      <c r="B68" t="s">
        <v>140</v>
      </c>
      <c r="C68" t="s">
        <v>240</v>
      </c>
      <c r="D68" t="s">
        <v>276</v>
      </c>
      <c r="E68" t="s">
        <v>279</v>
      </c>
      <c r="F68" t="s">
        <v>282</v>
      </c>
      <c r="G68" t="s">
        <v>292</v>
      </c>
      <c r="H68" t="b">
        <v>1</v>
      </c>
      <c r="I68" t="b">
        <v>0</v>
      </c>
      <c r="J68" t="s">
        <v>296</v>
      </c>
      <c r="K68" t="s">
        <v>297</v>
      </c>
      <c r="L68" t="s">
        <v>300</v>
      </c>
      <c r="M68" t="s">
        <v>304</v>
      </c>
      <c r="N68" t="s">
        <v>306</v>
      </c>
      <c r="O68" t="s">
        <v>307</v>
      </c>
      <c r="P68" t="s">
        <v>311</v>
      </c>
      <c r="Q68" t="s">
        <v>316</v>
      </c>
      <c r="R68" t="s">
        <v>330</v>
      </c>
      <c r="S68" t="s">
        <v>365</v>
      </c>
      <c r="T68" t="s">
        <v>378</v>
      </c>
      <c r="U68" t="s">
        <v>387</v>
      </c>
      <c r="V68" t="s">
        <v>395</v>
      </c>
      <c r="W68" t="s">
        <v>387</v>
      </c>
      <c r="X68" t="s">
        <v>395</v>
      </c>
      <c r="Y68" t="s">
        <v>385</v>
      </c>
      <c r="Z68" t="s">
        <v>393</v>
      </c>
      <c r="AA68" t="s">
        <v>390</v>
      </c>
      <c r="AB68" t="s">
        <v>398</v>
      </c>
      <c r="AC68" s="2">
        <v>45303</v>
      </c>
      <c r="AD68" s="2">
        <v>45304.91666666666</v>
      </c>
      <c r="AE68" s="2">
        <v>45305.5</v>
      </c>
      <c r="AF68" s="2">
        <v>45305.58333333334</v>
      </c>
      <c r="AG68" s="2">
        <v>45305.58333333334</v>
      </c>
      <c r="AH68" s="2">
        <v>45308.66666666666</v>
      </c>
      <c r="AI68" s="2">
        <v>45310.25</v>
      </c>
      <c r="AJ68" s="2">
        <v>45311.20833333334</v>
      </c>
      <c r="AK68" s="2">
        <v>45311.20833333334</v>
      </c>
      <c r="AM68" s="2">
        <v>45311.20833333334</v>
      </c>
      <c r="AN68" s="2">
        <v>45356</v>
      </c>
      <c r="AO68">
        <v>0</v>
      </c>
      <c r="AR68" t="s">
        <v>287</v>
      </c>
      <c r="AS68">
        <v>9</v>
      </c>
      <c r="AT68">
        <v>14</v>
      </c>
      <c r="AU68">
        <v>2</v>
      </c>
      <c r="AV68">
        <v>74</v>
      </c>
      <c r="AW68">
        <v>38</v>
      </c>
      <c r="AX68" t="s">
        <v>464</v>
      </c>
      <c r="AY68">
        <v>1</v>
      </c>
      <c r="AZ68">
        <v>9</v>
      </c>
      <c r="BA68">
        <v>1</v>
      </c>
      <c r="BB68">
        <v>5.389709446269504</v>
      </c>
      <c r="BC68">
        <v>1.988678993202843</v>
      </c>
      <c r="BD68">
        <v>19.03683936528234</v>
      </c>
      <c r="BE68">
        <v>14.9909272503102</v>
      </c>
      <c r="BF68">
        <v>0</v>
      </c>
      <c r="BG68">
        <v>41.40615505506489</v>
      </c>
      <c r="BH68">
        <v>40.70000260857604</v>
      </c>
      <c r="BK68">
        <v>60</v>
      </c>
      <c r="BL68">
        <v>54</v>
      </c>
      <c r="BM68">
        <v>74</v>
      </c>
      <c r="BN68">
        <v>713.7707912740278</v>
      </c>
      <c r="BO68" t="s">
        <v>290</v>
      </c>
      <c r="BP68" t="s">
        <v>505</v>
      </c>
      <c r="BS68" t="b">
        <v>1</v>
      </c>
      <c r="BT68">
        <v>191765</v>
      </c>
      <c r="BU68">
        <v>1</v>
      </c>
      <c r="BV68">
        <v>1</v>
      </c>
    </row>
    <row r="69" spans="1:74">
      <c r="A69">
        <v>192503</v>
      </c>
      <c r="B69" t="s">
        <v>141</v>
      </c>
      <c r="C69" t="s">
        <v>241</v>
      </c>
      <c r="D69" t="s">
        <v>275</v>
      </c>
      <c r="E69" t="s">
        <v>281</v>
      </c>
      <c r="F69" t="s">
        <v>285</v>
      </c>
      <c r="G69" t="s">
        <v>290</v>
      </c>
      <c r="H69" t="b">
        <v>0</v>
      </c>
      <c r="I69" t="b">
        <v>0</v>
      </c>
      <c r="J69" t="s">
        <v>296</v>
      </c>
      <c r="K69" t="s">
        <v>297</v>
      </c>
      <c r="L69" t="s">
        <v>299</v>
      </c>
      <c r="M69" t="s">
        <v>303</v>
      </c>
      <c r="N69" t="s">
        <v>306</v>
      </c>
      <c r="O69" t="s">
        <v>307</v>
      </c>
      <c r="P69" t="s">
        <v>311</v>
      </c>
      <c r="Q69" t="s">
        <v>316</v>
      </c>
      <c r="R69" t="s">
        <v>336</v>
      </c>
      <c r="S69" t="s">
        <v>366</v>
      </c>
      <c r="T69" t="s">
        <v>380</v>
      </c>
      <c r="U69" t="s">
        <v>387</v>
      </c>
      <c r="V69" t="s">
        <v>395</v>
      </c>
      <c r="W69" t="s">
        <v>383</v>
      </c>
      <c r="X69" t="s">
        <v>391</v>
      </c>
      <c r="Y69" t="s">
        <v>388</v>
      </c>
      <c r="Z69" t="s">
        <v>396</v>
      </c>
      <c r="AA69" t="s">
        <v>387</v>
      </c>
      <c r="AB69" t="s">
        <v>395</v>
      </c>
      <c r="AC69" s="2">
        <v>45463</v>
      </c>
      <c r="AD69" s="2">
        <v>45463.54166666666</v>
      </c>
      <c r="AE69" s="2">
        <v>45464.04166666666</v>
      </c>
      <c r="AF69" s="2">
        <v>45466.41666666666</v>
      </c>
      <c r="AG69" s="2">
        <v>45466.41666666666</v>
      </c>
      <c r="AH69" s="2">
        <v>45467.08333333334</v>
      </c>
      <c r="AI69" s="2">
        <v>45469</v>
      </c>
      <c r="AJ69" s="2">
        <v>45469.5</v>
      </c>
      <c r="AK69" s="2">
        <v>45469.75</v>
      </c>
      <c r="AL69" s="2">
        <v>45471.54166666666</v>
      </c>
      <c r="AM69" s="2">
        <v>45471.54166666666</v>
      </c>
      <c r="AN69" s="2">
        <v>45477</v>
      </c>
      <c r="AO69">
        <v>2</v>
      </c>
      <c r="AP69" s="2">
        <v>45480.54166666666</v>
      </c>
      <c r="AQ69" s="2">
        <v>45482.54166666666</v>
      </c>
      <c r="AR69" t="s">
        <v>282</v>
      </c>
      <c r="AS69">
        <v>7</v>
      </c>
      <c r="AT69">
        <v>12</v>
      </c>
      <c r="AU69">
        <v>57</v>
      </c>
      <c r="AV69">
        <v>16</v>
      </c>
      <c r="AW69">
        <v>46</v>
      </c>
      <c r="AX69" t="s">
        <v>465</v>
      </c>
      <c r="AY69">
        <v>1</v>
      </c>
      <c r="AZ69">
        <v>7</v>
      </c>
      <c r="BA69">
        <v>3</v>
      </c>
      <c r="BB69">
        <v>2.182019820954198</v>
      </c>
      <c r="BC69">
        <v>38.54328817243908</v>
      </c>
      <c r="BD69">
        <v>11.68203881840408</v>
      </c>
      <c r="BE69">
        <v>13.99095834250613</v>
      </c>
      <c r="BF69">
        <v>1.635180638977438</v>
      </c>
      <c r="BG69">
        <v>68.0334857932809</v>
      </c>
      <c r="BH69">
        <v>64.43482384433464</v>
      </c>
      <c r="BI69">
        <v>205</v>
      </c>
      <c r="BJ69">
        <v>123</v>
      </c>
      <c r="BK69">
        <v>25</v>
      </c>
      <c r="BL69">
        <v>115</v>
      </c>
      <c r="BM69">
        <v>16</v>
      </c>
      <c r="BN69">
        <v>553.7707912741434</v>
      </c>
      <c r="BO69" t="s">
        <v>499</v>
      </c>
      <c r="BP69" t="s">
        <v>503</v>
      </c>
      <c r="BQ69" t="s">
        <v>506</v>
      </c>
      <c r="BR69" t="s">
        <v>548</v>
      </c>
      <c r="BS69" t="b">
        <v>0</v>
      </c>
      <c r="BU69">
        <v>2</v>
      </c>
      <c r="BV69">
        <v>1</v>
      </c>
    </row>
    <row r="70" spans="1:74">
      <c r="A70">
        <v>192540</v>
      </c>
      <c r="B70" t="s">
        <v>142</v>
      </c>
      <c r="C70" t="s">
        <v>242</v>
      </c>
      <c r="D70" t="s">
        <v>277</v>
      </c>
      <c r="E70" t="s">
        <v>278</v>
      </c>
      <c r="F70" t="s">
        <v>288</v>
      </c>
      <c r="G70" t="s">
        <v>291</v>
      </c>
      <c r="H70" t="b">
        <v>1</v>
      </c>
      <c r="I70" t="b">
        <v>0</v>
      </c>
      <c r="J70" t="s">
        <v>296</v>
      </c>
      <c r="K70" t="s">
        <v>297</v>
      </c>
      <c r="L70" t="s">
        <v>301</v>
      </c>
      <c r="M70" t="s">
        <v>305</v>
      </c>
      <c r="N70" t="s">
        <v>306</v>
      </c>
      <c r="O70" t="s">
        <v>307</v>
      </c>
      <c r="P70" t="s">
        <v>309</v>
      </c>
      <c r="Q70" t="s">
        <v>314</v>
      </c>
      <c r="R70" t="s">
        <v>339</v>
      </c>
      <c r="T70" t="s">
        <v>381</v>
      </c>
      <c r="U70" t="s">
        <v>383</v>
      </c>
      <c r="V70" t="s">
        <v>391</v>
      </c>
      <c r="W70" t="s">
        <v>383</v>
      </c>
      <c r="X70" t="s">
        <v>391</v>
      </c>
      <c r="AC70" s="2">
        <v>45462</v>
      </c>
      <c r="AD70" s="2">
        <v>45463.125</v>
      </c>
      <c r="AE70" s="2">
        <v>45463.58333333334</v>
      </c>
      <c r="AF70" s="2">
        <v>45465.79166666666</v>
      </c>
      <c r="AG70" s="2">
        <v>45465.79166666666</v>
      </c>
      <c r="AM70" s="2">
        <v>45465.79166666666</v>
      </c>
      <c r="AN70" s="2">
        <v>45513</v>
      </c>
      <c r="AO70">
        <v>0</v>
      </c>
      <c r="AR70" t="s">
        <v>284</v>
      </c>
      <c r="AS70">
        <v>6</v>
      </c>
      <c r="AT70">
        <v>11</v>
      </c>
      <c r="AU70">
        <v>53</v>
      </c>
      <c r="AX70" t="s">
        <v>466</v>
      </c>
      <c r="AY70">
        <v>3</v>
      </c>
      <c r="AZ70">
        <v>8</v>
      </c>
      <c r="BA70">
        <v>1</v>
      </c>
      <c r="BB70">
        <v>5.841344160106519</v>
      </c>
      <c r="BC70">
        <v>33.60322469997602</v>
      </c>
      <c r="BD70">
        <v>12.82082563731108</v>
      </c>
      <c r="BE70">
        <v>1.678280051592841</v>
      </c>
      <c r="BF70">
        <v>0</v>
      </c>
      <c r="BG70">
        <v>53.94367454898647</v>
      </c>
      <c r="BH70">
        <v>49.05211392280918</v>
      </c>
      <c r="BK70">
        <v>38</v>
      </c>
      <c r="BL70">
        <v>64</v>
      </c>
      <c r="BM70">
        <v>0</v>
      </c>
      <c r="BN70">
        <v>554.7707912742477</v>
      </c>
      <c r="BS70" t="b">
        <v>0</v>
      </c>
      <c r="BU70">
        <v>0</v>
      </c>
      <c r="BV70">
        <v>0</v>
      </c>
    </row>
    <row r="71" spans="1:74">
      <c r="A71">
        <v>186773</v>
      </c>
      <c r="B71" t="s">
        <v>143</v>
      </c>
      <c r="C71" t="s">
        <v>243</v>
      </c>
      <c r="D71" t="s">
        <v>275</v>
      </c>
      <c r="E71" t="s">
        <v>279</v>
      </c>
      <c r="F71" t="s">
        <v>288</v>
      </c>
      <c r="G71" t="s">
        <v>294</v>
      </c>
      <c r="H71" t="b">
        <v>0</v>
      </c>
      <c r="I71" t="b">
        <v>0</v>
      </c>
      <c r="J71" t="s">
        <v>296</v>
      </c>
      <c r="K71" t="s">
        <v>297</v>
      </c>
      <c r="L71" t="s">
        <v>299</v>
      </c>
      <c r="M71" t="s">
        <v>303</v>
      </c>
      <c r="N71" t="s">
        <v>306</v>
      </c>
      <c r="O71" t="s">
        <v>307</v>
      </c>
      <c r="P71" t="s">
        <v>311</v>
      </c>
      <c r="Q71" t="s">
        <v>316</v>
      </c>
      <c r="R71" t="s">
        <v>332</v>
      </c>
      <c r="S71" t="s">
        <v>367</v>
      </c>
      <c r="T71" t="s">
        <v>378</v>
      </c>
      <c r="U71" t="s">
        <v>387</v>
      </c>
      <c r="V71" t="s">
        <v>395</v>
      </c>
      <c r="W71" t="s">
        <v>384</v>
      </c>
      <c r="X71" t="s">
        <v>392</v>
      </c>
      <c r="AC71" s="2">
        <v>45367</v>
      </c>
      <c r="AD71" s="2">
        <v>45368.5</v>
      </c>
      <c r="AE71" s="2">
        <v>45368.70833333334</v>
      </c>
      <c r="AF71" s="2">
        <v>45369.79166666666</v>
      </c>
      <c r="AG71" s="2">
        <v>45369.79166666666</v>
      </c>
      <c r="AM71" s="2">
        <v>45369.79166666666</v>
      </c>
      <c r="AN71" s="2">
        <v>45400</v>
      </c>
      <c r="AO71">
        <v>0</v>
      </c>
      <c r="AR71" t="s">
        <v>284</v>
      </c>
      <c r="AS71">
        <v>4</v>
      </c>
      <c r="AT71">
        <v>5</v>
      </c>
      <c r="AU71">
        <v>26</v>
      </c>
      <c r="AX71" t="s">
        <v>467</v>
      </c>
      <c r="AY71">
        <v>3</v>
      </c>
      <c r="AZ71">
        <v>5</v>
      </c>
      <c r="BA71">
        <v>1</v>
      </c>
      <c r="BB71">
        <v>2.279368156226</v>
      </c>
      <c r="BC71">
        <v>28.14299403765422</v>
      </c>
      <c r="BD71">
        <v>9.244687678577236</v>
      </c>
      <c r="BE71">
        <v>1.39550461745878</v>
      </c>
      <c r="BF71">
        <v>0</v>
      </c>
      <c r="BG71">
        <v>41.06255448991624</v>
      </c>
      <c r="BH71">
        <v>51.64509282432631</v>
      </c>
      <c r="BK71">
        <v>41</v>
      </c>
      <c r="BL71">
        <v>31</v>
      </c>
      <c r="BM71">
        <v>0</v>
      </c>
      <c r="BN71">
        <v>649.7707912743634</v>
      </c>
      <c r="BS71" t="b">
        <v>0</v>
      </c>
      <c r="BU71">
        <v>0</v>
      </c>
      <c r="BV71">
        <v>0</v>
      </c>
    </row>
    <row r="72" spans="1:74">
      <c r="A72">
        <v>192537</v>
      </c>
      <c r="B72" t="s">
        <v>144</v>
      </c>
      <c r="C72" t="s">
        <v>244</v>
      </c>
      <c r="D72" t="s">
        <v>275</v>
      </c>
      <c r="E72" t="s">
        <v>279</v>
      </c>
      <c r="F72" t="s">
        <v>285</v>
      </c>
      <c r="G72" t="s">
        <v>291</v>
      </c>
      <c r="H72" t="b">
        <v>0</v>
      </c>
      <c r="I72" t="b">
        <v>0</v>
      </c>
      <c r="J72" t="s">
        <v>296</v>
      </c>
      <c r="K72" t="s">
        <v>297</v>
      </c>
      <c r="L72" t="s">
        <v>301</v>
      </c>
      <c r="M72" t="s">
        <v>305</v>
      </c>
      <c r="N72" t="s">
        <v>306</v>
      </c>
      <c r="O72" t="s">
        <v>307</v>
      </c>
      <c r="P72" t="s">
        <v>308</v>
      </c>
      <c r="Q72" t="s">
        <v>313</v>
      </c>
      <c r="R72" t="s">
        <v>319</v>
      </c>
      <c r="S72" t="s">
        <v>368</v>
      </c>
      <c r="T72" t="s">
        <v>378</v>
      </c>
      <c r="U72" t="s">
        <v>390</v>
      </c>
      <c r="V72" t="s">
        <v>398</v>
      </c>
      <c r="W72" t="s">
        <v>390</v>
      </c>
      <c r="X72" t="s">
        <v>398</v>
      </c>
      <c r="Y72" t="s">
        <v>384</v>
      </c>
      <c r="Z72" t="s">
        <v>392</v>
      </c>
      <c r="AA72" t="s">
        <v>390</v>
      </c>
      <c r="AB72" t="s">
        <v>398</v>
      </c>
      <c r="AC72" s="2">
        <v>45462</v>
      </c>
      <c r="AD72" s="2">
        <v>45463.04166666666</v>
      </c>
      <c r="AE72" s="2">
        <v>45463.95833333334</v>
      </c>
      <c r="AF72" s="2">
        <v>45464.95833333334</v>
      </c>
      <c r="AG72" s="2">
        <v>45464.95833333334</v>
      </c>
      <c r="AH72" s="2">
        <v>45468.54166666666</v>
      </c>
      <c r="AI72" s="2">
        <v>45470.20833333334</v>
      </c>
      <c r="AJ72" s="2">
        <v>45470.66666666666</v>
      </c>
      <c r="AK72" s="2">
        <v>45470.95833333334</v>
      </c>
      <c r="AL72" s="2">
        <v>45472.45833333334</v>
      </c>
      <c r="AM72" s="2">
        <v>45472.45833333334</v>
      </c>
      <c r="AN72" s="2">
        <v>45522</v>
      </c>
      <c r="AO72">
        <v>0</v>
      </c>
      <c r="AR72" t="s">
        <v>282</v>
      </c>
      <c r="AS72">
        <v>8</v>
      </c>
      <c r="AT72">
        <v>22</v>
      </c>
      <c r="AU72">
        <v>24</v>
      </c>
      <c r="AV72">
        <v>86</v>
      </c>
      <c r="AW72">
        <v>40</v>
      </c>
      <c r="AX72" t="s">
        <v>468</v>
      </c>
      <c r="AY72">
        <v>0</v>
      </c>
      <c r="AZ72">
        <v>8</v>
      </c>
      <c r="BA72">
        <v>1</v>
      </c>
      <c r="BB72">
        <v>2.940497736194508</v>
      </c>
      <c r="BC72">
        <v>16.94916483215653</v>
      </c>
      <c r="BD72">
        <v>6.217610048112259</v>
      </c>
      <c r="BE72">
        <v>6.646950503170744</v>
      </c>
      <c r="BF72">
        <v>0</v>
      </c>
      <c r="BG72">
        <v>32.75422311963404</v>
      </c>
      <c r="BH72">
        <v>39.25173222985038</v>
      </c>
      <c r="BI72">
        <v>251</v>
      </c>
      <c r="BJ72">
        <v>180</v>
      </c>
      <c r="BK72">
        <v>47</v>
      </c>
      <c r="BL72">
        <v>86</v>
      </c>
      <c r="BM72">
        <v>86</v>
      </c>
      <c r="BN72">
        <v>554.7707912744676</v>
      </c>
      <c r="BO72" t="s">
        <v>499</v>
      </c>
      <c r="BP72" t="s">
        <v>502</v>
      </c>
      <c r="BQ72" t="s">
        <v>507</v>
      </c>
      <c r="BR72" t="s">
        <v>549</v>
      </c>
      <c r="BS72" t="b">
        <v>0</v>
      </c>
      <c r="BU72">
        <v>2</v>
      </c>
      <c r="BV72">
        <v>1</v>
      </c>
    </row>
    <row r="73" spans="1:74">
      <c r="A73">
        <v>192523</v>
      </c>
      <c r="B73" t="s">
        <v>145</v>
      </c>
      <c r="C73" t="s">
        <v>245</v>
      </c>
      <c r="D73" t="s">
        <v>276</v>
      </c>
      <c r="E73" t="s">
        <v>278</v>
      </c>
      <c r="F73" t="s">
        <v>285</v>
      </c>
      <c r="G73" t="s">
        <v>294</v>
      </c>
      <c r="H73" t="b">
        <v>1</v>
      </c>
      <c r="I73" t="b">
        <v>1</v>
      </c>
      <c r="J73" t="s">
        <v>296</v>
      </c>
      <c r="K73" t="s">
        <v>297</v>
      </c>
      <c r="L73" t="s">
        <v>299</v>
      </c>
      <c r="M73" t="s">
        <v>303</v>
      </c>
      <c r="N73" t="s">
        <v>306</v>
      </c>
      <c r="O73" t="s">
        <v>307</v>
      </c>
      <c r="P73" t="s">
        <v>309</v>
      </c>
      <c r="Q73" t="s">
        <v>314</v>
      </c>
      <c r="R73" t="s">
        <v>329</v>
      </c>
      <c r="T73" t="s">
        <v>380</v>
      </c>
      <c r="U73" t="s">
        <v>387</v>
      </c>
      <c r="V73" t="s">
        <v>395</v>
      </c>
      <c r="W73" t="s">
        <v>389</v>
      </c>
      <c r="X73" t="s">
        <v>397</v>
      </c>
      <c r="Y73" t="s">
        <v>389</v>
      </c>
      <c r="Z73" t="s">
        <v>397</v>
      </c>
      <c r="AA73" t="s">
        <v>386</v>
      </c>
      <c r="AB73" t="s">
        <v>394</v>
      </c>
      <c r="AC73" s="2">
        <v>45369</v>
      </c>
      <c r="AD73" s="2">
        <v>45369.79166666666</v>
      </c>
      <c r="AE73" s="2">
        <v>45370.08333333334</v>
      </c>
      <c r="AF73" s="2">
        <v>45372.45833333334</v>
      </c>
      <c r="AG73" s="2">
        <v>45372.45833333334</v>
      </c>
      <c r="AH73" s="2">
        <v>45376.95833333334</v>
      </c>
      <c r="AI73" s="2">
        <v>45378.66666666666</v>
      </c>
      <c r="AJ73" s="2">
        <v>45379.54166666666</v>
      </c>
      <c r="AK73" s="2">
        <v>45379.79166666666</v>
      </c>
      <c r="AL73" s="2">
        <v>45381.04166666666</v>
      </c>
      <c r="AM73" s="2">
        <v>45381.04166666666</v>
      </c>
      <c r="AN73" s="2">
        <v>45404</v>
      </c>
      <c r="AO73">
        <v>3</v>
      </c>
      <c r="AP73" s="2">
        <v>45385.04166666666</v>
      </c>
      <c r="AQ73" s="2">
        <v>45389.04166666666</v>
      </c>
      <c r="AR73" t="s">
        <v>282</v>
      </c>
      <c r="AS73">
        <v>8</v>
      </c>
      <c r="AT73">
        <v>7</v>
      </c>
      <c r="AU73">
        <v>57</v>
      </c>
      <c r="AV73">
        <v>108</v>
      </c>
      <c r="AW73">
        <v>41</v>
      </c>
      <c r="AX73" t="s">
        <v>469</v>
      </c>
      <c r="AY73">
        <v>4</v>
      </c>
      <c r="AZ73">
        <v>8</v>
      </c>
      <c r="BA73">
        <v>4</v>
      </c>
      <c r="BB73">
        <v>6.098685538385181</v>
      </c>
      <c r="BC73">
        <v>7.758478482762985</v>
      </c>
      <c r="BD73">
        <v>6.908958634713361</v>
      </c>
      <c r="BE73">
        <v>13.15829996172749</v>
      </c>
      <c r="BF73">
        <v>8.306329444416111</v>
      </c>
      <c r="BG73">
        <v>42.23075206200514</v>
      </c>
      <c r="BH73">
        <v>54.01381376191576</v>
      </c>
      <c r="BI73">
        <v>289</v>
      </c>
      <c r="BJ73">
        <v>206</v>
      </c>
      <c r="BK73">
        <v>26</v>
      </c>
      <c r="BL73">
        <v>105</v>
      </c>
      <c r="BM73">
        <v>108</v>
      </c>
      <c r="BN73">
        <v>647.7707912746528</v>
      </c>
      <c r="BO73" t="s">
        <v>499</v>
      </c>
      <c r="BP73" t="s">
        <v>502</v>
      </c>
      <c r="BQ73" t="s">
        <v>507</v>
      </c>
      <c r="BR73" t="s">
        <v>550</v>
      </c>
      <c r="BS73" t="b">
        <v>0</v>
      </c>
      <c r="BU73">
        <v>1</v>
      </c>
      <c r="BV73">
        <v>1</v>
      </c>
    </row>
    <row r="74" spans="1:74">
      <c r="A74">
        <v>190843</v>
      </c>
      <c r="B74" t="s">
        <v>146</v>
      </c>
      <c r="C74" t="s">
        <v>246</v>
      </c>
      <c r="D74" t="s">
        <v>277</v>
      </c>
      <c r="E74" t="s">
        <v>279</v>
      </c>
      <c r="F74" t="s">
        <v>285</v>
      </c>
      <c r="G74" t="s">
        <v>294</v>
      </c>
      <c r="H74" t="b">
        <v>1</v>
      </c>
      <c r="I74" t="b">
        <v>0</v>
      </c>
      <c r="J74" t="s">
        <v>296</v>
      </c>
      <c r="K74" t="s">
        <v>297</v>
      </c>
      <c r="L74" t="s">
        <v>301</v>
      </c>
      <c r="M74" t="s">
        <v>305</v>
      </c>
      <c r="N74" t="s">
        <v>306</v>
      </c>
      <c r="O74" t="s">
        <v>307</v>
      </c>
      <c r="P74" t="s">
        <v>308</v>
      </c>
      <c r="Q74" t="s">
        <v>313</v>
      </c>
      <c r="R74" t="s">
        <v>324</v>
      </c>
      <c r="T74" t="s">
        <v>381</v>
      </c>
      <c r="U74" t="s">
        <v>389</v>
      </c>
      <c r="V74" t="s">
        <v>397</v>
      </c>
      <c r="W74" t="s">
        <v>385</v>
      </c>
      <c r="X74" t="s">
        <v>393</v>
      </c>
      <c r="Y74" t="s">
        <v>390</v>
      </c>
      <c r="Z74" t="s">
        <v>398</v>
      </c>
      <c r="AA74" t="s">
        <v>388</v>
      </c>
      <c r="AB74" t="s">
        <v>396</v>
      </c>
      <c r="AC74" s="2">
        <v>45413</v>
      </c>
      <c r="AD74" s="2">
        <v>45415</v>
      </c>
      <c r="AE74" s="2">
        <v>45415.25</v>
      </c>
      <c r="AF74" s="2">
        <v>45415.75</v>
      </c>
      <c r="AG74" s="2">
        <v>45415.75</v>
      </c>
      <c r="AH74" s="2">
        <v>45417.58333333334</v>
      </c>
      <c r="AI74" s="2">
        <v>45419.08333333334</v>
      </c>
      <c r="AJ74" s="2">
        <v>45420.04166666666</v>
      </c>
      <c r="AK74" s="2">
        <v>45420.29166666666</v>
      </c>
      <c r="AL74" s="2">
        <v>45420.54166666666</v>
      </c>
      <c r="AM74" s="2">
        <v>45420.54166666666</v>
      </c>
      <c r="AN74" s="2">
        <v>45472</v>
      </c>
      <c r="AO74">
        <v>1</v>
      </c>
      <c r="AP74" s="2">
        <v>45425.54166666666</v>
      </c>
      <c r="AQ74" s="2">
        <v>45425.54166666666</v>
      </c>
      <c r="AR74" t="s">
        <v>282</v>
      </c>
      <c r="AS74">
        <v>7</v>
      </c>
      <c r="AT74">
        <v>6</v>
      </c>
      <c r="AU74">
        <v>12</v>
      </c>
      <c r="AV74">
        <v>44</v>
      </c>
      <c r="AW74">
        <v>36</v>
      </c>
      <c r="AX74" t="s">
        <v>470</v>
      </c>
      <c r="AY74">
        <v>4</v>
      </c>
      <c r="AZ74">
        <v>7</v>
      </c>
      <c r="BA74">
        <v>2</v>
      </c>
      <c r="BB74">
        <v>5.37224674285411</v>
      </c>
      <c r="BC74">
        <v>7.101044664172356</v>
      </c>
      <c r="BD74">
        <v>13.61410989350225</v>
      </c>
      <c r="BE74">
        <v>15.80914193972417</v>
      </c>
      <c r="BF74">
        <v>8.062012797930613</v>
      </c>
      <c r="BG74">
        <v>49.9585560381835</v>
      </c>
      <c r="BH74">
        <v>38.69681510966437</v>
      </c>
      <c r="BI74">
        <v>181</v>
      </c>
      <c r="BJ74">
        <v>115</v>
      </c>
      <c r="BK74">
        <v>54</v>
      </c>
      <c r="BL74">
        <v>54</v>
      </c>
      <c r="BM74">
        <v>44</v>
      </c>
      <c r="BN74">
        <v>603.7707912747685</v>
      </c>
      <c r="BO74" t="s">
        <v>290</v>
      </c>
      <c r="BP74" t="s">
        <v>503</v>
      </c>
      <c r="BQ74" t="s">
        <v>507</v>
      </c>
      <c r="BR74" t="s">
        <v>551</v>
      </c>
      <c r="BS74" t="b">
        <v>0</v>
      </c>
      <c r="BU74">
        <v>1</v>
      </c>
      <c r="BV74">
        <v>2</v>
      </c>
    </row>
    <row r="75" spans="1:74">
      <c r="A75">
        <v>191645</v>
      </c>
      <c r="B75" t="s">
        <v>147</v>
      </c>
      <c r="C75" t="s">
        <v>247</v>
      </c>
      <c r="D75" t="s">
        <v>275</v>
      </c>
      <c r="E75" t="s">
        <v>281</v>
      </c>
      <c r="F75" t="s">
        <v>285</v>
      </c>
      <c r="G75" t="s">
        <v>293</v>
      </c>
      <c r="H75" t="b">
        <v>0</v>
      </c>
      <c r="I75" t="b">
        <v>0</v>
      </c>
      <c r="J75" t="s">
        <v>296</v>
      </c>
      <c r="K75" t="s">
        <v>297</v>
      </c>
      <c r="L75" t="s">
        <v>301</v>
      </c>
      <c r="M75" t="s">
        <v>305</v>
      </c>
      <c r="N75" t="s">
        <v>306</v>
      </c>
      <c r="O75" t="s">
        <v>307</v>
      </c>
      <c r="P75" t="s">
        <v>312</v>
      </c>
      <c r="Q75" t="s">
        <v>317</v>
      </c>
      <c r="R75" t="s">
        <v>328</v>
      </c>
      <c r="T75" t="s">
        <v>379</v>
      </c>
      <c r="U75" t="s">
        <v>386</v>
      </c>
      <c r="V75" t="s">
        <v>394</v>
      </c>
      <c r="W75" t="s">
        <v>384</v>
      </c>
      <c r="X75" t="s">
        <v>392</v>
      </c>
      <c r="Y75" t="s">
        <v>384</v>
      </c>
      <c r="Z75" t="s">
        <v>392</v>
      </c>
      <c r="AA75" t="s">
        <v>386</v>
      </c>
      <c r="AB75" t="s">
        <v>394</v>
      </c>
      <c r="AC75" s="2">
        <v>45349</v>
      </c>
      <c r="AD75" s="2">
        <v>45349.54166666666</v>
      </c>
      <c r="AE75" s="2">
        <v>45349.75</v>
      </c>
      <c r="AF75" s="2">
        <v>45349.95833333334</v>
      </c>
      <c r="AG75" s="2">
        <v>45349.95833333334</v>
      </c>
      <c r="AH75" s="2">
        <v>45350.5</v>
      </c>
      <c r="AI75" s="2">
        <v>45351.29166666666</v>
      </c>
      <c r="AJ75" s="2">
        <v>45352</v>
      </c>
      <c r="AK75" s="2">
        <v>45352.08333333334</v>
      </c>
      <c r="AL75" s="2">
        <v>45353.33333333334</v>
      </c>
      <c r="AM75" s="2">
        <v>45353.33333333334</v>
      </c>
      <c r="AN75" s="2">
        <v>45382</v>
      </c>
      <c r="AO75">
        <v>1</v>
      </c>
      <c r="AP75" s="2">
        <v>45360.33333333334</v>
      </c>
      <c r="AQ75" s="2">
        <v>45360.33333333334</v>
      </c>
      <c r="AR75" t="s">
        <v>282</v>
      </c>
      <c r="AS75">
        <v>8</v>
      </c>
      <c r="AT75">
        <v>5</v>
      </c>
      <c r="AU75">
        <v>5</v>
      </c>
      <c r="AV75">
        <v>13</v>
      </c>
      <c r="AW75">
        <v>19</v>
      </c>
      <c r="AX75" t="s">
        <v>471</v>
      </c>
      <c r="AY75">
        <v>1</v>
      </c>
      <c r="AZ75">
        <v>10</v>
      </c>
      <c r="BA75">
        <v>2</v>
      </c>
      <c r="BB75">
        <v>6.869175578706335</v>
      </c>
      <c r="BC75">
        <v>10.75947302841922</v>
      </c>
      <c r="BD75">
        <v>15.17130332403476</v>
      </c>
      <c r="BE75">
        <v>3.256253366552923</v>
      </c>
      <c r="BF75">
        <v>7.482596903836583</v>
      </c>
      <c r="BG75">
        <v>43.53880220154981</v>
      </c>
      <c r="BH75">
        <v>49.56981820414742</v>
      </c>
      <c r="BI75">
        <v>104</v>
      </c>
      <c r="BJ75">
        <v>81</v>
      </c>
      <c r="BK75">
        <v>18</v>
      </c>
      <c r="BL75">
        <v>29</v>
      </c>
      <c r="BM75">
        <v>13</v>
      </c>
      <c r="BN75">
        <v>667.7707912748842</v>
      </c>
      <c r="BO75" t="s">
        <v>290</v>
      </c>
      <c r="BP75" t="s">
        <v>502</v>
      </c>
      <c r="BQ75" t="s">
        <v>506</v>
      </c>
      <c r="BS75" t="b">
        <v>0</v>
      </c>
      <c r="BU75">
        <v>1</v>
      </c>
      <c r="BV75">
        <v>2</v>
      </c>
    </row>
    <row r="76" spans="1:74">
      <c r="A76">
        <v>155286</v>
      </c>
      <c r="B76" t="s">
        <v>148</v>
      </c>
      <c r="C76" t="s">
        <v>248</v>
      </c>
      <c r="D76" t="s">
        <v>274</v>
      </c>
      <c r="E76" t="s">
        <v>279</v>
      </c>
      <c r="F76" t="s">
        <v>287</v>
      </c>
      <c r="G76" t="s">
        <v>294</v>
      </c>
      <c r="H76" t="b">
        <v>0</v>
      </c>
      <c r="I76" t="b">
        <v>0</v>
      </c>
      <c r="J76" t="s">
        <v>296</v>
      </c>
      <c r="K76" t="s">
        <v>297</v>
      </c>
      <c r="L76" t="s">
        <v>301</v>
      </c>
      <c r="M76" t="s">
        <v>305</v>
      </c>
      <c r="N76" t="s">
        <v>306</v>
      </c>
      <c r="O76" t="s">
        <v>307</v>
      </c>
      <c r="P76" t="s">
        <v>309</v>
      </c>
      <c r="Q76" t="s">
        <v>314</v>
      </c>
      <c r="R76" t="s">
        <v>325</v>
      </c>
      <c r="T76" t="s">
        <v>381</v>
      </c>
      <c r="U76" t="s">
        <v>390</v>
      </c>
      <c r="V76" t="s">
        <v>398</v>
      </c>
      <c r="W76" t="s">
        <v>386</v>
      </c>
      <c r="X76" t="s">
        <v>394</v>
      </c>
      <c r="Y76" t="s">
        <v>383</v>
      </c>
      <c r="Z76" t="s">
        <v>391</v>
      </c>
      <c r="AA76" t="s">
        <v>386</v>
      </c>
      <c r="AB76" t="s">
        <v>394</v>
      </c>
      <c r="AC76" s="2">
        <v>45418</v>
      </c>
      <c r="AD76" s="2">
        <v>45419.08333333334</v>
      </c>
      <c r="AE76" s="2">
        <v>45419.41666666666</v>
      </c>
      <c r="AF76" s="2">
        <v>45420.25</v>
      </c>
      <c r="AG76" s="2">
        <v>45420.25</v>
      </c>
      <c r="AH76" s="2">
        <v>45424.04166666666</v>
      </c>
      <c r="AI76" s="2">
        <v>45426.04166666666</v>
      </c>
      <c r="AM76" s="2">
        <v>45426.04166666666</v>
      </c>
      <c r="AN76" s="2">
        <v>45425</v>
      </c>
      <c r="AO76">
        <v>0</v>
      </c>
      <c r="AR76" t="s">
        <v>289</v>
      </c>
      <c r="AS76">
        <v>5</v>
      </c>
      <c r="AT76">
        <v>8</v>
      </c>
      <c r="AU76">
        <v>20</v>
      </c>
      <c r="AV76">
        <v>91</v>
      </c>
      <c r="AW76">
        <v>48</v>
      </c>
      <c r="AX76" t="s">
        <v>472</v>
      </c>
      <c r="AY76">
        <v>4</v>
      </c>
      <c r="AZ76">
        <v>7</v>
      </c>
      <c r="BA76">
        <v>1</v>
      </c>
      <c r="BB76">
        <v>5.432096692252575</v>
      </c>
      <c r="BC76">
        <v>22.4198399235387</v>
      </c>
      <c r="BD76">
        <v>15.93579135265405</v>
      </c>
      <c r="BE76">
        <v>9.911960730282027</v>
      </c>
      <c r="BF76">
        <v>0</v>
      </c>
      <c r="BG76">
        <v>53.69968869872735</v>
      </c>
      <c r="BH76">
        <v>67.82293634393596</v>
      </c>
      <c r="BK76">
        <v>34</v>
      </c>
      <c r="BL76">
        <v>76</v>
      </c>
      <c r="BM76">
        <v>91</v>
      </c>
      <c r="BN76">
        <v>598.7707912749884</v>
      </c>
      <c r="BO76" t="s">
        <v>499</v>
      </c>
      <c r="BP76" t="s">
        <v>502</v>
      </c>
      <c r="BS76" t="b">
        <v>0</v>
      </c>
      <c r="BU76">
        <v>0</v>
      </c>
      <c r="BV76">
        <v>2</v>
      </c>
    </row>
    <row r="77" spans="1:74">
      <c r="A77">
        <v>188774</v>
      </c>
      <c r="B77" t="s">
        <v>149</v>
      </c>
      <c r="C77" t="s">
        <v>249</v>
      </c>
      <c r="D77" t="s">
        <v>274</v>
      </c>
      <c r="E77" t="s">
        <v>281</v>
      </c>
      <c r="F77" t="s">
        <v>287</v>
      </c>
      <c r="G77" t="s">
        <v>295</v>
      </c>
      <c r="H77" t="b">
        <v>0</v>
      </c>
      <c r="I77" t="b">
        <v>0</v>
      </c>
      <c r="J77" t="s">
        <v>296</v>
      </c>
      <c r="K77" t="s">
        <v>297</v>
      </c>
      <c r="L77" t="s">
        <v>300</v>
      </c>
      <c r="M77" t="s">
        <v>304</v>
      </c>
      <c r="N77" t="s">
        <v>306</v>
      </c>
      <c r="O77" t="s">
        <v>307</v>
      </c>
      <c r="P77" t="s">
        <v>312</v>
      </c>
      <c r="Q77" t="s">
        <v>317</v>
      </c>
      <c r="R77" t="s">
        <v>331</v>
      </c>
      <c r="T77" t="s">
        <v>377</v>
      </c>
      <c r="U77" t="s">
        <v>388</v>
      </c>
      <c r="V77" t="s">
        <v>396</v>
      </c>
      <c r="W77" t="s">
        <v>387</v>
      </c>
      <c r="X77" t="s">
        <v>395</v>
      </c>
      <c r="Y77" t="s">
        <v>384</v>
      </c>
      <c r="Z77" t="s">
        <v>392</v>
      </c>
      <c r="AA77" t="s">
        <v>390</v>
      </c>
      <c r="AB77" t="s">
        <v>398</v>
      </c>
      <c r="AC77" s="2">
        <v>45319</v>
      </c>
      <c r="AD77" s="2">
        <v>45320.16666666666</v>
      </c>
      <c r="AE77" s="2">
        <v>45320.5</v>
      </c>
      <c r="AF77" s="2">
        <v>45321.5</v>
      </c>
      <c r="AG77" s="2">
        <v>45321.5</v>
      </c>
      <c r="AH77" s="2">
        <v>45326.08333333334</v>
      </c>
      <c r="AI77" s="2">
        <v>45328.08333333334</v>
      </c>
      <c r="AM77" s="2">
        <v>45328.08333333334</v>
      </c>
      <c r="AN77" s="2">
        <v>45359</v>
      </c>
      <c r="AO77">
        <v>0</v>
      </c>
      <c r="AR77" t="s">
        <v>289</v>
      </c>
      <c r="AS77">
        <v>6</v>
      </c>
      <c r="AT77">
        <v>8</v>
      </c>
      <c r="AU77">
        <v>24</v>
      </c>
      <c r="AV77">
        <v>110</v>
      </c>
      <c r="AW77">
        <v>48</v>
      </c>
      <c r="AX77" t="s">
        <v>473</v>
      </c>
      <c r="AY77">
        <v>1</v>
      </c>
      <c r="AZ77">
        <v>7</v>
      </c>
      <c r="BA77">
        <v>1</v>
      </c>
      <c r="BB77">
        <v>4.762314525016037</v>
      </c>
      <c r="BC77">
        <v>28.86924098530243</v>
      </c>
      <c r="BD77">
        <v>15.8975537844938</v>
      </c>
      <c r="BE77">
        <v>6.713362849465323</v>
      </c>
      <c r="BF77">
        <v>0</v>
      </c>
      <c r="BG77">
        <v>56.24247214427759</v>
      </c>
      <c r="BH77">
        <v>45.48552790626081</v>
      </c>
      <c r="BK77">
        <v>36</v>
      </c>
      <c r="BL77">
        <v>80</v>
      </c>
      <c r="BM77">
        <v>110</v>
      </c>
      <c r="BN77">
        <v>697.7707912750926</v>
      </c>
      <c r="BO77" t="s">
        <v>498</v>
      </c>
      <c r="BP77" t="s">
        <v>503</v>
      </c>
      <c r="BR77" t="s">
        <v>552</v>
      </c>
      <c r="BS77" t="b">
        <v>0</v>
      </c>
      <c r="BU77">
        <v>0</v>
      </c>
      <c r="BV77">
        <v>2</v>
      </c>
    </row>
    <row r="78" spans="1:74">
      <c r="A78">
        <v>188984</v>
      </c>
      <c r="B78" t="s">
        <v>150</v>
      </c>
      <c r="C78" t="s">
        <v>250</v>
      </c>
      <c r="D78" t="s">
        <v>275</v>
      </c>
      <c r="E78" t="s">
        <v>279</v>
      </c>
      <c r="F78" t="s">
        <v>285</v>
      </c>
      <c r="G78" t="s">
        <v>290</v>
      </c>
      <c r="H78" t="b">
        <v>0</v>
      </c>
      <c r="I78" t="b">
        <v>0</v>
      </c>
      <c r="J78" t="s">
        <v>296</v>
      </c>
      <c r="K78" t="s">
        <v>297</v>
      </c>
      <c r="L78" t="s">
        <v>299</v>
      </c>
      <c r="M78" t="s">
        <v>303</v>
      </c>
      <c r="N78" t="s">
        <v>306</v>
      </c>
      <c r="O78" t="s">
        <v>307</v>
      </c>
      <c r="P78" t="s">
        <v>309</v>
      </c>
      <c r="Q78" t="s">
        <v>314</v>
      </c>
      <c r="R78" t="s">
        <v>336</v>
      </c>
      <c r="T78" t="s">
        <v>382</v>
      </c>
      <c r="U78" t="s">
        <v>383</v>
      </c>
      <c r="V78" t="s">
        <v>391</v>
      </c>
      <c r="W78" t="s">
        <v>390</v>
      </c>
      <c r="X78" t="s">
        <v>398</v>
      </c>
      <c r="Y78" t="s">
        <v>389</v>
      </c>
      <c r="Z78" t="s">
        <v>397</v>
      </c>
      <c r="AA78" t="s">
        <v>387</v>
      </c>
      <c r="AB78" t="s">
        <v>395</v>
      </c>
      <c r="AC78" s="2">
        <v>45410</v>
      </c>
      <c r="AD78" s="2">
        <v>45410.16666666666</v>
      </c>
      <c r="AE78" s="2">
        <v>45410.91666666666</v>
      </c>
      <c r="AF78" s="2">
        <v>45412.29166666666</v>
      </c>
      <c r="AG78" s="2">
        <v>45412.29166666666</v>
      </c>
      <c r="AH78" s="2">
        <v>45417.125</v>
      </c>
      <c r="AI78" s="2">
        <v>45417.58333333334</v>
      </c>
      <c r="AJ78" s="2">
        <v>45418.25</v>
      </c>
      <c r="AK78" s="2">
        <v>45418.375</v>
      </c>
      <c r="AL78" s="2">
        <v>45419.625</v>
      </c>
      <c r="AM78" s="2">
        <v>45419.625</v>
      </c>
      <c r="AN78" s="2">
        <v>45459</v>
      </c>
      <c r="AO78">
        <v>2</v>
      </c>
      <c r="AP78" s="2">
        <v>45427.625</v>
      </c>
      <c r="AQ78" s="2">
        <v>45431.625</v>
      </c>
      <c r="AR78" t="s">
        <v>282</v>
      </c>
      <c r="AS78">
        <v>10</v>
      </c>
      <c r="AT78">
        <v>18</v>
      </c>
      <c r="AU78">
        <v>33</v>
      </c>
      <c r="AV78">
        <v>116</v>
      </c>
      <c r="AW78">
        <v>11</v>
      </c>
      <c r="AX78" t="s">
        <v>474</v>
      </c>
      <c r="AY78">
        <v>0</v>
      </c>
      <c r="AZ78">
        <v>12</v>
      </c>
      <c r="BA78">
        <v>3</v>
      </c>
      <c r="BB78">
        <v>1.202560758710694</v>
      </c>
      <c r="BC78">
        <v>26.74769769199152</v>
      </c>
      <c r="BD78">
        <v>2.278519009449462</v>
      </c>
      <c r="BE78">
        <v>15.54871596721905</v>
      </c>
      <c r="BF78">
        <v>7.40944205582764</v>
      </c>
      <c r="BG78">
        <v>53.18693548319836</v>
      </c>
      <c r="BH78">
        <v>39.35289444762503</v>
      </c>
      <c r="BI78">
        <v>231</v>
      </c>
      <c r="BJ78">
        <v>176</v>
      </c>
      <c r="BK78">
        <v>22</v>
      </c>
      <c r="BL78">
        <v>62</v>
      </c>
      <c r="BM78">
        <v>116</v>
      </c>
      <c r="BN78">
        <v>606.7707912752084</v>
      </c>
      <c r="BO78" t="s">
        <v>500</v>
      </c>
      <c r="BP78" t="s">
        <v>502</v>
      </c>
      <c r="BQ78" t="s">
        <v>507</v>
      </c>
      <c r="BS78" t="b">
        <v>0</v>
      </c>
      <c r="BU78">
        <v>3</v>
      </c>
      <c r="BV78">
        <v>2</v>
      </c>
    </row>
    <row r="79" spans="1:74">
      <c r="A79">
        <v>189382</v>
      </c>
      <c r="B79" t="s">
        <v>151</v>
      </c>
      <c r="C79" t="s">
        <v>251</v>
      </c>
      <c r="D79" t="s">
        <v>277</v>
      </c>
      <c r="E79" t="s">
        <v>279</v>
      </c>
      <c r="F79" t="s">
        <v>282</v>
      </c>
      <c r="G79" t="s">
        <v>290</v>
      </c>
      <c r="H79" t="b">
        <v>0</v>
      </c>
      <c r="I79" t="b">
        <v>0</v>
      </c>
      <c r="J79" t="s">
        <v>296</v>
      </c>
      <c r="K79" t="s">
        <v>297</v>
      </c>
      <c r="L79" t="s">
        <v>299</v>
      </c>
      <c r="M79" t="s">
        <v>303</v>
      </c>
      <c r="N79" t="s">
        <v>306</v>
      </c>
      <c r="O79" t="s">
        <v>307</v>
      </c>
      <c r="P79" t="s">
        <v>310</v>
      </c>
      <c r="Q79" t="s">
        <v>315</v>
      </c>
      <c r="R79" t="s">
        <v>335</v>
      </c>
      <c r="T79" t="s">
        <v>382</v>
      </c>
      <c r="U79" t="s">
        <v>383</v>
      </c>
      <c r="V79" t="s">
        <v>391</v>
      </c>
      <c r="W79" t="s">
        <v>384</v>
      </c>
      <c r="X79" t="s">
        <v>392</v>
      </c>
      <c r="Y79" t="s">
        <v>384</v>
      </c>
      <c r="Z79" t="s">
        <v>392</v>
      </c>
      <c r="AA79" t="s">
        <v>387</v>
      </c>
      <c r="AB79" t="s">
        <v>395</v>
      </c>
      <c r="AC79" s="2">
        <v>45421</v>
      </c>
      <c r="AD79" s="2">
        <v>45422.16666666666</v>
      </c>
      <c r="AE79" s="2">
        <v>45422.91666666666</v>
      </c>
      <c r="AF79" s="2">
        <v>45425.375</v>
      </c>
      <c r="AG79" s="2">
        <v>45425.375</v>
      </c>
      <c r="AH79" s="2">
        <v>45426.54166666666</v>
      </c>
      <c r="AI79" s="2">
        <v>45427.95833333334</v>
      </c>
      <c r="AJ79" s="2">
        <v>45428.625</v>
      </c>
      <c r="AK79" s="2">
        <v>45428.625</v>
      </c>
      <c r="AM79" s="2">
        <v>45428.625</v>
      </c>
      <c r="AN79" s="2">
        <v>45444</v>
      </c>
      <c r="AO79">
        <v>0</v>
      </c>
      <c r="AR79" t="s">
        <v>287</v>
      </c>
      <c r="AS79">
        <v>9</v>
      </c>
      <c r="AT79">
        <v>18</v>
      </c>
      <c r="AU79">
        <v>59</v>
      </c>
      <c r="AV79">
        <v>28</v>
      </c>
      <c r="AW79">
        <v>34</v>
      </c>
      <c r="AX79" t="s">
        <v>475</v>
      </c>
      <c r="AY79">
        <v>3</v>
      </c>
      <c r="AZ79">
        <v>9</v>
      </c>
      <c r="BA79">
        <v>1</v>
      </c>
      <c r="BB79">
        <v>3.257868522945752</v>
      </c>
      <c r="BC79">
        <v>11.91742198089177</v>
      </c>
      <c r="BD79">
        <v>10.14119594170034</v>
      </c>
      <c r="BE79">
        <v>13.63178384703563</v>
      </c>
      <c r="BF79">
        <v>0</v>
      </c>
      <c r="BG79">
        <v>38.94827029257349</v>
      </c>
      <c r="BH79">
        <v>44.58300962557552</v>
      </c>
      <c r="BK79">
        <v>46</v>
      </c>
      <c r="BL79">
        <v>111</v>
      </c>
      <c r="BM79">
        <v>28</v>
      </c>
      <c r="BN79">
        <v>595.7707912753125</v>
      </c>
      <c r="BO79" t="s">
        <v>500</v>
      </c>
      <c r="BP79" t="s">
        <v>502</v>
      </c>
      <c r="BR79" t="s">
        <v>553</v>
      </c>
      <c r="BS79" t="b">
        <v>0</v>
      </c>
      <c r="BU79">
        <v>2</v>
      </c>
      <c r="BV79">
        <v>1</v>
      </c>
    </row>
    <row r="80" spans="1:74">
      <c r="A80">
        <v>190825</v>
      </c>
      <c r="B80" t="s">
        <v>152</v>
      </c>
      <c r="C80" t="s">
        <v>252</v>
      </c>
      <c r="D80" t="s">
        <v>274</v>
      </c>
      <c r="E80" t="s">
        <v>280</v>
      </c>
      <c r="F80" t="s">
        <v>285</v>
      </c>
      <c r="G80" t="s">
        <v>291</v>
      </c>
      <c r="H80" t="b">
        <v>0</v>
      </c>
      <c r="I80" t="b">
        <v>1</v>
      </c>
      <c r="J80" t="s">
        <v>296</v>
      </c>
      <c r="K80" t="s">
        <v>297</v>
      </c>
      <c r="L80" t="s">
        <v>299</v>
      </c>
      <c r="M80" t="s">
        <v>303</v>
      </c>
      <c r="N80" t="s">
        <v>306</v>
      </c>
      <c r="O80" t="s">
        <v>307</v>
      </c>
      <c r="P80" t="s">
        <v>311</v>
      </c>
      <c r="Q80" t="s">
        <v>316</v>
      </c>
      <c r="R80" t="s">
        <v>337</v>
      </c>
      <c r="S80" t="s">
        <v>369</v>
      </c>
      <c r="T80" t="s">
        <v>377</v>
      </c>
      <c r="U80" t="s">
        <v>383</v>
      </c>
      <c r="V80" t="s">
        <v>391</v>
      </c>
      <c r="W80" t="s">
        <v>388</v>
      </c>
      <c r="X80" t="s">
        <v>396</v>
      </c>
      <c r="Y80" t="s">
        <v>389</v>
      </c>
      <c r="Z80" t="s">
        <v>397</v>
      </c>
      <c r="AA80" t="s">
        <v>389</v>
      </c>
      <c r="AB80" t="s">
        <v>397</v>
      </c>
      <c r="AC80" s="2">
        <v>45355</v>
      </c>
      <c r="AD80" s="2">
        <v>45356.70833333334</v>
      </c>
      <c r="AE80" s="2">
        <v>45357.08333333334</v>
      </c>
      <c r="AF80" s="2">
        <v>45359.91666666666</v>
      </c>
      <c r="AG80" s="2">
        <v>45359.91666666666</v>
      </c>
      <c r="AH80" s="2">
        <v>45362.83333333334</v>
      </c>
      <c r="AI80" s="2">
        <v>45364.66666666666</v>
      </c>
      <c r="AJ80" s="2">
        <v>45365.04166666666</v>
      </c>
      <c r="AK80" s="2">
        <v>45365.25</v>
      </c>
      <c r="AL80" s="2">
        <v>45366.45833333334</v>
      </c>
      <c r="AM80" s="2">
        <v>45366.45833333334</v>
      </c>
      <c r="AN80" s="2">
        <v>45366</v>
      </c>
      <c r="AO80">
        <v>2</v>
      </c>
      <c r="AP80" s="2">
        <v>45370.45833333334</v>
      </c>
      <c r="AQ80" s="2">
        <v>45372.45833333334</v>
      </c>
      <c r="AR80" t="s">
        <v>282</v>
      </c>
      <c r="AS80">
        <v>9</v>
      </c>
      <c r="AT80">
        <v>9</v>
      </c>
      <c r="AU80">
        <v>68</v>
      </c>
      <c r="AV80">
        <v>70</v>
      </c>
      <c r="AW80">
        <v>44</v>
      </c>
      <c r="AX80" t="s">
        <v>476</v>
      </c>
      <c r="AY80">
        <v>3</v>
      </c>
      <c r="AZ80">
        <v>10</v>
      </c>
      <c r="BA80">
        <v>3</v>
      </c>
      <c r="BB80">
        <v>2.489017757612941</v>
      </c>
      <c r="BC80">
        <v>38.23974594586457</v>
      </c>
      <c r="BD80">
        <v>1.622395820324563</v>
      </c>
      <c r="BE80">
        <v>13.57493057066707</v>
      </c>
      <c r="BF80">
        <v>12.36509543060592</v>
      </c>
      <c r="BG80">
        <v>68.29118552507506</v>
      </c>
      <c r="BH80">
        <v>71.34269983835463</v>
      </c>
      <c r="BI80">
        <v>275</v>
      </c>
      <c r="BJ80">
        <v>157</v>
      </c>
      <c r="BK80">
        <v>50</v>
      </c>
      <c r="BL80">
        <v>121</v>
      </c>
      <c r="BM80">
        <v>70</v>
      </c>
      <c r="BN80">
        <v>661.7707912754282</v>
      </c>
      <c r="BO80" t="s">
        <v>500</v>
      </c>
      <c r="BP80" t="s">
        <v>502</v>
      </c>
      <c r="BQ80" t="s">
        <v>505</v>
      </c>
      <c r="BS80" t="b">
        <v>1</v>
      </c>
      <c r="BT80">
        <v>192159</v>
      </c>
      <c r="BU80">
        <v>2</v>
      </c>
      <c r="BV80">
        <v>0</v>
      </c>
    </row>
    <row r="81" spans="1:74">
      <c r="A81">
        <v>191561</v>
      </c>
      <c r="B81" t="s">
        <v>153</v>
      </c>
      <c r="C81" t="s">
        <v>253</v>
      </c>
      <c r="D81" t="s">
        <v>276</v>
      </c>
      <c r="E81" t="s">
        <v>281</v>
      </c>
      <c r="F81" t="s">
        <v>285</v>
      </c>
      <c r="G81" t="s">
        <v>294</v>
      </c>
      <c r="H81" t="b">
        <v>0</v>
      </c>
      <c r="I81" t="b">
        <v>0</v>
      </c>
      <c r="J81" t="s">
        <v>296</v>
      </c>
      <c r="K81" t="s">
        <v>297</v>
      </c>
      <c r="L81" t="s">
        <v>301</v>
      </c>
      <c r="M81" t="s">
        <v>305</v>
      </c>
      <c r="N81" t="s">
        <v>306</v>
      </c>
      <c r="O81" t="s">
        <v>307</v>
      </c>
      <c r="P81" t="s">
        <v>310</v>
      </c>
      <c r="Q81" t="s">
        <v>315</v>
      </c>
      <c r="R81" t="s">
        <v>329</v>
      </c>
      <c r="S81" t="s">
        <v>370</v>
      </c>
      <c r="T81" t="s">
        <v>380</v>
      </c>
      <c r="U81" t="s">
        <v>388</v>
      </c>
      <c r="V81" t="s">
        <v>396</v>
      </c>
      <c r="W81" t="s">
        <v>388</v>
      </c>
      <c r="X81" t="s">
        <v>396</v>
      </c>
      <c r="Y81" t="s">
        <v>388</v>
      </c>
      <c r="Z81" t="s">
        <v>396</v>
      </c>
      <c r="AA81" t="s">
        <v>384</v>
      </c>
      <c r="AB81" t="s">
        <v>392</v>
      </c>
      <c r="AC81" s="2">
        <v>45377</v>
      </c>
      <c r="AD81" s="2">
        <v>45377.875</v>
      </c>
      <c r="AE81" s="2">
        <v>45378.625</v>
      </c>
      <c r="AF81" s="2">
        <v>45379.125</v>
      </c>
      <c r="AG81" s="2">
        <v>45379.125</v>
      </c>
      <c r="AH81" s="2">
        <v>45380.16666666666</v>
      </c>
      <c r="AI81" s="2">
        <v>45380.70833333334</v>
      </c>
      <c r="AJ81" s="2">
        <v>45381.08333333334</v>
      </c>
      <c r="AK81" s="2">
        <v>45381.375</v>
      </c>
      <c r="AL81" s="2">
        <v>45383.25</v>
      </c>
      <c r="AM81" s="2">
        <v>45383.25</v>
      </c>
      <c r="AN81" s="2">
        <v>45393</v>
      </c>
      <c r="AO81">
        <v>1</v>
      </c>
      <c r="AP81" s="2">
        <v>45385.25</v>
      </c>
      <c r="AQ81" s="2">
        <v>45385.25</v>
      </c>
      <c r="AR81" t="s">
        <v>282</v>
      </c>
      <c r="AS81">
        <v>10</v>
      </c>
      <c r="AT81">
        <v>18</v>
      </c>
      <c r="AU81">
        <v>12</v>
      </c>
      <c r="AV81">
        <v>25</v>
      </c>
      <c r="AW81">
        <v>13</v>
      </c>
      <c r="AX81" t="s">
        <v>477</v>
      </c>
      <c r="AY81">
        <v>3</v>
      </c>
      <c r="AZ81">
        <v>10</v>
      </c>
      <c r="BA81">
        <v>2</v>
      </c>
      <c r="BB81">
        <v>2.329922325343127</v>
      </c>
      <c r="BC81">
        <v>29.77797975113497</v>
      </c>
      <c r="BD81">
        <v>11.21581320531284</v>
      </c>
      <c r="BE81">
        <v>8.030397396924554</v>
      </c>
      <c r="BF81">
        <v>3.689136395697724</v>
      </c>
      <c r="BG81">
        <v>55.04324907441322</v>
      </c>
      <c r="BH81">
        <v>66.33246897435775</v>
      </c>
      <c r="BI81">
        <v>150</v>
      </c>
      <c r="BJ81">
        <v>99</v>
      </c>
      <c r="BK81">
        <v>39</v>
      </c>
      <c r="BL81">
        <v>43</v>
      </c>
      <c r="BM81">
        <v>25</v>
      </c>
      <c r="BN81">
        <v>639.7707912755324</v>
      </c>
      <c r="BO81" t="s">
        <v>290</v>
      </c>
      <c r="BP81" t="s">
        <v>502</v>
      </c>
      <c r="BQ81" t="s">
        <v>507</v>
      </c>
      <c r="BR81" t="s">
        <v>554</v>
      </c>
      <c r="BS81" t="b">
        <v>0</v>
      </c>
      <c r="BU81">
        <v>2</v>
      </c>
      <c r="BV81">
        <v>0</v>
      </c>
    </row>
    <row r="82" spans="1:74">
      <c r="A82">
        <v>191563</v>
      </c>
      <c r="B82" t="s">
        <v>154</v>
      </c>
      <c r="C82" t="s">
        <v>254</v>
      </c>
      <c r="D82" t="s">
        <v>275</v>
      </c>
      <c r="E82" t="s">
        <v>279</v>
      </c>
      <c r="F82" t="s">
        <v>285</v>
      </c>
      <c r="G82" t="s">
        <v>295</v>
      </c>
      <c r="H82" t="b">
        <v>0</v>
      </c>
      <c r="I82" t="b">
        <v>0</v>
      </c>
      <c r="J82" t="s">
        <v>296</v>
      </c>
      <c r="K82" t="s">
        <v>297</v>
      </c>
      <c r="L82" t="s">
        <v>299</v>
      </c>
      <c r="M82" t="s">
        <v>303</v>
      </c>
      <c r="N82" t="s">
        <v>306</v>
      </c>
      <c r="O82" t="s">
        <v>307</v>
      </c>
      <c r="P82" t="s">
        <v>312</v>
      </c>
      <c r="Q82" t="s">
        <v>317</v>
      </c>
      <c r="R82" t="s">
        <v>327</v>
      </c>
      <c r="T82" t="s">
        <v>377</v>
      </c>
      <c r="U82" t="s">
        <v>388</v>
      </c>
      <c r="V82" t="s">
        <v>396</v>
      </c>
      <c r="W82" t="s">
        <v>383</v>
      </c>
      <c r="X82" t="s">
        <v>391</v>
      </c>
      <c r="Y82" t="s">
        <v>387</v>
      </c>
      <c r="Z82" t="s">
        <v>395</v>
      </c>
      <c r="AA82" t="s">
        <v>388</v>
      </c>
      <c r="AB82" t="s">
        <v>396</v>
      </c>
      <c r="AC82" s="2">
        <v>45398</v>
      </c>
      <c r="AD82" s="2">
        <v>45399.125</v>
      </c>
      <c r="AE82" s="2">
        <v>45399.58333333334</v>
      </c>
      <c r="AF82" s="2">
        <v>45402.54166666666</v>
      </c>
      <c r="AG82" s="2">
        <v>45402.54166666666</v>
      </c>
      <c r="AH82" s="2">
        <v>45405.33333333334</v>
      </c>
      <c r="AI82" s="2">
        <v>45406.58333333334</v>
      </c>
      <c r="AJ82" s="2">
        <v>45406.70833333334</v>
      </c>
      <c r="AK82" s="2">
        <v>45406.875</v>
      </c>
      <c r="AL82" s="2">
        <v>45408</v>
      </c>
      <c r="AM82" s="2">
        <v>45408</v>
      </c>
      <c r="AN82" s="2">
        <v>45429</v>
      </c>
      <c r="AO82">
        <v>0</v>
      </c>
      <c r="AR82" t="s">
        <v>282</v>
      </c>
      <c r="AS82">
        <v>9</v>
      </c>
      <c r="AT82">
        <v>11</v>
      </c>
      <c r="AU82">
        <v>71</v>
      </c>
      <c r="AV82">
        <v>67</v>
      </c>
      <c r="AW82">
        <v>30</v>
      </c>
      <c r="AX82" t="s">
        <v>478</v>
      </c>
      <c r="AY82">
        <v>4</v>
      </c>
      <c r="AZ82">
        <v>9</v>
      </c>
      <c r="BA82">
        <v>1</v>
      </c>
      <c r="BB82">
        <v>7.797579160643342</v>
      </c>
      <c r="BC82">
        <v>22.61980804794463</v>
      </c>
      <c r="BD82">
        <v>9.109844776780852</v>
      </c>
      <c r="BE82">
        <v>7.222292535064978</v>
      </c>
      <c r="BF82">
        <v>0</v>
      </c>
      <c r="BG82">
        <v>46.7495245204338</v>
      </c>
      <c r="BH82">
        <v>36.64524245332568</v>
      </c>
      <c r="BI82">
        <v>240</v>
      </c>
      <c r="BJ82">
        <v>131</v>
      </c>
      <c r="BK82">
        <v>38</v>
      </c>
      <c r="BL82">
        <v>112</v>
      </c>
      <c r="BM82">
        <v>67</v>
      </c>
      <c r="BN82">
        <v>618.7707912756365</v>
      </c>
      <c r="BO82" t="s">
        <v>290</v>
      </c>
      <c r="BP82" t="s">
        <v>502</v>
      </c>
      <c r="BQ82" t="s">
        <v>506</v>
      </c>
      <c r="BR82" t="s">
        <v>555</v>
      </c>
      <c r="BS82" t="b">
        <v>0</v>
      </c>
      <c r="BU82">
        <v>2</v>
      </c>
      <c r="BV82">
        <v>1</v>
      </c>
    </row>
    <row r="83" spans="1:74">
      <c r="A83">
        <v>191574</v>
      </c>
      <c r="B83" t="s">
        <v>155</v>
      </c>
      <c r="C83" t="s">
        <v>255</v>
      </c>
      <c r="D83" t="s">
        <v>274</v>
      </c>
      <c r="E83" t="s">
        <v>281</v>
      </c>
      <c r="F83" t="s">
        <v>288</v>
      </c>
      <c r="G83" t="s">
        <v>291</v>
      </c>
      <c r="H83" t="b">
        <v>1</v>
      </c>
      <c r="I83" t="b">
        <v>0</v>
      </c>
      <c r="J83" t="s">
        <v>296</v>
      </c>
      <c r="K83" t="s">
        <v>297</v>
      </c>
      <c r="L83" t="s">
        <v>299</v>
      </c>
      <c r="M83" t="s">
        <v>303</v>
      </c>
      <c r="N83" t="s">
        <v>306</v>
      </c>
      <c r="O83" t="s">
        <v>307</v>
      </c>
      <c r="P83" t="s">
        <v>311</v>
      </c>
      <c r="Q83" t="s">
        <v>316</v>
      </c>
      <c r="R83" t="s">
        <v>337</v>
      </c>
      <c r="S83" t="s">
        <v>371</v>
      </c>
      <c r="T83" t="s">
        <v>379</v>
      </c>
      <c r="U83" t="s">
        <v>388</v>
      </c>
      <c r="V83" t="s">
        <v>396</v>
      </c>
      <c r="W83" t="s">
        <v>387</v>
      </c>
      <c r="X83" t="s">
        <v>395</v>
      </c>
      <c r="AC83" s="2">
        <v>45439</v>
      </c>
      <c r="AD83" s="2">
        <v>45440.04166666666</v>
      </c>
      <c r="AE83" s="2">
        <v>45440.70833333334</v>
      </c>
      <c r="AF83" s="2">
        <v>45440.79166666666</v>
      </c>
      <c r="AG83" s="2">
        <v>45440.79166666666</v>
      </c>
      <c r="AM83" s="2">
        <v>45440.79166666666</v>
      </c>
      <c r="AN83" s="2">
        <v>45468</v>
      </c>
      <c r="AO83">
        <v>0</v>
      </c>
      <c r="AR83" t="s">
        <v>284</v>
      </c>
      <c r="AS83">
        <v>6</v>
      </c>
      <c r="AT83">
        <v>16</v>
      </c>
      <c r="AU83">
        <v>2</v>
      </c>
      <c r="AX83" t="s">
        <v>479</v>
      </c>
      <c r="AY83">
        <v>0</v>
      </c>
      <c r="AZ83">
        <v>8</v>
      </c>
      <c r="BA83">
        <v>1</v>
      </c>
      <c r="BB83">
        <v>3.448232935000703</v>
      </c>
      <c r="BC83">
        <v>24.85710910313973</v>
      </c>
      <c r="BD83">
        <v>17.81023156378685</v>
      </c>
      <c r="BE83">
        <v>5.101106078960593</v>
      </c>
      <c r="BF83">
        <v>0</v>
      </c>
      <c r="BG83">
        <v>51.21667968088788</v>
      </c>
      <c r="BH83">
        <v>60.29024647994677</v>
      </c>
      <c r="BK83">
        <v>41</v>
      </c>
      <c r="BL83">
        <v>18</v>
      </c>
      <c r="BM83">
        <v>0</v>
      </c>
      <c r="BN83">
        <v>577.7707912757407</v>
      </c>
      <c r="BS83" t="b">
        <v>0</v>
      </c>
      <c r="BU83">
        <v>0</v>
      </c>
      <c r="BV83">
        <v>0</v>
      </c>
    </row>
    <row r="84" spans="1:74">
      <c r="A84">
        <v>191634</v>
      </c>
      <c r="B84" t="s">
        <v>156</v>
      </c>
      <c r="C84" t="s">
        <v>256</v>
      </c>
      <c r="D84" t="s">
        <v>276</v>
      </c>
      <c r="E84" t="s">
        <v>280</v>
      </c>
      <c r="F84" t="s">
        <v>288</v>
      </c>
      <c r="G84" t="s">
        <v>293</v>
      </c>
      <c r="H84" t="b">
        <v>0</v>
      </c>
      <c r="I84" t="b">
        <v>0</v>
      </c>
      <c r="J84" t="s">
        <v>296</v>
      </c>
      <c r="K84" t="s">
        <v>297</v>
      </c>
      <c r="L84" t="s">
        <v>301</v>
      </c>
      <c r="M84" t="s">
        <v>305</v>
      </c>
      <c r="N84" t="s">
        <v>306</v>
      </c>
      <c r="O84" t="s">
        <v>307</v>
      </c>
      <c r="P84" t="s">
        <v>309</v>
      </c>
      <c r="Q84" t="s">
        <v>314</v>
      </c>
      <c r="R84" t="s">
        <v>340</v>
      </c>
      <c r="T84" t="s">
        <v>379</v>
      </c>
      <c r="U84" t="s">
        <v>388</v>
      </c>
      <c r="V84" t="s">
        <v>396</v>
      </c>
      <c r="W84" t="s">
        <v>385</v>
      </c>
      <c r="X84" t="s">
        <v>393</v>
      </c>
      <c r="AC84" s="2">
        <v>45368</v>
      </c>
      <c r="AD84" s="2">
        <v>45369.04166666666</v>
      </c>
      <c r="AE84" s="2">
        <v>45369.625</v>
      </c>
      <c r="AF84" s="2">
        <v>45372.54166666666</v>
      </c>
      <c r="AG84" s="2">
        <v>45372.54166666666</v>
      </c>
      <c r="AM84" s="2">
        <v>45372.54166666666</v>
      </c>
      <c r="AN84" s="2">
        <v>45422</v>
      </c>
      <c r="AO84">
        <v>0</v>
      </c>
      <c r="AR84" t="s">
        <v>284</v>
      </c>
      <c r="AS84">
        <v>3</v>
      </c>
      <c r="AT84">
        <v>14</v>
      </c>
      <c r="AU84">
        <v>70</v>
      </c>
      <c r="AX84" t="s">
        <v>480</v>
      </c>
      <c r="AY84">
        <v>4</v>
      </c>
      <c r="AZ84">
        <v>4</v>
      </c>
      <c r="BA84">
        <v>1</v>
      </c>
      <c r="BB84">
        <v>7.190349163828349</v>
      </c>
      <c r="BC84">
        <v>17.36440243468381</v>
      </c>
      <c r="BD84">
        <v>7.342842744765535</v>
      </c>
      <c r="BE84">
        <v>1.845632449763907</v>
      </c>
      <c r="BF84">
        <v>0</v>
      </c>
      <c r="BG84">
        <v>33.74322679304159</v>
      </c>
      <c r="BH84">
        <v>27.70239258795565</v>
      </c>
      <c r="BK84">
        <v>39</v>
      </c>
      <c r="BL84">
        <v>84</v>
      </c>
      <c r="BM84">
        <v>0</v>
      </c>
      <c r="BN84">
        <v>648.7707912758565</v>
      </c>
      <c r="BR84" t="s">
        <v>556</v>
      </c>
      <c r="BS84" t="b">
        <v>0</v>
      </c>
      <c r="BU84">
        <v>0</v>
      </c>
      <c r="BV84">
        <v>0</v>
      </c>
    </row>
    <row r="85" spans="1:74">
      <c r="A85">
        <v>191665</v>
      </c>
      <c r="B85" t="s">
        <v>157</v>
      </c>
      <c r="C85" t="s">
        <v>257</v>
      </c>
      <c r="D85" t="s">
        <v>277</v>
      </c>
      <c r="E85" t="s">
        <v>280</v>
      </c>
      <c r="F85" t="s">
        <v>283</v>
      </c>
      <c r="G85" t="s">
        <v>291</v>
      </c>
      <c r="H85" t="b">
        <v>0</v>
      </c>
      <c r="I85" t="b">
        <v>0</v>
      </c>
      <c r="J85" t="s">
        <v>296</v>
      </c>
      <c r="K85" t="s">
        <v>297</v>
      </c>
      <c r="L85" t="s">
        <v>298</v>
      </c>
      <c r="M85" t="s">
        <v>302</v>
      </c>
      <c r="N85" t="s">
        <v>306</v>
      </c>
      <c r="O85" t="s">
        <v>307</v>
      </c>
      <c r="P85" t="s">
        <v>311</v>
      </c>
      <c r="Q85" t="s">
        <v>316</v>
      </c>
      <c r="R85" t="s">
        <v>339</v>
      </c>
      <c r="T85" t="s">
        <v>382</v>
      </c>
      <c r="U85" t="s">
        <v>383</v>
      </c>
      <c r="V85" t="s">
        <v>391</v>
      </c>
      <c r="W85" t="s">
        <v>389</v>
      </c>
      <c r="X85" t="s">
        <v>397</v>
      </c>
      <c r="AC85" s="2">
        <v>45431</v>
      </c>
      <c r="AD85" s="2">
        <v>45432.625</v>
      </c>
      <c r="AM85" s="2">
        <v>45432.625</v>
      </c>
      <c r="AN85" s="2">
        <v>45452</v>
      </c>
      <c r="AO85">
        <v>0</v>
      </c>
      <c r="AR85" t="s">
        <v>286</v>
      </c>
      <c r="AS85">
        <v>4</v>
      </c>
      <c r="AX85" t="s">
        <v>481</v>
      </c>
      <c r="AY85">
        <v>4</v>
      </c>
      <c r="AZ85">
        <v>6</v>
      </c>
      <c r="BA85">
        <v>1</v>
      </c>
      <c r="BB85">
        <v>5.233539694979472</v>
      </c>
      <c r="BC85">
        <v>10.66150859054514</v>
      </c>
      <c r="BD85">
        <v>2.782806820338315</v>
      </c>
      <c r="BE85">
        <v>13.9708356438258</v>
      </c>
      <c r="BF85">
        <v>0</v>
      </c>
      <c r="BG85">
        <v>32.64869074968873</v>
      </c>
      <c r="BH85">
        <v>26.05997488556477</v>
      </c>
      <c r="BL85">
        <v>0</v>
      </c>
      <c r="BM85">
        <v>0</v>
      </c>
      <c r="BN85">
        <v>585.7707912759606</v>
      </c>
      <c r="BR85" t="s">
        <v>557</v>
      </c>
      <c r="BS85" t="b">
        <v>0</v>
      </c>
      <c r="BU85">
        <v>0</v>
      </c>
      <c r="BV85">
        <v>0</v>
      </c>
    </row>
    <row r="86" spans="1:74">
      <c r="A86">
        <v>191765</v>
      </c>
      <c r="B86" t="s">
        <v>158</v>
      </c>
      <c r="C86" t="s">
        <v>258</v>
      </c>
      <c r="D86" t="s">
        <v>276</v>
      </c>
      <c r="E86" t="s">
        <v>279</v>
      </c>
      <c r="F86" t="s">
        <v>282</v>
      </c>
      <c r="G86" t="s">
        <v>291</v>
      </c>
      <c r="H86" t="b">
        <v>0</v>
      </c>
      <c r="I86" t="b">
        <v>0</v>
      </c>
      <c r="J86" t="s">
        <v>296</v>
      </c>
      <c r="K86" t="s">
        <v>297</v>
      </c>
      <c r="L86" t="s">
        <v>301</v>
      </c>
      <c r="M86" t="s">
        <v>305</v>
      </c>
      <c r="N86" t="s">
        <v>306</v>
      </c>
      <c r="O86" t="s">
        <v>307</v>
      </c>
      <c r="P86" t="s">
        <v>308</v>
      </c>
      <c r="Q86" t="s">
        <v>313</v>
      </c>
      <c r="R86" t="s">
        <v>322</v>
      </c>
      <c r="T86" t="s">
        <v>379</v>
      </c>
      <c r="U86" t="s">
        <v>383</v>
      </c>
      <c r="V86" t="s">
        <v>391</v>
      </c>
      <c r="W86" t="s">
        <v>385</v>
      </c>
      <c r="X86" t="s">
        <v>393</v>
      </c>
      <c r="Y86" t="s">
        <v>389</v>
      </c>
      <c r="Z86" t="s">
        <v>397</v>
      </c>
      <c r="AA86" t="s">
        <v>390</v>
      </c>
      <c r="AB86" t="s">
        <v>398</v>
      </c>
      <c r="AC86" s="2">
        <v>45416</v>
      </c>
      <c r="AD86" s="2">
        <v>45416.625</v>
      </c>
      <c r="AE86" s="2">
        <v>45417</v>
      </c>
      <c r="AF86" s="2">
        <v>45419.375</v>
      </c>
      <c r="AG86" s="2">
        <v>45419.375</v>
      </c>
      <c r="AH86" s="2">
        <v>45422.29166666666</v>
      </c>
      <c r="AI86" s="2">
        <v>45422.5</v>
      </c>
      <c r="AJ86" s="2">
        <v>45423.08333333334</v>
      </c>
      <c r="AK86" s="2">
        <v>45423.08333333334</v>
      </c>
      <c r="AM86" s="2">
        <v>45423.08333333334</v>
      </c>
      <c r="AN86" s="2">
        <v>45444</v>
      </c>
      <c r="AO86">
        <v>0</v>
      </c>
      <c r="AR86" t="s">
        <v>287</v>
      </c>
      <c r="AS86">
        <v>8</v>
      </c>
      <c r="AT86">
        <v>9</v>
      </c>
      <c r="AU86">
        <v>57</v>
      </c>
      <c r="AV86">
        <v>70</v>
      </c>
      <c r="AW86">
        <v>5</v>
      </c>
      <c r="AX86" t="s">
        <v>482</v>
      </c>
      <c r="AY86">
        <v>0</v>
      </c>
      <c r="AZ86">
        <v>10</v>
      </c>
      <c r="BA86">
        <v>1</v>
      </c>
      <c r="BB86">
        <v>6.461084776562363</v>
      </c>
      <c r="BC86">
        <v>14.8829344673992</v>
      </c>
      <c r="BD86">
        <v>3.288337800030299</v>
      </c>
      <c r="BE86">
        <v>13.19351513695116</v>
      </c>
      <c r="BF86">
        <v>0</v>
      </c>
      <c r="BG86">
        <v>37.82587218094302</v>
      </c>
      <c r="BH86">
        <v>30.20620877240313</v>
      </c>
      <c r="BK86">
        <v>24</v>
      </c>
      <c r="BL86">
        <v>71</v>
      </c>
      <c r="BM86">
        <v>70</v>
      </c>
      <c r="BN86">
        <v>600.7707912760648</v>
      </c>
      <c r="BO86" t="s">
        <v>498</v>
      </c>
      <c r="BP86" t="s">
        <v>504</v>
      </c>
      <c r="BS86" t="b">
        <v>0</v>
      </c>
      <c r="BU86">
        <v>2</v>
      </c>
      <c r="BV86">
        <v>0</v>
      </c>
    </row>
    <row r="87" spans="1:74">
      <c r="A87">
        <v>191825</v>
      </c>
      <c r="B87" t="s">
        <v>159</v>
      </c>
      <c r="C87" t="s">
        <v>259</v>
      </c>
      <c r="D87" t="s">
        <v>276</v>
      </c>
      <c r="E87" t="s">
        <v>279</v>
      </c>
      <c r="F87" t="s">
        <v>286</v>
      </c>
      <c r="G87" t="s">
        <v>294</v>
      </c>
      <c r="H87" t="b">
        <v>0</v>
      </c>
      <c r="I87" t="b">
        <v>0</v>
      </c>
      <c r="J87" t="s">
        <v>296</v>
      </c>
      <c r="K87" t="s">
        <v>297</v>
      </c>
      <c r="L87" t="s">
        <v>299</v>
      </c>
      <c r="M87" t="s">
        <v>303</v>
      </c>
      <c r="N87" t="s">
        <v>306</v>
      </c>
      <c r="O87" t="s">
        <v>307</v>
      </c>
      <c r="P87" t="s">
        <v>311</v>
      </c>
      <c r="Q87" t="s">
        <v>316</v>
      </c>
      <c r="R87" t="s">
        <v>329</v>
      </c>
      <c r="S87" t="s">
        <v>372</v>
      </c>
      <c r="T87" t="s">
        <v>382</v>
      </c>
      <c r="U87" t="s">
        <v>384</v>
      </c>
      <c r="V87" t="s">
        <v>392</v>
      </c>
      <c r="W87" t="s">
        <v>385</v>
      </c>
      <c r="X87" t="s">
        <v>393</v>
      </c>
      <c r="AC87" s="2">
        <v>45463</v>
      </c>
      <c r="AM87" s="2">
        <v>45463</v>
      </c>
      <c r="AN87" s="2">
        <v>45513</v>
      </c>
      <c r="AO87">
        <v>0</v>
      </c>
      <c r="AS87">
        <v>2</v>
      </c>
      <c r="AX87" t="s">
        <v>483</v>
      </c>
      <c r="AY87">
        <v>0</v>
      </c>
      <c r="AZ87">
        <v>3</v>
      </c>
      <c r="BA87">
        <v>1</v>
      </c>
      <c r="BB87">
        <v>4.269778198288941</v>
      </c>
      <c r="BC87">
        <v>30.5559983081104</v>
      </c>
      <c r="BD87">
        <v>15.34945731849071</v>
      </c>
      <c r="BE87">
        <v>15.99576509929196</v>
      </c>
      <c r="BF87">
        <v>0</v>
      </c>
      <c r="BG87">
        <v>66.170998924182</v>
      </c>
      <c r="BH87">
        <v>78.66043300858539</v>
      </c>
      <c r="BL87">
        <v>0</v>
      </c>
      <c r="BM87">
        <v>0</v>
      </c>
      <c r="BN87">
        <v>553.7707912761805</v>
      </c>
      <c r="BS87" t="b">
        <v>0</v>
      </c>
      <c r="BU87">
        <v>0</v>
      </c>
      <c r="BV87">
        <v>0</v>
      </c>
    </row>
    <row r="88" spans="1:74">
      <c r="A88">
        <v>191830</v>
      </c>
      <c r="B88" t="s">
        <v>160</v>
      </c>
      <c r="C88" t="s">
        <v>260</v>
      </c>
      <c r="D88" t="s">
        <v>274</v>
      </c>
      <c r="E88" t="s">
        <v>280</v>
      </c>
      <c r="F88" t="s">
        <v>287</v>
      </c>
      <c r="G88" t="s">
        <v>293</v>
      </c>
      <c r="H88" t="b">
        <v>1</v>
      </c>
      <c r="I88" t="b">
        <v>0</v>
      </c>
      <c r="J88" t="s">
        <v>296</v>
      </c>
      <c r="K88" t="s">
        <v>297</v>
      </c>
      <c r="L88" t="s">
        <v>301</v>
      </c>
      <c r="M88" t="s">
        <v>305</v>
      </c>
      <c r="N88" t="s">
        <v>306</v>
      </c>
      <c r="O88" t="s">
        <v>307</v>
      </c>
      <c r="P88" t="s">
        <v>308</v>
      </c>
      <c r="Q88" t="s">
        <v>313</v>
      </c>
      <c r="R88" t="s">
        <v>321</v>
      </c>
      <c r="T88" t="s">
        <v>377</v>
      </c>
      <c r="U88" t="s">
        <v>390</v>
      </c>
      <c r="V88" t="s">
        <v>398</v>
      </c>
      <c r="W88" t="s">
        <v>385</v>
      </c>
      <c r="X88" t="s">
        <v>393</v>
      </c>
      <c r="Y88" t="s">
        <v>389</v>
      </c>
      <c r="Z88" t="s">
        <v>397</v>
      </c>
      <c r="AA88" t="s">
        <v>389</v>
      </c>
      <c r="AB88" t="s">
        <v>397</v>
      </c>
      <c r="AC88" s="2">
        <v>45395</v>
      </c>
      <c r="AD88" s="2">
        <v>45396.95833333334</v>
      </c>
      <c r="AE88" s="2">
        <v>45397.20833333334</v>
      </c>
      <c r="AF88" s="2">
        <v>45399.75</v>
      </c>
      <c r="AG88" s="2">
        <v>45399.75</v>
      </c>
      <c r="AH88" s="2">
        <v>45400.75</v>
      </c>
      <c r="AI88" s="2">
        <v>45402.54166666666</v>
      </c>
      <c r="AM88" s="2">
        <v>45402.54166666666</v>
      </c>
      <c r="AN88" s="2">
        <v>45436</v>
      </c>
      <c r="AO88">
        <v>0</v>
      </c>
      <c r="AR88" t="s">
        <v>289</v>
      </c>
      <c r="AS88">
        <v>6</v>
      </c>
      <c r="AT88">
        <v>6</v>
      </c>
      <c r="AU88">
        <v>61</v>
      </c>
      <c r="AV88">
        <v>24</v>
      </c>
      <c r="AW88">
        <v>43</v>
      </c>
      <c r="AX88" t="s">
        <v>484</v>
      </c>
      <c r="AY88">
        <v>0</v>
      </c>
      <c r="AZ88">
        <v>6</v>
      </c>
      <c r="BA88">
        <v>1</v>
      </c>
      <c r="BB88">
        <v>4.826779134697693</v>
      </c>
      <c r="BC88">
        <v>1.561346056560479</v>
      </c>
      <c r="BD88">
        <v>12.55525223466709</v>
      </c>
      <c r="BE88">
        <v>15.94955255610858</v>
      </c>
      <c r="BF88">
        <v>0</v>
      </c>
      <c r="BG88">
        <v>34.89292998203384</v>
      </c>
      <c r="BH88">
        <v>38.35145901502131</v>
      </c>
      <c r="BK88">
        <v>53</v>
      </c>
      <c r="BL88">
        <v>110</v>
      </c>
      <c r="BM88">
        <v>24</v>
      </c>
      <c r="BN88">
        <v>621.7707912762963</v>
      </c>
      <c r="BO88" t="s">
        <v>500</v>
      </c>
      <c r="BP88" t="s">
        <v>502</v>
      </c>
      <c r="BR88" t="s">
        <v>558</v>
      </c>
      <c r="BS88" t="b">
        <v>0</v>
      </c>
      <c r="BU88">
        <v>0</v>
      </c>
      <c r="BV88">
        <v>0</v>
      </c>
    </row>
    <row r="89" spans="1:74">
      <c r="A89">
        <v>191833</v>
      </c>
      <c r="B89" t="s">
        <v>161</v>
      </c>
      <c r="C89" t="s">
        <v>261</v>
      </c>
      <c r="D89" t="s">
        <v>274</v>
      </c>
      <c r="E89" t="s">
        <v>279</v>
      </c>
      <c r="F89" t="s">
        <v>287</v>
      </c>
      <c r="G89" t="s">
        <v>291</v>
      </c>
      <c r="H89" t="b">
        <v>0</v>
      </c>
      <c r="I89" t="b">
        <v>0</v>
      </c>
      <c r="J89" t="s">
        <v>296</v>
      </c>
      <c r="K89" t="s">
        <v>297</v>
      </c>
      <c r="L89" t="s">
        <v>298</v>
      </c>
      <c r="M89" t="s">
        <v>302</v>
      </c>
      <c r="N89" t="s">
        <v>306</v>
      </c>
      <c r="O89" t="s">
        <v>307</v>
      </c>
      <c r="P89" t="s">
        <v>311</v>
      </c>
      <c r="Q89" t="s">
        <v>316</v>
      </c>
      <c r="R89" t="s">
        <v>337</v>
      </c>
      <c r="T89" t="s">
        <v>377</v>
      </c>
      <c r="U89" t="s">
        <v>386</v>
      </c>
      <c r="V89" t="s">
        <v>394</v>
      </c>
      <c r="W89" t="s">
        <v>387</v>
      </c>
      <c r="X89" t="s">
        <v>395</v>
      </c>
      <c r="Y89" t="s">
        <v>385</v>
      </c>
      <c r="Z89" t="s">
        <v>393</v>
      </c>
      <c r="AA89" t="s">
        <v>383</v>
      </c>
      <c r="AB89" t="s">
        <v>391</v>
      </c>
      <c r="AC89" s="2">
        <v>45298</v>
      </c>
      <c r="AD89" s="2">
        <v>45299.08333333334</v>
      </c>
      <c r="AE89" s="2">
        <v>45299.875</v>
      </c>
      <c r="AF89" s="2">
        <v>45300.08333333334</v>
      </c>
      <c r="AG89" s="2">
        <v>45300.08333333334</v>
      </c>
      <c r="AH89" s="2">
        <v>45300.83333333334</v>
      </c>
      <c r="AI89" s="2">
        <v>45302.70833333334</v>
      </c>
      <c r="AM89" s="2">
        <v>45302.70833333334</v>
      </c>
      <c r="AN89" s="2">
        <v>45332</v>
      </c>
      <c r="AO89">
        <v>0</v>
      </c>
      <c r="AR89" t="s">
        <v>289</v>
      </c>
      <c r="AS89">
        <v>5</v>
      </c>
      <c r="AT89">
        <v>19</v>
      </c>
      <c r="AU89">
        <v>5</v>
      </c>
      <c r="AV89">
        <v>18</v>
      </c>
      <c r="AW89">
        <v>45</v>
      </c>
      <c r="AX89" t="s">
        <v>485</v>
      </c>
      <c r="AY89">
        <v>0</v>
      </c>
      <c r="AZ89">
        <v>5</v>
      </c>
      <c r="BA89">
        <v>1</v>
      </c>
      <c r="BB89">
        <v>4.19388270364148</v>
      </c>
      <c r="BC89">
        <v>5.526832979769734</v>
      </c>
      <c r="BD89">
        <v>2.471892184394409</v>
      </c>
      <c r="BE89">
        <v>9.331475584039412</v>
      </c>
      <c r="BF89">
        <v>0</v>
      </c>
      <c r="BG89">
        <v>21.52408345184504</v>
      </c>
      <c r="BH89">
        <v>21.8219607283947</v>
      </c>
      <c r="BK89">
        <v>45</v>
      </c>
      <c r="BL89">
        <v>69</v>
      </c>
      <c r="BM89">
        <v>18</v>
      </c>
      <c r="BN89">
        <v>718.7707912764121</v>
      </c>
      <c r="BO89" t="s">
        <v>500</v>
      </c>
      <c r="BP89" t="s">
        <v>502</v>
      </c>
      <c r="BR89" t="s">
        <v>559</v>
      </c>
      <c r="BS89" t="b">
        <v>0</v>
      </c>
      <c r="BU89">
        <v>0</v>
      </c>
      <c r="BV89">
        <v>2</v>
      </c>
    </row>
    <row r="90" spans="1:74">
      <c r="A90">
        <v>191837</v>
      </c>
      <c r="B90" t="s">
        <v>162</v>
      </c>
      <c r="C90" t="s">
        <v>262</v>
      </c>
      <c r="D90" t="s">
        <v>275</v>
      </c>
      <c r="E90" t="s">
        <v>279</v>
      </c>
      <c r="F90" t="s">
        <v>288</v>
      </c>
      <c r="G90" t="s">
        <v>295</v>
      </c>
      <c r="H90" t="b">
        <v>1</v>
      </c>
      <c r="I90" t="b">
        <v>1</v>
      </c>
      <c r="J90" t="s">
        <v>296</v>
      </c>
      <c r="K90" t="s">
        <v>297</v>
      </c>
      <c r="L90" t="s">
        <v>301</v>
      </c>
      <c r="M90" t="s">
        <v>305</v>
      </c>
      <c r="N90" t="s">
        <v>306</v>
      </c>
      <c r="O90" t="s">
        <v>307</v>
      </c>
      <c r="P90" t="s">
        <v>308</v>
      </c>
      <c r="Q90" t="s">
        <v>313</v>
      </c>
      <c r="R90" t="s">
        <v>327</v>
      </c>
      <c r="S90" t="s">
        <v>373</v>
      </c>
      <c r="T90" t="s">
        <v>378</v>
      </c>
      <c r="U90" t="s">
        <v>387</v>
      </c>
      <c r="V90" t="s">
        <v>395</v>
      </c>
      <c r="W90" t="s">
        <v>385</v>
      </c>
      <c r="X90" t="s">
        <v>393</v>
      </c>
      <c r="AC90" s="2">
        <v>45326</v>
      </c>
      <c r="AD90" s="2">
        <v>45327.25</v>
      </c>
      <c r="AE90" s="2">
        <v>45327.5</v>
      </c>
      <c r="AF90" s="2">
        <v>45327.83333333334</v>
      </c>
      <c r="AG90" s="2">
        <v>45327.83333333334</v>
      </c>
      <c r="AM90" s="2">
        <v>45327.83333333334</v>
      </c>
      <c r="AN90" s="2">
        <v>45349</v>
      </c>
      <c r="AO90">
        <v>0</v>
      </c>
      <c r="AR90" t="s">
        <v>284</v>
      </c>
      <c r="AS90">
        <v>6</v>
      </c>
      <c r="AT90">
        <v>6</v>
      </c>
      <c r="AU90">
        <v>8</v>
      </c>
      <c r="AX90" t="s">
        <v>486</v>
      </c>
      <c r="AY90">
        <v>3</v>
      </c>
      <c r="AZ90">
        <v>7</v>
      </c>
      <c r="BA90">
        <v>1</v>
      </c>
      <c r="BB90">
        <v>1.964322408485334</v>
      </c>
      <c r="BC90">
        <v>2.794103038848357</v>
      </c>
      <c r="BD90">
        <v>2.14008271924245</v>
      </c>
      <c r="BE90">
        <v>12.53481122770766</v>
      </c>
      <c r="BF90">
        <v>0</v>
      </c>
      <c r="BG90">
        <v>19.4333193942838</v>
      </c>
      <c r="BH90">
        <v>17.78728401982516</v>
      </c>
      <c r="BK90">
        <v>36</v>
      </c>
      <c r="BL90">
        <v>14</v>
      </c>
      <c r="BM90">
        <v>0</v>
      </c>
      <c r="BN90">
        <v>690.7707912765162</v>
      </c>
      <c r="BR90" t="s">
        <v>560</v>
      </c>
      <c r="BS90" t="b">
        <v>0</v>
      </c>
      <c r="BU90">
        <v>0</v>
      </c>
      <c r="BV90">
        <v>0</v>
      </c>
    </row>
    <row r="91" spans="1:74">
      <c r="A91">
        <v>191880</v>
      </c>
      <c r="B91" t="s">
        <v>163</v>
      </c>
      <c r="C91" t="s">
        <v>263</v>
      </c>
      <c r="D91" t="s">
        <v>274</v>
      </c>
      <c r="E91" t="s">
        <v>281</v>
      </c>
      <c r="F91" t="s">
        <v>282</v>
      </c>
      <c r="G91" t="s">
        <v>295</v>
      </c>
      <c r="H91" t="b">
        <v>0</v>
      </c>
      <c r="I91" t="b">
        <v>1</v>
      </c>
      <c r="J91" t="s">
        <v>296</v>
      </c>
      <c r="K91" t="s">
        <v>297</v>
      </c>
      <c r="L91" t="s">
        <v>299</v>
      </c>
      <c r="M91" t="s">
        <v>303</v>
      </c>
      <c r="N91" t="s">
        <v>306</v>
      </c>
      <c r="O91" t="s">
        <v>307</v>
      </c>
      <c r="P91" t="s">
        <v>312</v>
      </c>
      <c r="Q91" t="s">
        <v>317</v>
      </c>
      <c r="R91" t="s">
        <v>331</v>
      </c>
      <c r="S91" t="s">
        <v>374</v>
      </c>
      <c r="T91" t="s">
        <v>378</v>
      </c>
      <c r="U91" t="s">
        <v>387</v>
      </c>
      <c r="V91" t="s">
        <v>395</v>
      </c>
      <c r="W91" t="s">
        <v>386</v>
      </c>
      <c r="X91" t="s">
        <v>394</v>
      </c>
      <c r="Y91" t="s">
        <v>389</v>
      </c>
      <c r="Z91" t="s">
        <v>397</v>
      </c>
      <c r="AA91" t="s">
        <v>384</v>
      </c>
      <c r="AB91" t="s">
        <v>392</v>
      </c>
      <c r="AC91" s="2">
        <v>45389</v>
      </c>
      <c r="AD91" s="2">
        <v>45389.875</v>
      </c>
      <c r="AE91" s="2">
        <v>45390.16666666666</v>
      </c>
      <c r="AF91" s="2">
        <v>45392.66666666666</v>
      </c>
      <c r="AG91" s="2">
        <v>45392.66666666666</v>
      </c>
      <c r="AH91" s="2">
        <v>45394.70833333334</v>
      </c>
      <c r="AI91" s="2">
        <v>45395.75</v>
      </c>
      <c r="AJ91" s="2">
        <v>45396.33333333334</v>
      </c>
      <c r="AK91" s="2">
        <v>45396.33333333334</v>
      </c>
      <c r="AM91" s="2">
        <v>45396.33333333334</v>
      </c>
      <c r="AN91" s="2">
        <v>45413</v>
      </c>
      <c r="AO91">
        <v>0</v>
      </c>
      <c r="AR91" t="s">
        <v>287</v>
      </c>
      <c r="AS91">
        <v>7</v>
      </c>
      <c r="AT91">
        <v>7</v>
      </c>
      <c r="AU91">
        <v>60</v>
      </c>
      <c r="AV91">
        <v>49</v>
      </c>
      <c r="AW91">
        <v>25</v>
      </c>
      <c r="AX91" t="s">
        <v>487</v>
      </c>
      <c r="AY91">
        <v>2</v>
      </c>
      <c r="AZ91">
        <v>7</v>
      </c>
      <c r="BA91">
        <v>1</v>
      </c>
      <c r="BB91">
        <v>5.91839086446129</v>
      </c>
      <c r="BC91">
        <v>2.588423290439835</v>
      </c>
      <c r="BD91">
        <v>14.16889806345284</v>
      </c>
      <c r="BE91">
        <v>15.17148594823642</v>
      </c>
      <c r="BF91">
        <v>0</v>
      </c>
      <c r="BG91">
        <v>37.84719816659039</v>
      </c>
      <c r="BH91">
        <v>46.41278833660965</v>
      </c>
      <c r="BK91">
        <v>28</v>
      </c>
      <c r="BL91">
        <v>92</v>
      </c>
      <c r="BM91">
        <v>49</v>
      </c>
      <c r="BN91">
        <v>627.7707912766203</v>
      </c>
      <c r="BO91" t="s">
        <v>499</v>
      </c>
      <c r="BP91" t="s">
        <v>502</v>
      </c>
      <c r="BS91" t="b">
        <v>0</v>
      </c>
      <c r="BU91">
        <v>3</v>
      </c>
      <c r="BV91">
        <v>2</v>
      </c>
    </row>
    <row r="92" spans="1:74">
      <c r="A92">
        <v>191892</v>
      </c>
      <c r="B92" t="s">
        <v>164</v>
      </c>
      <c r="C92" t="s">
        <v>264</v>
      </c>
      <c r="D92" t="s">
        <v>276</v>
      </c>
      <c r="E92" t="s">
        <v>281</v>
      </c>
      <c r="F92" t="s">
        <v>286</v>
      </c>
      <c r="G92" t="s">
        <v>290</v>
      </c>
      <c r="H92" t="b">
        <v>1</v>
      </c>
      <c r="I92" t="b">
        <v>0</v>
      </c>
      <c r="J92" t="s">
        <v>296</v>
      </c>
      <c r="K92" t="s">
        <v>297</v>
      </c>
      <c r="L92" t="s">
        <v>298</v>
      </c>
      <c r="M92" t="s">
        <v>302</v>
      </c>
      <c r="N92" t="s">
        <v>306</v>
      </c>
      <c r="O92" t="s">
        <v>307</v>
      </c>
      <c r="P92" t="s">
        <v>310</v>
      </c>
      <c r="Q92" t="s">
        <v>315</v>
      </c>
      <c r="R92" t="s">
        <v>323</v>
      </c>
      <c r="S92" t="s">
        <v>375</v>
      </c>
      <c r="T92" t="s">
        <v>377</v>
      </c>
      <c r="U92" t="s">
        <v>389</v>
      </c>
      <c r="V92" t="s">
        <v>397</v>
      </c>
      <c r="W92" t="s">
        <v>387</v>
      </c>
      <c r="X92" t="s">
        <v>395</v>
      </c>
      <c r="AC92" s="2">
        <v>45399</v>
      </c>
      <c r="AM92" s="2">
        <v>45399</v>
      </c>
      <c r="AN92" s="2">
        <v>45422</v>
      </c>
      <c r="AO92">
        <v>0</v>
      </c>
      <c r="AS92">
        <v>3</v>
      </c>
      <c r="AX92" t="s">
        <v>488</v>
      </c>
      <c r="AY92">
        <v>2</v>
      </c>
      <c r="AZ92">
        <v>4</v>
      </c>
      <c r="BA92">
        <v>1</v>
      </c>
      <c r="BB92">
        <v>2.605792718306418</v>
      </c>
      <c r="BC92">
        <v>34.36296277642928</v>
      </c>
      <c r="BD92">
        <v>1.918878624101774</v>
      </c>
      <c r="BE92">
        <v>13.74471086016117</v>
      </c>
      <c r="BF92">
        <v>0</v>
      </c>
      <c r="BG92">
        <v>52.63234497899865</v>
      </c>
      <c r="BH92">
        <v>49.23582525281205</v>
      </c>
      <c r="BL92">
        <v>0</v>
      </c>
      <c r="BM92">
        <v>0</v>
      </c>
      <c r="BN92">
        <v>617.7707912767361</v>
      </c>
      <c r="BS92" t="b">
        <v>0</v>
      </c>
      <c r="BU92">
        <v>0</v>
      </c>
      <c r="BV92">
        <v>0</v>
      </c>
    </row>
    <row r="93" spans="1:74">
      <c r="A93">
        <v>191984</v>
      </c>
      <c r="B93" t="s">
        <v>165</v>
      </c>
      <c r="C93" t="s">
        <v>265</v>
      </c>
      <c r="D93" t="s">
        <v>274</v>
      </c>
      <c r="E93" t="s">
        <v>280</v>
      </c>
      <c r="F93" t="s">
        <v>286</v>
      </c>
      <c r="G93" t="s">
        <v>293</v>
      </c>
      <c r="H93" t="b">
        <v>1</v>
      </c>
      <c r="I93" t="b">
        <v>0</v>
      </c>
      <c r="J93" t="s">
        <v>296</v>
      </c>
      <c r="K93" t="s">
        <v>297</v>
      </c>
      <c r="L93" t="s">
        <v>300</v>
      </c>
      <c r="M93" t="s">
        <v>304</v>
      </c>
      <c r="N93" t="s">
        <v>306</v>
      </c>
      <c r="O93" t="s">
        <v>307</v>
      </c>
      <c r="P93" t="s">
        <v>309</v>
      </c>
      <c r="Q93" t="s">
        <v>314</v>
      </c>
      <c r="R93" t="s">
        <v>321</v>
      </c>
      <c r="T93" t="s">
        <v>382</v>
      </c>
      <c r="U93" t="s">
        <v>383</v>
      </c>
      <c r="V93" t="s">
        <v>391</v>
      </c>
      <c r="W93" t="s">
        <v>386</v>
      </c>
      <c r="X93" t="s">
        <v>394</v>
      </c>
      <c r="AC93" s="2">
        <v>45312</v>
      </c>
      <c r="AM93" s="2">
        <v>45312</v>
      </c>
      <c r="AN93" s="2">
        <v>45349</v>
      </c>
      <c r="AO93">
        <v>0</v>
      </c>
      <c r="AS93">
        <v>3</v>
      </c>
      <c r="AX93" t="s">
        <v>489</v>
      </c>
      <c r="AY93">
        <v>0</v>
      </c>
      <c r="AZ93">
        <v>4</v>
      </c>
      <c r="BA93">
        <v>1</v>
      </c>
      <c r="BB93">
        <v>0.6823697482359038</v>
      </c>
      <c r="BC93">
        <v>28.44265651582093</v>
      </c>
      <c r="BD93">
        <v>16.52627115616195</v>
      </c>
      <c r="BE93">
        <v>4.710221526147965</v>
      </c>
      <c r="BF93">
        <v>0</v>
      </c>
      <c r="BG93">
        <v>50.36151894636674</v>
      </c>
      <c r="BH93">
        <v>59.9281761479809</v>
      </c>
      <c r="BL93">
        <v>0</v>
      </c>
      <c r="BM93">
        <v>0</v>
      </c>
      <c r="BN93">
        <v>704.7707912768403</v>
      </c>
      <c r="BR93" t="s">
        <v>561</v>
      </c>
      <c r="BS93" t="b">
        <v>0</v>
      </c>
      <c r="BU93">
        <v>0</v>
      </c>
      <c r="BV93">
        <v>0</v>
      </c>
    </row>
    <row r="94" spans="1:74">
      <c r="A94">
        <v>191994</v>
      </c>
      <c r="B94" t="s">
        <v>166</v>
      </c>
      <c r="C94" t="s">
        <v>266</v>
      </c>
      <c r="D94" t="s">
        <v>275</v>
      </c>
      <c r="E94" t="s">
        <v>280</v>
      </c>
      <c r="F94" t="s">
        <v>285</v>
      </c>
      <c r="G94" t="s">
        <v>293</v>
      </c>
      <c r="H94" t="b">
        <v>1</v>
      </c>
      <c r="I94" t="b">
        <v>0</v>
      </c>
      <c r="J94" t="s">
        <v>296</v>
      </c>
      <c r="K94" t="s">
        <v>297</v>
      </c>
      <c r="L94" t="s">
        <v>299</v>
      </c>
      <c r="M94" t="s">
        <v>303</v>
      </c>
      <c r="N94" t="s">
        <v>306</v>
      </c>
      <c r="O94" t="s">
        <v>307</v>
      </c>
      <c r="P94" t="s">
        <v>311</v>
      </c>
      <c r="Q94" t="s">
        <v>316</v>
      </c>
      <c r="R94" t="s">
        <v>328</v>
      </c>
      <c r="T94" t="s">
        <v>377</v>
      </c>
      <c r="U94" t="s">
        <v>389</v>
      </c>
      <c r="V94" t="s">
        <v>397</v>
      </c>
      <c r="W94" t="s">
        <v>387</v>
      </c>
      <c r="X94" t="s">
        <v>395</v>
      </c>
      <c r="Y94" t="s">
        <v>389</v>
      </c>
      <c r="Z94" t="s">
        <v>397</v>
      </c>
      <c r="AA94" t="s">
        <v>384</v>
      </c>
      <c r="AB94" t="s">
        <v>392</v>
      </c>
      <c r="AC94" s="2">
        <v>45296</v>
      </c>
      <c r="AD94" s="2">
        <v>45298</v>
      </c>
      <c r="AE94" s="2">
        <v>45298.75</v>
      </c>
      <c r="AF94" s="2">
        <v>45299.08333333334</v>
      </c>
      <c r="AG94" s="2">
        <v>45299.08333333334</v>
      </c>
      <c r="AH94" s="2">
        <v>45301.25</v>
      </c>
      <c r="AI94" s="2">
        <v>45302</v>
      </c>
      <c r="AJ94" s="2">
        <v>45302.91666666666</v>
      </c>
      <c r="AK94" s="2">
        <v>45303</v>
      </c>
      <c r="AL94" s="2">
        <v>45304.75</v>
      </c>
      <c r="AM94" s="2">
        <v>45304.75</v>
      </c>
      <c r="AN94" s="2">
        <v>45305</v>
      </c>
      <c r="AO94">
        <v>0</v>
      </c>
      <c r="AR94" t="s">
        <v>282</v>
      </c>
      <c r="AS94">
        <v>8</v>
      </c>
      <c r="AT94">
        <v>18</v>
      </c>
      <c r="AU94">
        <v>8</v>
      </c>
      <c r="AV94">
        <v>52</v>
      </c>
      <c r="AW94">
        <v>18</v>
      </c>
      <c r="AX94" t="s">
        <v>490</v>
      </c>
      <c r="AY94">
        <v>2</v>
      </c>
      <c r="AZ94">
        <v>10</v>
      </c>
      <c r="BA94">
        <v>1</v>
      </c>
      <c r="BB94">
        <v>5.341042219303759</v>
      </c>
      <c r="BC94">
        <v>19.49277933440568</v>
      </c>
      <c r="BD94">
        <v>14.27172342955168</v>
      </c>
      <c r="BE94">
        <v>7.758162029651403</v>
      </c>
      <c r="BF94">
        <v>0</v>
      </c>
      <c r="BG94">
        <v>46.86370701291252</v>
      </c>
      <c r="BH94">
        <v>45.15228872566488</v>
      </c>
      <c r="BI94">
        <v>210</v>
      </c>
      <c r="BJ94">
        <v>136</v>
      </c>
      <c r="BK94">
        <v>66</v>
      </c>
      <c r="BL94">
        <v>44</v>
      </c>
      <c r="BM94">
        <v>52</v>
      </c>
      <c r="BN94">
        <v>720.7707912769445</v>
      </c>
      <c r="BO94" t="s">
        <v>290</v>
      </c>
      <c r="BP94" t="s">
        <v>502</v>
      </c>
      <c r="BQ94" t="s">
        <v>508</v>
      </c>
      <c r="BR94" t="s">
        <v>562</v>
      </c>
      <c r="BS94" t="b">
        <v>0</v>
      </c>
      <c r="BU94">
        <v>1</v>
      </c>
      <c r="BV94">
        <v>2</v>
      </c>
    </row>
    <row r="95" spans="1:74">
      <c r="A95">
        <v>192010</v>
      </c>
      <c r="B95" t="s">
        <v>167</v>
      </c>
      <c r="C95" t="s">
        <v>267</v>
      </c>
      <c r="D95" t="s">
        <v>274</v>
      </c>
      <c r="E95" t="s">
        <v>279</v>
      </c>
      <c r="F95" t="s">
        <v>288</v>
      </c>
      <c r="G95" t="s">
        <v>290</v>
      </c>
      <c r="H95" t="b">
        <v>0</v>
      </c>
      <c r="I95" t="b">
        <v>0</v>
      </c>
      <c r="J95" t="s">
        <v>296</v>
      </c>
      <c r="K95" t="s">
        <v>297</v>
      </c>
      <c r="L95" t="s">
        <v>298</v>
      </c>
      <c r="M95" t="s">
        <v>302</v>
      </c>
      <c r="N95" t="s">
        <v>306</v>
      </c>
      <c r="O95" t="s">
        <v>307</v>
      </c>
      <c r="P95" t="s">
        <v>310</v>
      </c>
      <c r="Q95" t="s">
        <v>315</v>
      </c>
      <c r="R95" t="s">
        <v>318</v>
      </c>
      <c r="T95" t="s">
        <v>377</v>
      </c>
      <c r="U95" t="s">
        <v>390</v>
      </c>
      <c r="V95" t="s">
        <v>398</v>
      </c>
      <c r="W95" t="s">
        <v>383</v>
      </c>
      <c r="X95" t="s">
        <v>391</v>
      </c>
      <c r="AC95" s="2">
        <v>45355</v>
      </c>
      <c r="AD95" s="2">
        <v>45355.54166666666</v>
      </c>
      <c r="AE95" s="2">
        <v>45355.58333333334</v>
      </c>
      <c r="AF95" s="2">
        <v>45356.45833333334</v>
      </c>
      <c r="AG95" s="2">
        <v>45356.45833333334</v>
      </c>
      <c r="AM95" s="2">
        <v>45356.45833333334</v>
      </c>
      <c r="AN95" s="2">
        <v>45377</v>
      </c>
      <c r="AO95">
        <v>0</v>
      </c>
      <c r="AR95" t="s">
        <v>284</v>
      </c>
      <c r="AS95">
        <v>4</v>
      </c>
      <c r="AT95">
        <v>1</v>
      </c>
      <c r="AU95">
        <v>21</v>
      </c>
      <c r="AX95" t="s">
        <v>491</v>
      </c>
      <c r="AY95">
        <v>2</v>
      </c>
      <c r="AZ95">
        <v>5</v>
      </c>
      <c r="BA95">
        <v>1</v>
      </c>
      <c r="BB95">
        <v>1.828330095552867</v>
      </c>
      <c r="BC95">
        <v>4.815532265389058</v>
      </c>
      <c r="BD95">
        <v>2.086301222517045</v>
      </c>
      <c r="BE95">
        <v>2.937391227272425</v>
      </c>
      <c r="BF95">
        <v>0</v>
      </c>
      <c r="BG95">
        <v>11.6675548107314</v>
      </c>
      <c r="BH95">
        <v>10.80610024206097</v>
      </c>
      <c r="BK95">
        <v>14</v>
      </c>
      <c r="BL95">
        <v>22</v>
      </c>
      <c r="BM95">
        <v>0</v>
      </c>
      <c r="BN95">
        <v>661.7707912770602</v>
      </c>
      <c r="BS95" t="b">
        <v>0</v>
      </c>
      <c r="BU95">
        <v>0</v>
      </c>
      <c r="BV95">
        <v>0</v>
      </c>
    </row>
    <row r="96" spans="1:74">
      <c r="A96">
        <v>192014</v>
      </c>
      <c r="B96" t="s">
        <v>168</v>
      </c>
      <c r="C96" t="s">
        <v>268</v>
      </c>
      <c r="D96" t="s">
        <v>275</v>
      </c>
      <c r="E96" t="s">
        <v>279</v>
      </c>
      <c r="F96" t="s">
        <v>283</v>
      </c>
      <c r="G96" t="s">
        <v>291</v>
      </c>
      <c r="H96" t="b">
        <v>0</v>
      </c>
      <c r="I96" t="b">
        <v>1</v>
      </c>
      <c r="J96" t="s">
        <v>296</v>
      </c>
      <c r="K96" t="s">
        <v>297</v>
      </c>
      <c r="L96" t="s">
        <v>298</v>
      </c>
      <c r="M96" t="s">
        <v>302</v>
      </c>
      <c r="N96" t="s">
        <v>306</v>
      </c>
      <c r="O96" t="s">
        <v>307</v>
      </c>
      <c r="P96" t="s">
        <v>309</v>
      </c>
      <c r="Q96" t="s">
        <v>314</v>
      </c>
      <c r="R96" t="s">
        <v>319</v>
      </c>
      <c r="S96" t="s">
        <v>376</v>
      </c>
      <c r="T96" t="s">
        <v>380</v>
      </c>
      <c r="U96" t="s">
        <v>390</v>
      </c>
      <c r="V96" t="s">
        <v>398</v>
      </c>
      <c r="W96" t="s">
        <v>384</v>
      </c>
      <c r="X96" t="s">
        <v>392</v>
      </c>
      <c r="AC96" s="2">
        <v>45324</v>
      </c>
      <c r="AD96" s="2">
        <v>45325.29166666666</v>
      </c>
      <c r="AM96" s="2">
        <v>45325.29166666666</v>
      </c>
      <c r="AN96" s="2">
        <v>45373</v>
      </c>
      <c r="AO96">
        <v>0</v>
      </c>
      <c r="AR96" t="s">
        <v>286</v>
      </c>
      <c r="AS96">
        <v>2</v>
      </c>
      <c r="AX96" t="s">
        <v>492</v>
      </c>
      <c r="AY96">
        <v>0</v>
      </c>
      <c r="AZ96">
        <v>4</v>
      </c>
      <c r="BA96">
        <v>1</v>
      </c>
      <c r="BB96">
        <v>7.553439382646857</v>
      </c>
      <c r="BC96">
        <v>20.17301912955646</v>
      </c>
      <c r="BD96">
        <v>2.154335424661242</v>
      </c>
      <c r="BE96">
        <v>15.31076540888084</v>
      </c>
      <c r="BF96">
        <v>0</v>
      </c>
      <c r="BG96">
        <v>45.1915593457454</v>
      </c>
      <c r="BH96">
        <v>44.17962413732064</v>
      </c>
      <c r="BL96">
        <v>0</v>
      </c>
      <c r="BM96">
        <v>0</v>
      </c>
      <c r="BN96">
        <v>692.7707912771643</v>
      </c>
      <c r="BR96" t="s">
        <v>563</v>
      </c>
      <c r="BS96" t="b">
        <v>0</v>
      </c>
      <c r="BU96">
        <v>0</v>
      </c>
      <c r="BV96">
        <v>0</v>
      </c>
    </row>
    <row r="97" spans="1:74">
      <c r="A97">
        <v>192019</v>
      </c>
      <c r="B97" t="s">
        <v>169</v>
      </c>
      <c r="C97" t="s">
        <v>269</v>
      </c>
      <c r="D97" t="s">
        <v>274</v>
      </c>
      <c r="E97" t="s">
        <v>279</v>
      </c>
      <c r="F97" t="s">
        <v>287</v>
      </c>
      <c r="G97" t="s">
        <v>293</v>
      </c>
      <c r="H97" t="b">
        <v>0</v>
      </c>
      <c r="I97" t="b">
        <v>1</v>
      </c>
      <c r="J97" t="s">
        <v>296</v>
      </c>
      <c r="K97" t="s">
        <v>297</v>
      </c>
      <c r="L97" t="s">
        <v>300</v>
      </c>
      <c r="M97" t="s">
        <v>304</v>
      </c>
      <c r="N97" t="s">
        <v>306</v>
      </c>
      <c r="O97" t="s">
        <v>307</v>
      </c>
      <c r="P97" t="s">
        <v>309</v>
      </c>
      <c r="Q97" t="s">
        <v>314</v>
      </c>
      <c r="R97" t="s">
        <v>321</v>
      </c>
      <c r="T97" t="s">
        <v>377</v>
      </c>
      <c r="U97" t="s">
        <v>389</v>
      </c>
      <c r="V97" t="s">
        <v>397</v>
      </c>
      <c r="W97" t="s">
        <v>388</v>
      </c>
      <c r="X97" t="s">
        <v>396</v>
      </c>
      <c r="Y97" t="s">
        <v>390</v>
      </c>
      <c r="Z97" t="s">
        <v>398</v>
      </c>
      <c r="AA97" t="s">
        <v>390</v>
      </c>
      <c r="AB97" t="s">
        <v>398</v>
      </c>
      <c r="AC97" s="2">
        <v>45321</v>
      </c>
      <c r="AD97" s="2">
        <v>45322.54166666666</v>
      </c>
      <c r="AE97" s="2">
        <v>45322.83333333334</v>
      </c>
      <c r="AF97" s="2">
        <v>45325.375</v>
      </c>
      <c r="AG97" s="2">
        <v>45325.375</v>
      </c>
      <c r="AH97" s="2">
        <v>45329.41666666666</v>
      </c>
      <c r="AI97" s="2">
        <v>45330.25</v>
      </c>
      <c r="AM97" s="2">
        <v>45330.25</v>
      </c>
      <c r="AN97" s="2">
        <v>45377</v>
      </c>
      <c r="AO97">
        <v>0</v>
      </c>
      <c r="AR97" t="s">
        <v>289</v>
      </c>
      <c r="AS97">
        <v>6</v>
      </c>
      <c r="AT97">
        <v>7</v>
      </c>
      <c r="AU97">
        <v>61</v>
      </c>
      <c r="AV97">
        <v>97</v>
      </c>
      <c r="AW97">
        <v>20</v>
      </c>
      <c r="AX97" t="s">
        <v>493</v>
      </c>
      <c r="AY97">
        <v>2</v>
      </c>
      <c r="AZ97">
        <v>6</v>
      </c>
      <c r="BA97">
        <v>1</v>
      </c>
      <c r="BB97">
        <v>7.654464327519405</v>
      </c>
      <c r="BC97">
        <v>19.46539906044206</v>
      </c>
      <c r="BD97">
        <v>19.73947178077292</v>
      </c>
      <c r="BE97">
        <v>10.0926195167632</v>
      </c>
      <c r="BF97">
        <v>0</v>
      </c>
      <c r="BG97">
        <v>56.95195468549759</v>
      </c>
      <c r="BH97">
        <v>50.164803699413</v>
      </c>
      <c r="BK97">
        <v>44</v>
      </c>
      <c r="BL97">
        <v>88</v>
      </c>
      <c r="BM97">
        <v>97</v>
      </c>
      <c r="BN97">
        <v>695.7707912772685</v>
      </c>
      <c r="BO97" t="s">
        <v>500</v>
      </c>
      <c r="BP97" t="s">
        <v>506</v>
      </c>
      <c r="BS97" t="b">
        <v>0</v>
      </c>
      <c r="BU97">
        <v>0</v>
      </c>
      <c r="BV97">
        <v>0</v>
      </c>
    </row>
    <row r="98" spans="1:74">
      <c r="A98">
        <v>192022</v>
      </c>
      <c r="B98" t="s">
        <v>170</v>
      </c>
      <c r="C98" t="s">
        <v>270</v>
      </c>
      <c r="D98" t="s">
        <v>274</v>
      </c>
      <c r="E98" t="s">
        <v>280</v>
      </c>
      <c r="F98" t="s">
        <v>285</v>
      </c>
      <c r="G98" t="s">
        <v>295</v>
      </c>
      <c r="H98" t="b">
        <v>0</v>
      </c>
      <c r="I98" t="b">
        <v>0</v>
      </c>
      <c r="J98" t="s">
        <v>296</v>
      </c>
      <c r="K98" t="s">
        <v>297</v>
      </c>
      <c r="L98" t="s">
        <v>301</v>
      </c>
      <c r="M98" t="s">
        <v>305</v>
      </c>
      <c r="N98" t="s">
        <v>306</v>
      </c>
      <c r="O98" t="s">
        <v>307</v>
      </c>
      <c r="P98" t="s">
        <v>308</v>
      </c>
      <c r="Q98" t="s">
        <v>313</v>
      </c>
      <c r="R98" t="s">
        <v>331</v>
      </c>
      <c r="T98" t="s">
        <v>379</v>
      </c>
      <c r="U98" t="s">
        <v>383</v>
      </c>
      <c r="V98" t="s">
        <v>391</v>
      </c>
      <c r="W98" t="s">
        <v>385</v>
      </c>
      <c r="X98" t="s">
        <v>393</v>
      </c>
      <c r="Y98" t="s">
        <v>387</v>
      </c>
      <c r="Z98" t="s">
        <v>395</v>
      </c>
      <c r="AA98" t="s">
        <v>385</v>
      </c>
      <c r="AB98" t="s">
        <v>393</v>
      </c>
      <c r="AC98" s="2">
        <v>45386</v>
      </c>
      <c r="AD98" s="2">
        <v>45386.45833333334</v>
      </c>
      <c r="AE98" s="2">
        <v>45387.29166666666</v>
      </c>
      <c r="AF98" s="2">
        <v>45387.95833333334</v>
      </c>
      <c r="AG98" s="2">
        <v>45387.95833333334</v>
      </c>
      <c r="AH98" s="2">
        <v>45392.41666666666</v>
      </c>
      <c r="AI98" s="2">
        <v>45393</v>
      </c>
      <c r="AJ98" s="2">
        <v>45393.45833333334</v>
      </c>
      <c r="AK98" s="2">
        <v>45393.54166666666</v>
      </c>
      <c r="AL98" s="2">
        <v>45395.125</v>
      </c>
      <c r="AM98" s="2">
        <v>45395.125</v>
      </c>
      <c r="AN98" s="2">
        <v>45394</v>
      </c>
      <c r="AO98">
        <v>2</v>
      </c>
      <c r="AP98" s="2">
        <v>45405.125</v>
      </c>
      <c r="AQ98" s="2">
        <v>45410.125</v>
      </c>
      <c r="AR98" t="s">
        <v>282</v>
      </c>
      <c r="AS98">
        <v>8</v>
      </c>
      <c r="AT98">
        <v>20</v>
      </c>
      <c r="AU98">
        <v>16</v>
      </c>
      <c r="AV98">
        <v>107</v>
      </c>
      <c r="AW98">
        <v>14</v>
      </c>
      <c r="AX98" t="s">
        <v>494</v>
      </c>
      <c r="AY98">
        <v>4</v>
      </c>
      <c r="AZ98">
        <v>8</v>
      </c>
      <c r="BA98">
        <v>3</v>
      </c>
      <c r="BB98">
        <v>7.361482926653364</v>
      </c>
      <c r="BC98">
        <v>7.754872926490592</v>
      </c>
      <c r="BD98">
        <v>7.798280517244346</v>
      </c>
      <c r="BE98">
        <v>4.429642082551941</v>
      </c>
      <c r="BF98">
        <v>4.228960139930892</v>
      </c>
      <c r="BG98">
        <v>31.57323859287113</v>
      </c>
      <c r="BH98">
        <v>36.26393661575376</v>
      </c>
      <c r="BI98">
        <v>219</v>
      </c>
      <c r="BJ98">
        <v>172</v>
      </c>
      <c r="BK98">
        <v>31</v>
      </c>
      <c r="BL98">
        <v>50</v>
      </c>
      <c r="BM98">
        <v>107</v>
      </c>
      <c r="BN98">
        <v>630.7707912773842</v>
      </c>
      <c r="BO98" t="s">
        <v>292</v>
      </c>
      <c r="BP98" t="s">
        <v>502</v>
      </c>
      <c r="BQ98" t="s">
        <v>505</v>
      </c>
      <c r="BR98" t="s">
        <v>564</v>
      </c>
      <c r="BS98" t="b">
        <v>1</v>
      </c>
      <c r="BT98">
        <v>192256</v>
      </c>
      <c r="BU98">
        <v>3</v>
      </c>
      <c r="BV98">
        <v>2</v>
      </c>
    </row>
    <row r="99" spans="1:74">
      <c r="A99">
        <v>192020</v>
      </c>
      <c r="B99" t="s">
        <v>171</v>
      </c>
      <c r="C99" t="s">
        <v>271</v>
      </c>
      <c r="D99" t="s">
        <v>274</v>
      </c>
      <c r="E99" t="s">
        <v>280</v>
      </c>
      <c r="F99" t="s">
        <v>284</v>
      </c>
      <c r="G99" t="s">
        <v>295</v>
      </c>
      <c r="H99" t="b">
        <v>0</v>
      </c>
      <c r="I99" t="b">
        <v>0</v>
      </c>
      <c r="J99" t="s">
        <v>296</v>
      </c>
      <c r="K99" t="s">
        <v>297</v>
      </c>
      <c r="L99" t="s">
        <v>301</v>
      </c>
      <c r="M99" t="s">
        <v>305</v>
      </c>
      <c r="N99" t="s">
        <v>306</v>
      </c>
      <c r="O99" t="s">
        <v>307</v>
      </c>
      <c r="P99" t="s">
        <v>312</v>
      </c>
      <c r="Q99" t="s">
        <v>317</v>
      </c>
      <c r="R99" t="s">
        <v>331</v>
      </c>
      <c r="T99" t="s">
        <v>382</v>
      </c>
      <c r="U99" t="s">
        <v>389</v>
      </c>
      <c r="V99" t="s">
        <v>397</v>
      </c>
      <c r="W99" t="s">
        <v>383</v>
      </c>
      <c r="X99" t="s">
        <v>391</v>
      </c>
      <c r="AC99" s="2">
        <v>45388</v>
      </c>
      <c r="AD99" s="2">
        <v>45389.08333333334</v>
      </c>
      <c r="AE99" s="2">
        <v>45390.04166666666</v>
      </c>
      <c r="AM99" s="2">
        <v>45390.04166666666</v>
      </c>
      <c r="AN99" s="2">
        <v>45407</v>
      </c>
      <c r="AO99">
        <v>0</v>
      </c>
      <c r="AR99" t="s">
        <v>283</v>
      </c>
      <c r="AS99">
        <v>5</v>
      </c>
      <c r="AT99">
        <v>23</v>
      </c>
      <c r="AX99" t="s">
        <v>495</v>
      </c>
      <c r="AY99">
        <v>1</v>
      </c>
      <c r="AZ99">
        <v>5</v>
      </c>
      <c r="BA99">
        <v>1</v>
      </c>
      <c r="BB99">
        <v>3.276190251915833</v>
      </c>
      <c r="BC99">
        <v>17.92021432028095</v>
      </c>
      <c r="BD99">
        <v>7.727521867804373</v>
      </c>
      <c r="BE99">
        <v>11.07551026608785</v>
      </c>
      <c r="BF99">
        <v>0</v>
      </c>
      <c r="BG99">
        <v>39.99943670608901</v>
      </c>
      <c r="BH99">
        <v>40.064725148881</v>
      </c>
      <c r="BK99">
        <v>49</v>
      </c>
      <c r="BL99">
        <v>23</v>
      </c>
      <c r="BM99">
        <v>0</v>
      </c>
      <c r="BN99">
        <v>628.7707912774885</v>
      </c>
      <c r="BS99" t="b">
        <v>0</v>
      </c>
      <c r="BU99">
        <v>0</v>
      </c>
      <c r="BV99">
        <v>0</v>
      </c>
    </row>
    <row r="100" spans="1:74">
      <c r="A100">
        <v>192047</v>
      </c>
      <c r="B100" t="s">
        <v>172</v>
      </c>
      <c r="C100" t="s">
        <v>272</v>
      </c>
      <c r="D100" t="s">
        <v>277</v>
      </c>
      <c r="E100" t="s">
        <v>280</v>
      </c>
      <c r="F100" t="s">
        <v>282</v>
      </c>
      <c r="G100" t="s">
        <v>294</v>
      </c>
      <c r="H100" t="b">
        <v>0</v>
      </c>
      <c r="I100" t="b">
        <v>0</v>
      </c>
      <c r="J100" t="s">
        <v>296</v>
      </c>
      <c r="K100" t="s">
        <v>297</v>
      </c>
      <c r="L100" t="s">
        <v>299</v>
      </c>
      <c r="M100" t="s">
        <v>303</v>
      </c>
      <c r="N100" t="s">
        <v>306</v>
      </c>
      <c r="O100" t="s">
        <v>307</v>
      </c>
      <c r="P100" t="s">
        <v>312</v>
      </c>
      <c r="Q100" t="s">
        <v>317</v>
      </c>
      <c r="R100" t="s">
        <v>324</v>
      </c>
      <c r="T100" t="s">
        <v>380</v>
      </c>
      <c r="U100" t="s">
        <v>387</v>
      </c>
      <c r="V100" t="s">
        <v>395</v>
      </c>
      <c r="W100" t="s">
        <v>384</v>
      </c>
      <c r="X100" t="s">
        <v>392</v>
      </c>
      <c r="Y100" t="s">
        <v>388</v>
      </c>
      <c r="Z100" t="s">
        <v>396</v>
      </c>
      <c r="AA100" t="s">
        <v>388</v>
      </c>
      <c r="AB100" t="s">
        <v>396</v>
      </c>
      <c r="AC100" s="2">
        <v>45311</v>
      </c>
      <c r="AD100" s="2">
        <v>45312.58333333334</v>
      </c>
      <c r="AE100" s="2">
        <v>45313.54166666666</v>
      </c>
      <c r="AF100" s="2">
        <v>45314.91666666666</v>
      </c>
      <c r="AG100" s="2">
        <v>45314.91666666666</v>
      </c>
      <c r="AH100" s="2">
        <v>45315.79166666666</v>
      </c>
      <c r="AI100" s="2">
        <v>45317.79166666666</v>
      </c>
      <c r="AJ100" s="2">
        <v>45318.25</v>
      </c>
      <c r="AK100" s="2">
        <v>45318.25</v>
      </c>
      <c r="AM100" s="2">
        <v>45318.25</v>
      </c>
      <c r="AN100" s="2">
        <v>45361</v>
      </c>
      <c r="AO100">
        <v>0</v>
      </c>
      <c r="AR100" t="s">
        <v>287</v>
      </c>
      <c r="AS100">
        <v>7</v>
      </c>
      <c r="AT100">
        <v>23</v>
      </c>
      <c r="AU100">
        <v>33</v>
      </c>
      <c r="AV100">
        <v>21</v>
      </c>
      <c r="AW100">
        <v>48</v>
      </c>
      <c r="AX100" t="s">
        <v>496</v>
      </c>
      <c r="AY100">
        <v>1</v>
      </c>
      <c r="AZ100">
        <v>7</v>
      </c>
      <c r="BA100">
        <v>1</v>
      </c>
      <c r="BB100">
        <v>0.6159246239665057</v>
      </c>
      <c r="BC100">
        <v>16.54168464149756</v>
      </c>
      <c r="BD100">
        <v>16.3495915615213</v>
      </c>
      <c r="BE100">
        <v>10.27192360686844</v>
      </c>
      <c r="BF100">
        <v>0</v>
      </c>
      <c r="BG100">
        <v>43.77912443385381</v>
      </c>
      <c r="BH100">
        <v>36.74502818926951</v>
      </c>
      <c r="BK100">
        <v>61</v>
      </c>
      <c r="BL100">
        <v>104</v>
      </c>
      <c r="BM100">
        <v>21</v>
      </c>
      <c r="BN100">
        <v>705.7707912776042</v>
      </c>
      <c r="BO100" t="s">
        <v>498</v>
      </c>
      <c r="BP100" t="s">
        <v>502</v>
      </c>
      <c r="BS100" t="b">
        <v>0</v>
      </c>
      <c r="BU100">
        <v>3</v>
      </c>
      <c r="BV100">
        <v>1</v>
      </c>
    </row>
    <row r="101" spans="1:74">
      <c r="A101">
        <v>189219</v>
      </c>
      <c r="B101" t="s">
        <v>173</v>
      </c>
      <c r="C101" t="s">
        <v>273</v>
      </c>
      <c r="D101" t="s">
        <v>276</v>
      </c>
      <c r="E101" t="s">
        <v>280</v>
      </c>
      <c r="F101" t="s">
        <v>283</v>
      </c>
      <c r="G101" t="s">
        <v>293</v>
      </c>
      <c r="H101" t="b">
        <v>0</v>
      </c>
      <c r="I101" t="b">
        <v>0</v>
      </c>
      <c r="J101" t="s">
        <v>296</v>
      </c>
      <c r="K101" t="s">
        <v>297</v>
      </c>
      <c r="L101" t="s">
        <v>300</v>
      </c>
      <c r="M101" t="s">
        <v>304</v>
      </c>
      <c r="N101" t="s">
        <v>306</v>
      </c>
      <c r="O101" t="s">
        <v>307</v>
      </c>
      <c r="P101" t="s">
        <v>310</v>
      </c>
      <c r="Q101" t="s">
        <v>315</v>
      </c>
      <c r="R101" t="s">
        <v>340</v>
      </c>
      <c r="T101" t="s">
        <v>378</v>
      </c>
      <c r="U101" t="s">
        <v>384</v>
      </c>
      <c r="V101" t="s">
        <v>392</v>
      </c>
      <c r="W101" t="s">
        <v>388</v>
      </c>
      <c r="X101" t="s">
        <v>396</v>
      </c>
      <c r="AC101" s="2">
        <v>45445</v>
      </c>
      <c r="AD101" s="2">
        <v>45445.33333333334</v>
      </c>
      <c r="AM101" s="2">
        <v>45445.33333333334</v>
      </c>
      <c r="AN101" s="2">
        <v>45502</v>
      </c>
      <c r="AO101">
        <v>0</v>
      </c>
      <c r="AR101" t="s">
        <v>286</v>
      </c>
      <c r="AS101">
        <v>1</v>
      </c>
      <c r="AX101" t="s">
        <v>497</v>
      </c>
      <c r="AY101">
        <v>0</v>
      </c>
      <c r="AZ101">
        <v>3</v>
      </c>
      <c r="BA101">
        <v>1</v>
      </c>
      <c r="BB101">
        <v>7.462389219407941</v>
      </c>
      <c r="BC101">
        <v>25.01815382403644</v>
      </c>
      <c r="BD101">
        <v>18.97134725898524</v>
      </c>
      <c r="BE101">
        <v>6.372440770492608</v>
      </c>
      <c r="BF101">
        <v>0</v>
      </c>
      <c r="BG101">
        <v>57.82433107292224</v>
      </c>
      <c r="BH101">
        <v>71.6874105209324</v>
      </c>
      <c r="BL101">
        <v>0</v>
      </c>
      <c r="BM101">
        <v>0</v>
      </c>
      <c r="BN101">
        <v>571.7707912777083</v>
      </c>
      <c r="BS101" t="b">
        <v>0</v>
      </c>
      <c r="BU101">
        <v>0</v>
      </c>
      <c r="BV101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D292"/>
  <sheetViews>
    <sheetView workbookViewId="0"/>
  </sheetViews>
  <sheetFormatPr defaultRowHeight="15"/>
  <sheetData>
    <row r="1" spans="1:4">
      <c r="A1" s="1" t="s">
        <v>565</v>
      </c>
      <c r="B1" s="1" t="s">
        <v>566</v>
      </c>
      <c r="C1" s="1" t="s">
        <v>567</v>
      </c>
      <c r="D1" s="1" t="s">
        <v>2</v>
      </c>
    </row>
    <row r="2" spans="1:4">
      <c r="A2" t="s">
        <v>568</v>
      </c>
      <c r="B2">
        <f>SUM('Bugs'[BusinessImpact])</f>
        <v>0</v>
      </c>
      <c r="C2">
        <v>0</v>
      </c>
      <c r="D2" t="s">
        <v>859</v>
      </c>
    </row>
    <row r="3" spans="1:4">
      <c r="A3" t="s">
        <v>569</v>
      </c>
      <c r="B3">
        <f>AVERAGE('Bugs'[BusinessImpact])</f>
        <v>0</v>
      </c>
      <c r="C3">
        <v>0</v>
      </c>
      <c r="D3" t="s">
        <v>860</v>
      </c>
    </row>
    <row r="4" spans="1:4">
      <c r="A4" t="s">
        <v>570</v>
      </c>
      <c r="B4">
        <f>CALCULATE(COUNTA(raw_data!A:A)-1, 'Bugs'[BusinessImpact] &gt; 10000)</f>
        <v>0</v>
      </c>
      <c r="C4">
        <v>0</v>
      </c>
      <c r="D4" t="s">
        <v>861</v>
      </c>
    </row>
    <row r="5" spans="1:4">
      <c r="A5" t="s">
        <v>571</v>
      </c>
      <c r="B5" cm="1">
        <f t="array" ref="B5">_xlfn.SWITCH(TRUE(),
        [V23_Security_Bugs] &gt; 10, "High",
        [V23_Security_Bugs] &gt; 5, "Medium",
        "Low"
    )</f>
        <v>0</v>
      </c>
      <c r="C5">
        <v>0</v>
      </c>
      <c r="D5" t="s">
        <v>862</v>
      </c>
    </row>
    <row r="6" spans="1:4">
      <c r="A6" t="s">
        <v>572</v>
      </c>
      <c r="B6">
        <f>CALCULATE(COUNTA(raw_data!A:A)-1, 'Bugs'[Category] = "Compliance")</f>
        <v>0</v>
      </c>
      <c r="C6">
        <v>0</v>
      </c>
      <c r="D6" t="s">
        <v>863</v>
      </c>
    </row>
    <row r="7" spans="1:4">
      <c r="A7" t="s">
        <v>573</v>
      </c>
      <c r="B7">
        <f>CALCULATE(COUNTA(raw_data!A:A)-1, 'Bugs'[Category] = "Data Loss")</f>
        <v>0</v>
      </c>
      <c r="C7">
        <v>0</v>
      </c>
      <c r="D7" t="s">
        <v>864</v>
      </c>
    </row>
    <row r="8" spans="1:4">
      <c r="A8" t="s">
        <v>574</v>
      </c>
      <c r="B8">
        <f>CALCULATE(
        COUNTA(raw_data!A:A)-1,
        raw_data!D:D = "Critical",
        'Bugs'[BusinessImpact] &gt; 0
    )</f>
        <v>0</v>
      </c>
      <c r="C8">
        <v>0</v>
      </c>
      <c r="D8" t="s">
        <v>865</v>
      </c>
    </row>
    <row r="9" spans="1:4">
      <c r="A9" t="s">
        <v>575</v>
      </c>
      <c r="B9">
        <f>[J18_Project_Cost_of_Quality]</f>
        <v>0</v>
      </c>
      <c r="C9">
        <v>0</v>
      </c>
      <c r="D9" t="s">
        <v>866</v>
      </c>
    </row>
    <row r="10" spans="1:4">
      <c r="A10" t="s">
        <v>576</v>
      </c>
      <c r="B10">
        <f>AVERAGEX(
        VALUES(raw_data!D:D),
        CALCULATE(AVERAGE('Bugs'[BusinessImpact]))
    )</f>
        <v>0</v>
      </c>
      <c r="C10">
        <v>0</v>
      </c>
      <c r="D10" t="s">
        <v>867</v>
      </c>
    </row>
    <row r="11" spans="1:4">
      <c r="A11" t="s">
        <v>577</v>
      </c>
      <c r="B11">
        <f>SUM('Bugs'[BusinessImpact])</f>
        <v>0</v>
      </c>
      <c r="C11">
        <v>0</v>
      </c>
      <c r="D11" t="s">
        <v>868</v>
      </c>
    </row>
    <row r="12" spans="1:4">
      <c r="A12" t="s">
        <v>578</v>
      </c>
      <c r="B12">
        <f>AVERAGEX(
        VALUES('Bugs'[ModuleName]),
        CALCULATE(SUM('Bugs'[BusinessImpact]))
    )</f>
        <v>0</v>
      </c>
      <c r="C12">
        <v>0</v>
      </c>
      <c r="D12" t="s">
        <v>869</v>
      </c>
    </row>
    <row r="13" spans="1:4">
      <c r="A13" t="s">
        <v>579</v>
      </c>
      <c r="B13">
        <f>CALCULATE(
        SUM('Bugs'[BusinessImpact]),
        raw_data!D:D IN {"Critical", "High"}
    )</f>
        <v>0</v>
      </c>
      <c r="C13">
        <v>0</v>
      </c>
      <c r="D13" t="s">
        <v>870</v>
      </c>
    </row>
    <row r="14" spans="1:4">
      <c r="A14" t="s">
        <v>580</v>
      </c>
      <c r="B14">
        <f>CALCULATE(
        SUM('Bugs'[BusinessImpact]),
        'Bugs'[Tags] CONTAINS "Production"
    )</f>
        <v>0</v>
      </c>
      <c r="C14">
        <v>0</v>
      </c>
      <c r="D14" t="s">
        <v>871</v>
      </c>
    </row>
    <row r="15" spans="1:4">
      <c r="A15" t="s">
        <v>581</v>
      </c>
      <c r="B15">
        <f>CALCULATE(
        SUM('Bugs'[BusinessImpact]),
        raw_data!I:I = TRUE
    )</f>
        <v>0</v>
      </c>
      <c r="C15">
        <v>0</v>
      </c>
      <c r="D15" t="s">
        <v>872</v>
      </c>
    </row>
    <row r="16" spans="1:4">
      <c r="A16" t="s">
        <v>582</v>
      </c>
      <c r="B16">
        <f>([B15_Total_Business_Impact] * 0.4) +
    ([B19_Escaped_Bug_Impact] * 0.35) +
    ([B17_High_Severity_Impact] * 0.25)</f>
        <v>0</v>
      </c>
      <c r="C16">
        <v>0</v>
      </c>
      <c r="D16" t="s">
        <v>873</v>
      </c>
    </row>
    <row r="17" spans="1:4">
      <c r="A17" t="s">
        <v>583</v>
      </c>
      <c r="B17">
        <f>AVERAGE('Bugs'[TotalEffortHrs]) * 100</f>
        <v>0</v>
      </c>
      <c r="C17">
        <v>0</v>
      </c>
      <c r="D17" t="s">
        <v>874</v>
      </c>
    </row>
    <row r="18" spans="1:4">
      <c r="A18" t="s">
        <v>584</v>
      </c>
      <c r="B18">
        <f>CALCULATE(
        SUM('Bugs'[BusinessImpact]),
        'Bugs'[Category] = "Security"
    )</f>
        <v>0</v>
      </c>
      <c r="C18">
        <v>0</v>
      </c>
      <c r="D18" t="s">
        <v>875</v>
      </c>
    </row>
    <row r="19" spans="1:4">
      <c r="A19" t="s">
        <v>585</v>
      </c>
      <c r="B19">
        <f>CALCULATE(
        SUM('Bugs'[BusinessImpact]),
        'Bugs'[Category] = "Performance"
    )</f>
        <v>0</v>
      </c>
      <c r="C19">
        <v>0</v>
      </c>
      <c r="D19" t="s">
        <v>876</v>
      </c>
    </row>
    <row r="20" spans="1:4">
      <c r="A20" t="s">
        <v>586</v>
      </c>
      <c r="B20">
        <f>CALCULATE(
        SUM('Bugs'[TotalEffortHrs]),
        'Bugs'[Category] = "Compliance"
    ) * 100</f>
        <v>0</v>
      </c>
      <c r="C20">
        <v>0</v>
      </c>
      <c r="D20" t="s">
        <v>877</v>
      </c>
    </row>
    <row r="21" spans="1:4">
      <c r="A21" t="s">
        <v>587</v>
      </c>
      <c r="B21">
        <f>CALCULATE(
        SUM('Bugs'[BusinessImpact]),
        ALLEXCEPT('Bugs', raw_data!E:E)
    )</f>
        <v>0</v>
      </c>
      <c r="C21">
        <v>0</v>
      </c>
      <c r="D21" t="s">
        <v>878</v>
      </c>
    </row>
    <row r="22" spans="1:4">
      <c r="A22" t="s">
        <v>588</v>
      </c>
      <c r="B22">
        <f>[V22_Customer_Reported_Bugs]</f>
        <v>0</v>
      </c>
      <c r="C22">
        <v>0</v>
      </c>
      <c r="D22" t="s">
        <v>879</v>
      </c>
    </row>
    <row r="23" spans="1:4">
      <c r="A23" t="s">
        <v>589</v>
      </c>
      <c r="B23">
        <f>DIVIDE([C01_Customer_Reported_Bugs], [V01_Total_Bugs], 0)</f>
        <v>0</v>
      </c>
      <c r="C23">
        <v>0</v>
      </c>
      <c r="D23" t="s">
        <v>880</v>
      </c>
    </row>
    <row r="24" spans="1:4">
      <c r="A24" t="s">
        <v>590</v>
      </c>
      <c r="B24" cm="1">
        <f t="array" ref="B24">AVERAGEX(
        _xlfn._xlws.FILTER('Bugs', raw_data!I:I = TRUE),
        'Bugs'[ResponseTimeHrs]
    )</f>
        <v>0</v>
      </c>
      <c r="C24">
        <v>0</v>
      </c>
      <c r="D24" t="s">
        <v>881</v>
      </c>
    </row>
    <row r="25" spans="1:4">
      <c r="A25" t="s">
        <v>591</v>
      </c>
      <c r="B25" cm="1">
        <f t="array" ref="B25">AVERAGEX(
        _xlfn._xlws.FILTER('Bugs', raw_data!I:I = TRUE),
        'Bugs'[LeadTimeHrs]
    )</f>
        <v>0</v>
      </c>
      <c r="C25">
        <v>0</v>
      </c>
      <c r="D25" t="s">
        <v>882</v>
      </c>
    </row>
    <row r="26" spans="1:4">
      <c r="A26" t="s">
        <v>592</v>
      </c>
      <c r="B26">
        <f>CALCULATE(
        COUNTA(raw_data!A:A)-1,
        raw_data!I:I = TRUE,
        raw_data!D:D = "Critical"
    )</f>
        <v>0</v>
      </c>
      <c r="C26">
        <v>0</v>
      </c>
      <c r="D26" t="s">
        <v>883</v>
      </c>
    </row>
    <row r="27" spans="1:4">
      <c r="A27" t="s">
        <v>593</v>
      </c>
      <c r="B27">
        <f>CALCULATE(
        COUNTA(raw_data!A:A)-1,
        raw_data!I:I = TRUE,
        raw_data!D:D = "High"
    )</f>
        <v>0</v>
      </c>
      <c r="C27">
        <v>0</v>
      </c>
      <c r="D27" t="s">
        <v>884</v>
      </c>
    </row>
    <row r="28" spans="1:4">
      <c r="A28" t="s">
        <v>594</v>
      </c>
      <c r="B28">
        <f>1 - ([C02_Customer_Bug_Rate] * 0.4 + [Q01_Escape_Rate] * 0.6)</f>
        <v>0</v>
      </c>
      <c r="C28">
        <v>0</v>
      </c>
      <c r="D28" t="s">
        <v>885</v>
      </c>
    </row>
    <row r="29" spans="1:4">
      <c r="A29" t="s">
        <v>595</v>
      </c>
      <c r="B29">
        <f>([C05_Customer_Critical_Bugs] * 10) +
    ([C06_Customer_High_Bugs] * 5) +
    ([C01_Customer_Reported_Bugs] * 1)</f>
        <v>0</v>
      </c>
      <c r="C29">
        <v>0</v>
      </c>
      <c r="D29" t="s">
        <v>886</v>
      </c>
    </row>
    <row r="30" spans="1:4">
      <c r="A30" t="s">
        <v>596</v>
      </c>
      <c r="B30">
        <f>Complex formula (see DAX reference)</f>
        <v>0</v>
      </c>
      <c r="C30">
        <v>0</v>
      </c>
      <c r="D30" t="s">
        <v>887</v>
      </c>
    </row>
    <row r="31" spans="1:4">
      <c r="A31" t="s">
        <v>597</v>
      </c>
      <c r="B31">
        <f>DIVIDE(
        CALCULATE(COUNTA(raw_data!A:A)-1, raw_data!AM:AM &gt; 0, raw_data!I:I = TRUE),
        [C01_Customer_Reported_Bugs],
        0
    )</f>
        <v>0</v>
      </c>
      <c r="C31">
        <v>0</v>
      </c>
      <c r="D31" t="s">
        <v>888</v>
      </c>
    </row>
    <row r="32" spans="1:4">
      <c r="A32" t="s">
        <v>598</v>
      </c>
      <c r="B32" cm="1">
        <f t="array" ref="B32">AVERAGEX(
        _xlfn._xlws.FILTER('Bugs', raw_data!I:I = TRUE),
        'Bugs'[TotalEffortHrs]
    )</f>
        <v>0</v>
      </c>
      <c r="C32">
        <v>0</v>
      </c>
      <c r="D32" t="s">
        <v>889</v>
      </c>
    </row>
    <row r="33" spans="1:4">
      <c r="A33" t="s">
        <v>599</v>
      </c>
      <c r="B33">
        <f>DIVIDE(
        CALCULATE(COUNTA(raw_data!A:A)-1, raw_data!E:E = "P0", raw_data!I:I = TRUE),
        [C01_Customer_Reported_Bugs],
        0
    )</f>
        <v>0</v>
      </c>
      <c r="C33">
        <v>0</v>
      </c>
      <c r="D33" t="s">
        <v>890</v>
      </c>
    </row>
    <row r="34" spans="1:4">
      <c r="A34" t="s">
        <v>600</v>
      </c>
      <c r="B34">
        <f>([C07_Customer_Satisfaction_Index] * 0.4) +
    ((1 - [C10_Customer_Reopen_Rate]) * 0.3) +
    ([C09_SLA_Compliance_Rate] * 0.3)</f>
        <v>0</v>
      </c>
      <c r="C34">
        <v>0</v>
      </c>
      <c r="D34" t="s">
        <v>891</v>
      </c>
    </row>
    <row r="35" spans="1:4">
      <c r="A35" t="s">
        <v>601</v>
      </c>
      <c r="B35">
        <f>DIVIDE(
        CALCULATE(COUNTA(raw_data!A:A)-1, raw_data!F:F IN {"Resolved", "Done", "Closed"}, raw_data!I:I = TRUE),
        [C01_Customer_Reported_Bugs],
        0
    )</f>
        <v>0</v>
      </c>
      <c r="C35">
        <v>0</v>
      </c>
      <c r="D35" t="s">
        <v>892</v>
      </c>
    </row>
    <row r="36" spans="1:4">
      <c r="A36" t="s">
        <v>602</v>
      </c>
      <c r="B36">
        <f>CALCULATE(
        COUNTA(raw_data!A:A)-1,
        raw_data!F:F NOT IN {"Resolved", "Done", "Closed"},
        raw_data!I:I = TRUE
    )</f>
        <v>0</v>
      </c>
      <c r="C36">
        <v>0</v>
      </c>
      <c r="D36" t="s">
        <v>893</v>
      </c>
    </row>
    <row r="37" spans="1:4">
      <c r="A37" t="s">
        <v>603</v>
      </c>
      <c r="B37" cm="1">
        <f t="array" ref="B37">AVERAGEX(
        _xlfn._xlws.FILTER('Bugs', raw_data!I:I = TRUE),
        'Bugs'[WaitTimeHrs]
    )</f>
        <v>0</v>
      </c>
      <c r="C37">
        <v>0</v>
      </c>
      <c r="D37" t="s">
        <v>894</v>
      </c>
    </row>
    <row r="38" spans="1:4">
      <c r="A38" t="s">
        <v>604</v>
      </c>
      <c r="B38">
        <f>Complex formula (see DAX reference)</f>
        <v>0</v>
      </c>
      <c r="C38">
        <v>0</v>
      </c>
      <c r="D38" t="s">
        <v>895</v>
      </c>
    </row>
    <row r="39" spans="1:4">
      <c r="A39" t="s">
        <v>605</v>
      </c>
      <c r="B39" cm="1">
        <f t="array" ref="B39">AVERAGEX(
        _xlfn._xlws.FILTER('Bugs', raw_data!I:I = TRUE &amp;&amp; raw_data!E:E = "P0"),
        'Bugs'[ResponseTimeHrs]
    )</f>
        <v>0</v>
      </c>
      <c r="C39">
        <v>0</v>
      </c>
      <c r="D39" t="s">
        <v>896</v>
      </c>
    </row>
    <row r="40" spans="1:4">
      <c r="A40" t="s">
        <v>606</v>
      </c>
      <c r="B40">
        <f>COUNTIF(raw_data!BR:BR,"By Design")</f>
        <v>0</v>
      </c>
      <c r="C40">
        <v>1</v>
      </c>
      <c r="D40" t="s">
        <v>897</v>
      </c>
    </row>
    <row r="41" spans="1:4">
      <c r="A41" t="s">
        <v>607</v>
      </c>
      <c r="B41">
        <f>COUNTIF(raw_data!BR:BR,"Cannot Reproduce")</f>
        <v>0</v>
      </c>
      <c r="C41">
        <v>4</v>
      </c>
      <c r="D41" t="s">
        <v>898</v>
      </c>
    </row>
    <row r="42" spans="1:4">
      <c r="A42" t="s">
        <v>608</v>
      </c>
      <c r="B42">
        <f>COUNTIF(raw_data!BR:BR,"Completed")</f>
        <v>0</v>
      </c>
      <c r="C42">
        <v>21</v>
      </c>
      <c r="D42" t="s">
        <v>899</v>
      </c>
    </row>
    <row r="43" spans="1:4">
      <c r="A43" t="s">
        <v>609</v>
      </c>
      <c r="B43">
        <f>COUNTIF(raw_data!BR:BR,"Duplicate")</f>
        <v>0</v>
      </c>
      <c r="C43">
        <v>4</v>
      </c>
      <c r="D43" t="s">
        <v>900</v>
      </c>
    </row>
    <row r="44" spans="1:4">
      <c r="A44" t="s">
        <v>610</v>
      </c>
      <c r="B44">
        <f>COUNTIF(raw_data!BR:BR,"Invalid")</f>
        <v>0</v>
      </c>
      <c r="C44">
        <v>0</v>
      </c>
      <c r="D44" t="s">
        <v>901</v>
      </c>
    </row>
    <row r="45" spans="1:4">
      <c r="A45" t="s">
        <v>611</v>
      </c>
      <c r="B45">
        <f>COUNTIF(raw_data!BR:BR,"Obsolete")</f>
        <v>0</v>
      </c>
      <c r="C45">
        <v>1</v>
      </c>
      <c r="D45" t="s">
        <v>902</v>
      </c>
    </row>
    <row r="46" spans="1:4">
      <c r="A46" t="s">
        <v>612</v>
      </c>
      <c r="B46">
        <f>COUNTIF(raw_data!BR:BR,"Won't Fix")</f>
        <v>0</v>
      </c>
      <c r="C46">
        <v>0</v>
      </c>
      <c r="D46" t="s">
        <v>903</v>
      </c>
    </row>
    <row r="47" spans="1:4">
      <c r="A47" t="s">
        <v>613</v>
      </c>
      <c r="B47">
        <f>DIVIDE(
        COUNTA(raw_data!A:A)-1,
        CALCULATE(COUNTA(raw_data!A:A)-1, ALL('Bugs'[CloseReason])),
        0
    )</f>
        <v>0</v>
      </c>
      <c r="C47">
        <v>0</v>
      </c>
      <c r="D47" t="s">
        <v>904</v>
      </c>
    </row>
    <row r="48" spans="1:4">
      <c r="A48" t="s">
        <v>614</v>
      </c>
      <c r="B48">
        <f>CR02_Cannot_Reproduce_Count/V09_Closed_Bugs*100</f>
        <v>0</v>
      </c>
      <c r="C48">
        <v>12.90322580645161</v>
      </c>
      <c r="D48" t="s">
        <v>905</v>
      </c>
    </row>
    <row r="49" spans="1:4">
      <c r="A49" t="s">
        <v>615</v>
      </c>
      <c r="B49">
        <f>CR04_Duplicate_Count/V09_Closed_Bugs*100</f>
        <v>0</v>
      </c>
      <c r="C49">
        <v>12.90322580645161</v>
      </c>
      <c r="D49" t="s">
        <v>906</v>
      </c>
    </row>
    <row r="50" spans="1:4">
      <c r="A50" t="s">
        <v>616</v>
      </c>
      <c r="B50">
        <f>DIVIDE(
        [CR05_Invalid_Count],
        [V09_Closed_Bugs],
        0
    )</f>
        <v>0</v>
      </c>
      <c r="C50">
        <v>0</v>
      </c>
      <c r="D50" t="s">
        <v>907</v>
      </c>
    </row>
    <row r="51" spans="1:4">
      <c r="A51" t="s">
        <v>617</v>
      </c>
      <c r="B51">
        <f>CR03_Completed_Count/V09_Closed_Bugs*100</f>
        <v>0</v>
      </c>
      <c r="C51">
        <v>67.74193548387096</v>
      </c>
      <c r="D51" t="s">
        <v>908</v>
      </c>
    </row>
    <row r="52" spans="1:4">
      <c r="A52" t="s">
        <v>618</v>
      </c>
      <c r="B52">
        <f>DIVIDE(
        [CR01_By_Design_Count],
        [V09_Closed_Bugs],
        0
    )</f>
        <v>0</v>
      </c>
      <c r="C52">
        <v>0</v>
      </c>
      <c r="D52" t="s">
        <v>909</v>
      </c>
    </row>
    <row r="53" spans="1:4">
      <c r="A53" t="s">
        <v>619</v>
      </c>
      <c r="B53">
        <f>DIVIDE(
        [CR07_Wont_Fix_Count],
        [V09_Closed_Bugs],
        0
    )</f>
        <v>0</v>
      </c>
      <c r="C53">
        <v>0</v>
      </c>
      <c r="D53" t="s">
        <v>910</v>
      </c>
    </row>
    <row r="54" spans="1:4">
      <c r="A54" t="s">
        <v>620</v>
      </c>
      <c r="B54">
        <f>DIVIDE(
        [CR03_Completed_Count],
        [V09_Closed_Bugs] - [CR04_Duplicate_Count] - [CR05_Invalid_Count],
        0
    )</f>
        <v>0</v>
      </c>
      <c r="C54">
        <v>0</v>
      </c>
      <c r="D54" t="s">
        <v>911</v>
      </c>
    </row>
    <row r="55" spans="1:4">
      <c r="A55" t="s">
        <v>621</v>
      </c>
      <c r="B55">
        <f>SUM(raw_data!BA:BA)</f>
        <v>0</v>
      </c>
      <c r="C55">
        <v>4680.708123076106</v>
      </c>
      <c r="D55" t="s">
        <v>912</v>
      </c>
    </row>
    <row r="56" spans="1:4">
      <c r="A56" t="s">
        <v>622</v>
      </c>
      <c r="B56">
        <f>AVERAGE(raw_data!BA:BA)</f>
        <v>0</v>
      </c>
      <c r="C56">
        <v>46.80708123076106</v>
      </c>
      <c r="D56" t="s">
        <v>913</v>
      </c>
    </row>
    <row r="57" spans="1:4">
      <c r="A57" t="s">
        <v>623</v>
      </c>
      <c r="B57">
        <f>MEDIAN(raw_data!BA:BA)</f>
        <v>0</v>
      </c>
      <c r="C57">
        <v>46.55906400149468</v>
      </c>
      <c r="D57" t="s">
        <v>914</v>
      </c>
    </row>
    <row r="58" spans="1:4">
      <c r="A58" t="s">
        <v>624</v>
      </c>
      <c r="B58">
        <f>SUM(raw_data!AX:AX)</f>
        <v>0</v>
      </c>
      <c r="C58">
        <v>2063.355320835314</v>
      </c>
      <c r="D58" t="s">
        <v>915</v>
      </c>
    </row>
    <row r="59" spans="1:4">
      <c r="A59" t="s">
        <v>625</v>
      </c>
      <c r="B59">
        <f>SUM(raw_data!AZ:AZ)</f>
        <v>0</v>
      </c>
      <c r="C59">
        <v>943.477047758079</v>
      </c>
      <c r="D59" t="s">
        <v>916</v>
      </c>
    </row>
    <row r="60" spans="1:4">
      <c r="A60" t="s">
        <v>626</v>
      </c>
      <c r="B60">
        <f>SUM(raw_data!AW:AW)</f>
        <v>0</v>
      </c>
      <c r="C60">
        <v>424.2621741689522</v>
      </c>
      <c r="D60" t="s">
        <v>917</v>
      </c>
    </row>
    <row r="61" spans="1:4">
      <c r="A61" t="s">
        <v>627</v>
      </c>
      <c r="B61">
        <f>SUM(raw_data!AY:AY)</f>
        <v>0</v>
      </c>
      <c r="C61">
        <v>1045.48169488181</v>
      </c>
      <c r="D61" t="s">
        <v>918</v>
      </c>
    </row>
    <row r="62" spans="1:4">
      <c r="A62" t="s">
        <v>628</v>
      </c>
      <c r="B62">
        <f>SUM('Bugs'[ReopenEffortHrs])</f>
        <v>0</v>
      </c>
      <c r="C62">
        <v>0</v>
      </c>
      <c r="D62" t="s">
        <v>919</v>
      </c>
    </row>
    <row r="63" spans="1:4">
      <c r="A63" t="s">
        <v>629</v>
      </c>
      <c r="B63">
        <f>AVERAGE(raw_data!AX:AX)</f>
        <v>0</v>
      </c>
      <c r="C63">
        <v>20.63355320835315</v>
      </c>
      <c r="D63" t="s">
        <v>920</v>
      </c>
    </row>
    <row r="64" spans="1:4">
      <c r="A64" t="s">
        <v>630</v>
      </c>
      <c r="B64">
        <f>AVERAGE(raw_data!AZ:AZ)</f>
        <v>0</v>
      </c>
      <c r="C64">
        <v>9.434770477580791</v>
      </c>
      <c r="D64" t="s">
        <v>921</v>
      </c>
    </row>
    <row r="65" spans="1:4">
      <c r="A65" t="s">
        <v>631</v>
      </c>
      <c r="B65">
        <f>AVERAGE('Bugs'[AnalysisEffortHrs])</f>
        <v>0</v>
      </c>
      <c r="C65">
        <v>0</v>
      </c>
      <c r="D65" t="s">
        <v>922</v>
      </c>
    </row>
    <row r="66" spans="1:4">
      <c r="A66" t="s">
        <v>632</v>
      </c>
      <c r="B66">
        <f>AVERAGE('Bugs'[FixEffortHrs])</f>
        <v>0</v>
      </c>
      <c r="C66">
        <v>0</v>
      </c>
      <c r="D66" t="s">
        <v>923</v>
      </c>
    </row>
    <row r="67" spans="1:4">
      <c r="A67" t="s">
        <v>633</v>
      </c>
      <c r="B67">
        <f>E04_Total_Dev_Effort/E01_Total_Effort*100</f>
        <v>0</v>
      </c>
      <c r="C67">
        <v>44.08211891407793</v>
      </c>
      <c r="D67" t="s">
        <v>924</v>
      </c>
    </row>
    <row r="68" spans="1:4">
      <c r="A68" t="s">
        <v>634</v>
      </c>
      <c r="B68">
        <f>E05_Total_Test_Effort/E01_Total_Effort*100</f>
        <v>0</v>
      </c>
      <c r="C68">
        <v>20.15671609829064</v>
      </c>
      <c r="D68" t="s">
        <v>925</v>
      </c>
    </row>
    <row r="69" spans="1:4">
      <c r="A69" t="s">
        <v>635</v>
      </c>
      <c r="B69">
        <f>DIVIDE([E06_Total_Analysis_Effort], [E01_Total_Effort], 0)</f>
        <v>0</v>
      </c>
      <c r="C69">
        <v>0</v>
      </c>
      <c r="D69" t="s">
        <v>926</v>
      </c>
    </row>
    <row r="70" spans="1:4">
      <c r="A70" t="s">
        <v>636</v>
      </c>
      <c r="B70">
        <f>DIVIDE([E07_Total_Fix_Effort], [E01_Total_Effort], 0)</f>
        <v>0</v>
      </c>
      <c r="C70">
        <v>0</v>
      </c>
      <c r="D70" t="s">
        <v>927</v>
      </c>
    </row>
    <row r="71" spans="1:4">
      <c r="A71" t="s">
        <v>637</v>
      </c>
      <c r="B71">
        <f>DIVIDE([E08_Total_Reopen_Effort], [E01_Total_Effort], 0)</f>
        <v>0</v>
      </c>
      <c r="C71">
        <v>0</v>
      </c>
      <c r="D71" t="s">
        <v>928</v>
      </c>
    </row>
    <row r="72" spans="1:4">
      <c r="A72" t="s">
        <v>638</v>
      </c>
      <c r="B72">
        <f>CALCULATE(
        SUM('Bugs'[TotalEffortHrs]),
        raw_data!D:D = "Critical"
    )</f>
        <v>0</v>
      </c>
      <c r="C72">
        <v>0</v>
      </c>
      <c r="D72" t="s">
        <v>929</v>
      </c>
    </row>
    <row r="73" spans="1:4">
      <c r="A73" t="s">
        <v>639</v>
      </c>
      <c r="B73">
        <f>CALCULATE(
        SUM('Bugs'[TotalEffortHrs]),
        raw_data!D:D = "High"
    )</f>
        <v>0</v>
      </c>
      <c r="C73">
        <v>0</v>
      </c>
      <c r="D73" t="s">
        <v>930</v>
      </c>
    </row>
    <row r="74" spans="1:4">
      <c r="A74" t="s">
        <v>640</v>
      </c>
      <c r="B74">
        <f>CALCULATE(
        SUM('Bugs'[TotalEffortHrs]),
        raw_data!I:I = TRUE
    )</f>
        <v>0</v>
      </c>
      <c r="C74">
        <v>0</v>
      </c>
      <c r="D74" t="s">
        <v>931</v>
      </c>
    </row>
    <row r="75" spans="1:4">
      <c r="A75" t="s">
        <v>641</v>
      </c>
      <c r="B75">
        <f>AVERAGEX(
        'Bugs',
        'Bugs'[TotalEffortHrs] - 'Bugs'[EstimatedEffortHrs]
    )</f>
        <v>0</v>
      </c>
      <c r="C75">
        <v>0</v>
      </c>
      <c r="D75" t="s">
        <v>932</v>
      </c>
    </row>
    <row r="76" spans="1:4">
      <c r="A76" t="s">
        <v>642</v>
      </c>
      <c r="B76">
        <f>DIVIDE(
        [E21_Effort_Variance],
        AVERAGE('Bugs'[EstimatedEffortHrs]),
        0
    )</f>
        <v>0</v>
      </c>
      <c r="C76">
        <v>0</v>
      </c>
      <c r="D76" t="s">
        <v>933</v>
      </c>
    </row>
    <row r="77" spans="1:4">
      <c r="A77" t="s">
        <v>643</v>
      </c>
      <c r="B77">
        <f>1 - ABS([E22_Effort_Variance_Pct])</f>
        <v>0</v>
      </c>
      <c r="C77">
        <v>0</v>
      </c>
      <c r="D77" t="s">
        <v>934</v>
      </c>
    </row>
    <row r="78" spans="1:4">
      <c r="A78" t="s">
        <v>644</v>
      </c>
      <c r="B78">
        <f>DIVIDE(
        [E18_Critical_Bugs_Effort],
        CALCULATE(COUNTA(raw_data!A:A)-1, raw_data!D:D = "Critical"),
        0
    )</f>
        <v>0</v>
      </c>
      <c r="C78">
        <v>0</v>
      </c>
      <c r="D78" t="s">
        <v>935</v>
      </c>
    </row>
    <row r="79" spans="1:4">
      <c r="A79" t="s">
        <v>645</v>
      </c>
      <c r="B79">
        <f>DIVIDE(
        [E19_High_Bugs_Effort],
        CALCULATE(COUNTA(raw_data!A:A)-1, raw_data!D:D = "High"),
        0
    )</f>
        <v>0</v>
      </c>
      <c r="C79">
        <v>0</v>
      </c>
      <c r="D79" t="s">
        <v>936</v>
      </c>
    </row>
    <row r="80" spans="1:4">
      <c r="A80" t="s">
        <v>646</v>
      </c>
      <c r="B80">
        <f>[E08_Total_Reopen_Effort]</f>
        <v>0</v>
      </c>
      <c r="C80">
        <v>0</v>
      </c>
      <c r="D80" t="s">
        <v>937</v>
      </c>
    </row>
    <row r="81" spans="1:4">
      <c r="A81" t="s">
        <v>647</v>
      </c>
      <c r="B81">
        <f>V01_Total_Bugs</f>
        <v>0</v>
      </c>
      <c r="C81">
        <v>100</v>
      </c>
      <c r="D81" t="s">
        <v>938</v>
      </c>
    </row>
    <row r="82" spans="1:4">
      <c r="A82" t="s">
        <v>648</v>
      </c>
      <c r="B82">
        <f>[Q14_Bug_Density]</f>
        <v>0</v>
      </c>
      <c r="C82">
        <v>0</v>
      </c>
      <c r="D82" t="s">
        <v>939</v>
      </c>
    </row>
    <row r="83" spans="1:4">
      <c r="A83" t="s">
        <v>649</v>
      </c>
      <c r="B83">
        <f>[J02_Project_Bug_Density]</f>
        <v>0</v>
      </c>
      <c r="C83">
        <v>0</v>
      </c>
      <c r="D83" t="s">
        <v>940</v>
      </c>
    </row>
    <row r="84" spans="1:4">
      <c r="A84" t="s">
        <v>650</v>
      </c>
      <c r="B84">
        <f>[Q15_Critical_Bug_Density]</f>
        <v>0</v>
      </c>
      <c r="C84">
        <v>0</v>
      </c>
      <c r="D84" t="s">
        <v>941</v>
      </c>
    </row>
    <row r="85" spans="1:4">
      <c r="A85" t="s">
        <v>651</v>
      </c>
      <c r="B85">
        <f>Q01_Escape_Rate</f>
        <v>0</v>
      </c>
      <c r="C85">
        <v>0</v>
      </c>
      <c r="D85" t="s">
        <v>942</v>
      </c>
    </row>
    <row r="86" spans="1:4">
      <c r="A86" t="s">
        <v>652</v>
      </c>
      <c r="B86">
        <f>[Q03_Reopen_Rate]</f>
        <v>0</v>
      </c>
      <c r="C86">
        <v>0</v>
      </c>
      <c r="D86" t="s">
        <v>943</v>
      </c>
    </row>
    <row r="87" spans="1:4">
      <c r="A87" t="s">
        <v>653</v>
      </c>
      <c r="B87">
        <f>Q13_Quality_Index</f>
        <v>0</v>
      </c>
      <c r="C87">
        <v>0</v>
      </c>
      <c r="D87" t="s">
        <v>944</v>
      </c>
    </row>
    <row r="88" spans="1:4">
      <c r="A88" t="s">
        <v>654</v>
      </c>
      <c r="B88">
        <f>T01_Avg_Lead_Time</f>
        <v>0</v>
      </c>
      <c r="C88">
        <v>209.4193548387097</v>
      </c>
      <c r="D88" t="s">
        <v>945</v>
      </c>
    </row>
    <row r="89" spans="1:4">
      <c r="A89" t="s">
        <v>655</v>
      </c>
      <c r="B89">
        <f>[T03_Avg_Cycle_Time]</f>
        <v>0</v>
      </c>
      <c r="C89">
        <v>0</v>
      </c>
      <c r="D89" t="s">
        <v>946</v>
      </c>
    </row>
    <row r="90" spans="1:4">
      <c r="A90" t="s">
        <v>656</v>
      </c>
      <c r="B90">
        <f>[E01_Total_Effort]</f>
        <v>0</v>
      </c>
      <c r="C90">
        <v>0</v>
      </c>
      <c r="D90" t="s">
        <v>947</v>
      </c>
    </row>
    <row r="91" spans="1:4">
      <c r="A91" t="s">
        <v>657</v>
      </c>
      <c r="B91">
        <f>AVERAGEX(
        'Bugs',
        DATEDIFF('Bugs'[DueDate], 'Bugs'[ClosedDate], DAY)
    )</f>
        <v>0</v>
      </c>
      <c r="C91">
        <v>0</v>
      </c>
      <c r="D91" t="s">
        <v>948</v>
      </c>
    </row>
    <row r="92" spans="1:4">
      <c r="A92" t="s">
        <v>658</v>
      </c>
      <c r="B92">
        <f>[E21_Effort_Variance]</f>
        <v>0</v>
      </c>
      <c r="C92">
        <v>0</v>
      </c>
      <c r="D92" t="s">
        <v>949</v>
      </c>
    </row>
    <row r="93" spans="1:4">
      <c r="A93" t="s">
        <v>659</v>
      </c>
      <c r="B93">
        <f>Complex formula (see DAX reference)</f>
        <v>0</v>
      </c>
      <c r="C93">
        <v>0</v>
      </c>
      <c r="D93" t="s">
        <v>950</v>
      </c>
    </row>
    <row r="94" spans="1:4">
      <c r="A94" t="s">
        <v>660</v>
      </c>
      <c r="B94">
        <f>[V12_Escaped_Bugs]</f>
        <v>0</v>
      </c>
      <c r="C94">
        <v>0</v>
      </c>
      <c r="D94" t="s">
        <v>951</v>
      </c>
    </row>
    <row r="95" spans="1:4">
      <c r="A95" t="s">
        <v>661</v>
      </c>
      <c r="B95">
        <f>[V13_Regression_Bugs]</f>
        <v>0</v>
      </c>
      <c r="C95">
        <v>0</v>
      </c>
      <c r="D95" t="s">
        <v>952</v>
      </c>
    </row>
    <row r="96" spans="1:4">
      <c r="A96" t="s">
        <v>662</v>
      </c>
      <c r="B96">
        <f>([J07_Project_Quality_Index] * 0.4) +
    ([J13_Project_On_Time_Delivery_Rate] * 0.3) +
    ((1 - [J05_Project_Escape_Rate]) * 0.3)</f>
        <v>0</v>
      </c>
      <c r="C96">
        <v>0</v>
      </c>
      <c r="D96" t="s">
        <v>953</v>
      </c>
    </row>
    <row r="97" spans="1:4">
      <c r="A97" t="s">
        <v>663</v>
      </c>
      <c r="B97">
        <f>DIVIDE(
        [S02_Sprint_Completed_Bugs],
        [J10_Project_Total_Effort],
        0
    )</f>
        <v>0</v>
      </c>
      <c r="C97">
        <v>0</v>
      </c>
      <c r="D97" t="s">
        <v>954</v>
      </c>
    </row>
    <row r="98" spans="1:4">
      <c r="A98" t="s">
        <v>664</v>
      </c>
      <c r="B98">
        <f>[E08_Total_Reopen_Effort] + [E20_Escaped_Bugs_Effort]</f>
        <v>0</v>
      </c>
      <c r="C98">
        <v>0</v>
      </c>
      <c r="D98" t="s">
        <v>955</v>
      </c>
    </row>
    <row r="99" spans="1:4">
      <c r="A99" t="s">
        <v>665</v>
      </c>
      <c r="B99">
        <f>DIVIDE([E08_Total_Reopen_Effort], [E01_Total_Effort], 0)</f>
        <v>0</v>
      </c>
      <c r="C99">
        <v>0</v>
      </c>
      <c r="D99" t="s">
        <v>956</v>
      </c>
    </row>
    <row r="100" spans="1:4">
      <c r="A100" t="s">
        <v>666</v>
      </c>
      <c r="B100">
        <f>1 - [J19_Project_Rework_Rate]</f>
        <v>0</v>
      </c>
      <c r="C100">
        <v>0</v>
      </c>
      <c r="D100" t="s">
        <v>957</v>
      </c>
    </row>
    <row r="101" spans="1:4">
      <c r="A101" t="s">
        <v>667</v>
      </c>
      <c r="B101" cm="1">
        <f t="array" ref="B101">V01_Total_Bugs/COUNTA(_xlfn.UNIQUE(raw_data!W:W))</f>
        <v>0</v>
      </c>
      <c r="C101">
        <v>12.5</v>
      </c>
      <c r="D101" t="s">
        <v>958</v>
      </c>
    </row>
    <row r="102" spans="1:4">
      <c r="A102" t="s">
        <v>668</v>
      </c>
      <c r="B102">
        <f>DIVIDE(
        CALCULATE(COUNTA(raw_data!A:A)-1, raw_data!F:F IN {"Resolved", "Done", "Closed"}),
        DISTINCTCOUNT('Bugs'[AssigneeName]),
        0
    )</f>
        <v>0</v>
      </c>
      <c r="C102">
        <v>0</v>
      </c>
      <c r="D102" t="s">
        <v>959</v>
      </c>
    </row>
    <row r="103" spans="1:4">
      <c r="A103" t="s">
        <v>669</v>
      </c>
      <c r="B103">
        <f>DIVIDE(
        CALCULATE(COUNTA(raw_data!A:A)-1, raw_data!AM:AM &gt; 0),
        COUNTA(raw_data!A:A)-1,
        0
    )</f>
        <v>0</v>
      </c>
      <c r="C103">
        <v>0</v>
      </c>
      <c r="D103" t="s">
        <v>960</v>
      </c>
    </row>
    <row r="104" spans="1:4">
      <c r="A104" t="s">
        <v>670</v>
      </c>
      <c r="B104">
        <f>AVERAGE('Bugs'[FixEffortHrs])</f>
        <v>0</v>
      </c>
      <c r="C104">
        <v>0</v>
      </c>
      <c r="D104" t="s">
        <v>961</v>
      </c>
    </row>
    <row r="105" spans="1:4">
      <c r="A105" t="s">
        <v>671</v>
      </c>
      <c r="B105">
        <f>SUM('Bugs'[TotalEffortHrs])</f>
        <v>0</v>
      </c>
      <c r="C105">
        <v>0</v>
      </c>
      <c r="D105" t="s">
        <v>962</v>
      </c>
    </row>
    <row r="106" spans="1:4">
      <c r="A106" t="s">
        <v>672</v>
      </c>
      <c r="B106">
        <f>DIVIDE(
        CALCULATE(COUNTA(raw_data!A:A)-1, raw_data!F:F IN {"Resolved", "Done", "Closed"}),
        [P05_Developer_Workload_Hours],
        0
    )</f>
        <v>0</v>
      </c>
      <c r="C106">
        <v>0</v>
      </c>
      <c r="D106" t="s">
        <v>963</v>
      </c>
    </row>
    <row r="107" spans="1:4">
      <c r="A107" t="s">
        <v>673</v>
      </c>
      <c r="B107">
        <f>([P06_Developer_Efficiency] * 0.4) +
    ((1 - [P03_Reopen_Rate_by_Developer]) * 0.3) +
    ([P02_Avg_Resolution_Rate] * 0.3)</f>
        <v>0</v>
      </c>
      <c r="C107">
        <v>0</v>
      </c>
      <c r="D107" t="s">
        <v>964</v>
      </c>
    </row>
    <row r="108" spans="1:4">
      <c r="A108" t="s">
        <v>674</v>
      </c>
      <c r="B108">
        <f>DIVIDE(
        CALCULATE(COUNTA(raw_data!A:A)-1, 'Bugs'[IsDuplicate] = FALSE &amp;&amp; 'Bugs'[CloseReason] != "Invalid"),
        COUNTA(raw_data!A:A)-1,
        0
    )</f>
        <v>0</v>
      </c>
      <c r="C108">
        <v>0</v>
      </c>
      <c r="D108" t="s">
        <v>965</v>
      </c>
    </row>
    <row r="109" spans="1:4">
      <c r="A109" t="s">
        <v>675</v>
      </c>
      <c r="B109">
        <f>DIVIDE(
        CALCULATE(COUNTA(raw_data!A:A)-1, 'Bugs'[RetestFailCount] &gt; 0),
        CALCULATE(COUNTA(raw_data!A:A)-1, NOT(ISBLANK('Bugs'[VerifierName]))),
        0
    )</f>
        <v>0</v>
      </c>
      <c r="C109">
        <v>0</v>
      </c>
      <c r="D109" t="s">
        <v>966</v>
      </c>
    </row>
    <row r="110" spans="1:4">
      <c r="A110" t="s">
        <v>676</v>
      </c>
      <c r="B110" cm="1">
        <f t="array" ref="B110">V01_Total_Bugs/COUNTA(_xlfn.UNIQUE(raw_data!L:L))</f>
        <v>0</v>
      </c>
      <c r="C110">
        <v>25</v>
      </c>
      <c r="D110" t="s">
        <v>967</v>
      </c>
    </row>
    <row r="111" spans="1:4">
      <c r="A111" t="s">
        <v>677</v>
      </c>
      <c r="B111">
        <f>[T01_Avg_Lead_Time]</f>
        <v>0</v>
      </c>
      <c r="C111">
        <v>0</v>
      </c>
      <c r="D111" t="s">
        <v>968</v>
      </c>
    </row>
    <row r="112" spans="1:4">
      <c r="A112" t="s">
        <v>678</v>
      </c>
      <c r="B112">
        <f>([Q05_Fix_Success_Rate] * 0.35) +
    ((1 - [Q01_Escape_Rate]) * 0.35) +
    ([Q12_Testing_Effectiveness] * 0.30)</f>
        <v>0</v>
      </c>
      <c r="C112">
        <v>0</v>
      </c>
      <c r="D112" t="s">
        <v>969</v>
      </c>
    </row>
    <row r="113" spans="1:4">
      <c r="A113" t="s">
        <v>679</v>
      </c>
      <c r="B113">
        <f>V12_Escaped_Bugs/V01_Total_Bugs*100</f>
        <v>0</v>
      </c>
      <c r="C113">
        <v>17</v>
      </c>
      <c r="D113" t="s">
        <v>970</v>
      </c>
    </row>
    <row r="114" spans="1:4">
      <c r="A114" t="s">
        <v>680</v>
      </c>
      <c r="B114">
        <f>V13_Regression_Bugs/V01_Total_Bugs*100</f>
        <v>0</v>
      </c>
      <c r="C114">
        <v>25</v>
      </c>
      <c r="D114" t="s">
        <v>971</v>
      </c>
    </row>
    <row r="115" spans="1:4">
      <c r="A115" t="s">
        <v>681</v>
      </c>
      <c r="B115">
        <f>V10_Reopened_Bugs/V09_Closed_Bugs*100</f>
        <v>0</v>
      </c>
      <c r="C115">
        <v>77.41935483870968</v>
      </c>
      <c r="D115" t="s">
        <v>972</v>
      </c>
    </row>
    <row r="116" spans="1:4">
      <c r="A116" t="s">
        <v>682</v>
      </c>
      <c r="B116">
        <f>DIVIDE([V11_Multi_Reopened_Bugs], [V09_Closed_Bugs], 0)</f>
        <v>0</v>
      </c>
      <c r="C116">
        <v>0</v>
      </c>
      <c r="D116" t="s">
        <v>973</v>
      </c>
    </row>
    <row r="117" spans="1:4">
      <c r="A117" t="s">
        <v>683</v>
      </c>
      <c r="B117">
        <f>(1-Q03_Reopen_Rate/100)*100</f>
        <v>0</v>
      </c>
      <c r="C117">
        <v>22.58064516129032</v>
      </c>
      <c r="D117" t="s">
        <v>974</v>
      </c>
    </row>
    <row r="118" spans="1:4">
      <c r="A118" t="s">
        <v>684</v>
      </c>
      <c r="B118">
        <f>DIVIDE(
        CALCULATE(COUNTA(raw_data!A:A)-1, 'Bugs'[FixAttempts] = 1),
        CALCULATE(COUNTA(raw_data!A:A)-1, NOT(ISBLANK('Bugs'[FixAttempts]))),
        0
    )</f>
        <v>0</v>
      </c>
      <c r="C118">
        <v>0</v>
      </c>
      <c r="D118" t="s">
        <v>975</v>
      </c>
    </row>
    <row r="119" spans="1:4">
      <c r="A119" t="s">
        <v>685</v>
      </c>
      <c r="B119">
        <f>V35_Duplicate_Bugs/V01_Total_Bugs*100</f>
        <v>0</v>
      </c>
      <c r="C119">
        <v>7.000000000000001</v>
      </c>
      <c r="D119" t="s">
        <v>976</v>
      </c>
    </row>
    <row r="120" spans="1:4">
      <c r="A120" t="s">
        <v>686</v>
      </c>
      <c r="B120">
        <f>V14_Critical_Bugs/V01_Total_Bugs*100</f>
        <v>0</v>
      </c>
      <c r="C120">
        <v>13</v>
      </c>
      <c r="D120" t="s">
        <v>977</v>
      </c>
    </row>
    <row r="121" spans="1:4">
      <c r="A121" t="s">
        <v>687</v>
      </c>
      <c r="B121">
        <f>DIVIDE([V15_High_Severity_Bugs], [V01_Total_Bugs], 0)</f>
        <v>0</v>
      </c>
      <c r="C121">
        <v>0</v>
      </c>
      <c r="D121" t="s">
        <v>978</v>
      </c>
    </row>
    <row r="122" spans="1:4">
      <c r="A122" t="s">
        <v>688</v>
      </c>
      <c r="B122">
        <f>(V01_Total_Bugs-V12_Escaped_Bugs)/V01_Total_Bugs*100</f>
        <v>0</v>
      </c>
      <c r="C122">
        <v>83</v>
      </c>
      <c r="D122" t="s">
        <v>979</v>
      </c>
    </row>
    <row r="123" spans="1:4">
      <c r="A123" t="s">
        <v>689</v>
      </c>
      <c r="B123">
        <f>[Q10_Defect_Detection_Effectiveness_DDE]</f>
        <v>0</v>
      </c>
      <c r="C123">
        <v>0</v>
      </c>
      <c r="D123" t="s">
        <v>980</v>
      </c>
    </row>
    <row r="124" spans="1:4">
      <c r="A124" t="s">
        <v>690</v>
      </c>
      <c r="B124">
        <f>DIVIDE(
        CALCULATE(COUNTA(raw_data!A:A)-1, raw_data!F:F IN {"Resolved", "Done", "Closed"}),
        [V01_Total_Bugs],
        0
    )</f>
        <v>0</v>
      </c>
      <c r="C124">
        <v>0</v>
      </c>
      <c r="D124" t="s">
        <v>981</v>
      </c>
    </row>
    <row r="125" spans="1:4">
      <c r="A125" t="s">
        <v>691</v>
      </c>
      <c r="B125">
        <f>(Q05_Fix_Success_Rate*0.4+Q10_Defect_Detection_Effectiveness_DDE*0.3+(100-Q01_Escape_Rate)*0.3)</f>
        <v>0</v>
      </c>
      <c r="C125">
        <v>0</v>
      </c>
      <c r="D125" t="s">
        <v>982</v>
      </c>
    </row>
    <row r="126" spans="1:4">
      <c r="A126" t="s">
        <v>692</v>
      </c>
      <c r="B126">
        <f>DIVIDE(
        [V01_Total_Bugs],
        1000,
        0
    )</f>
        <v>0</v>
      </c>
      <c r="C126">
        <v>0</v>
      </c>
      <c r="D126" t="s">
        <v>983</v>
      </c>
    </row>
    <row r="127" spans="1:4">
      <c r="A127" t="s">
        <v>693</v>
      </c>
      <c r="B127">
        <f>DIVIDE(
        [V14_Critical_Bugs],
        1000,
        0
    )</f>
        <v>0</v>
      </c>
      <c r="C127">
        <v>0</v>
      </c>
      <c r="D127" t="s">
        <v>984</v>
      </c>
    </row>
    <row r="128" spans="1:4">
      <c r="A128" t="s">
        <v>694</v>
      </c>
      <c r="B128">
        <f>DIVIDE([V23_Security_Bugs], [V01_Total_Bugs], 0)</f>
        <v>0</v>
      </c>
      <c r="C128">
        <v>0</v>
      </c>
      <c r="D128" t="s">
        <v>985</v>
      </c>
    </row>
    <row r="129" spans="1:4">
      <c r="A129" t="s">
        <v>695</v>
      </c>
      <c r="B129">
        <f>DIVIDE([V24_Performance_Bugs], [V01_Total_Bugs], 0)</f>
        <v>0</v>
      </c>
      <c r="C129">
        <v>0</v>
      </c>
      <c r="D129" t="s">
        <v>986</v>
      </c>
    </row>
    <row r="130" spans="1:4">
      <c r="A130" t="s">
        <v>696</v>
      </c>
      <c r="B130">
        <f>DIVIDE(
        [V13_Regression_Bugs],
        CALCULATE(COUNTA(raw_data!A:A)-1, raw_data!F:F IN {"Resolved", "Done", "Closed"}),
        0
    )</f>
        <v>0</v>
      </c>
      <c r="C130">
        <v>0</v>
      </c>
      <c r="D130" t="s">
        <v>987</v>
      </c>
    </row>
    <row r="131" spans="1:4">
      <c r="A131" t="s">
        <v>697</v>
      </c>
      <c r="B131">
        <f>DIVIDE(
        CALCULATE(COUNTA(raw_data!A:A)-1, NOT(ISBLANK('Bugs'[RootCause]))),
        [V01_Total_Bugs],
        0
    )</f>
        <v>0</v>
      </c>
      <c r="C131">
        <v>0</v>
      </c>
      <c r="D131" t="s">
        <v>988</v>
      </c>
    </row>
    <row r="132" spans="1:4">
      <c r="A132" t="s">
        <v>698</v>
      </c>
      <c r="B132">
        <f>DIVIDE(
        [V12_Escaped_Bugs],
        [V01_Total_Bugs] - [V12_Escaped_Bugs],
        0
    )</f>
        <v>0</v>
      </c>
      <c r="C132">
        <v>0</v>
      </c>
      <c r="D132" t="s">
        <v>989</v>
      </c>
    </row>
    <row r="133" spans="1:4">
      <c r="A133" t="s">
        <v>699</v>
      </c>
      <c r="B133">
        <f>DIVIDE(
        CALCULATE(COUNTA(raw_data!A:A)-1, NOT(ISBLANK('Bugs'[TestCaseID]))),
        [V01_Total_Bugs],
        0
    )</f>
        <v>0</v>
      </c>
      <c r="C133">
        <v>0</v>
      </c>
      <c r="D133" t="s">
        <v>990</v>
      </c>
    </row>
    <row r="134" spans="1:4">
      <c r="A134" t="s">
        <v>700</v>
      </c>
      <c r="B134">
        <f>AVERAGE(raw_data!AM:AM)</f>
        <v>0</v>
      </c>
      <c r="C134">
        <v>0</v>
      </c>
      <c r="D134" t="s">
        <v>991</v>
      </c>
    </row>
    <row r="135" spans="1:4">
      <c r="A135" t="s">
        <v>701</v>
      </c>
      <c r="B135">
        <f>AVERAGE('Bugs'[RiskScore])</f>
        <v>0</v>
      </c>
      <c r="C135">
        <v>0</v>
      </c>
      <c r="D135" t="s">
        <v>992</v>
      </c>
    </row>
    <row r="136" spans="1:4">
      <c r="A136" t="s">
        <v>702</v>
      </c>
      <c r="B136">
        <f>CALCULATE(COUNTA(raw_data!A:A)-1, 'Bugs'[RiskScore] &gt; 7)</f>
        <v>0</v>
      </c>
      <c r="C136">
        <v>0</v>
      </c>
      <c r="D136" t="s">
        <v>993</v>
      </c>
    </row>
    <row r="137" spans="1:4">
      <c r="A137" t="s">
        <v>703</v>
      </c>
      <c r="B137">
        <f>CALCULATE(COUNTA(raw_data!A:A)-1, 'Bugs'[RiskScore] &gt;= 4 &amp;&amp; 'Bugs'[RiskScore] &lt;= 7)</f>
        <v>0</v>
      </c>
      <c r="C137">
        <v>0</v>
      </c>
      <c r="D137" t="s">
        <v>994</v>
      </c>
    </row>
    <row r="138" spans="1:4">
      <c r="A138" t="s">
        <v>704</v>
      </c>
      <c r="B138">
        <f>CALCULATE(COUNTA(raw_data!A:A)-1, 'Bugs'[RiskScore] &lt; 4)</f>
        <v>0</v>
      </c>
      <c r="C138">
        <v>0</v>
      </c>
      <c r="D138" t="s">
        <v>995</v>
      </c>
    </row>
    <row r="139" spans="1:4">
      <c r="A139" t="s">
        <v>705</v>
      </c>
      <c r="B139">
        <f>DIVIDE(
        COUNTA(raw_data!A:A)-1,
        CALCULATE(COUNTA(raw_data!A:A)-1, ALL('Bugs'[RiskScore])),
        0
    )</f>
        <v>0</v>
      </c>
      <c r="C139">
        <v>0</v>
      </c>
      <c r="D139" t="s">
        <v>996</v>
      </c>
    </row>
    <row r="140" spans="1:4">
      <c r="A140" t="s">
        <v>706</v>
      </c>
      <c r="B140">
        <f>CALCULATE(
        COUNTA(raw_data!A:A)-1,
        'Bugs'[RiskScore] &gt; 8,
        raw_data!D:D = "Critical"
    )</f>
        <v>0</v>
      </c>
      <c r="C140">
        <v>0</v>
      </c>
      <c r="D140" t="s">
        <v>997</v>
      </c>
    </row>
    <row r="141" spans="1:4">
      <c r="A141" t="s">
        <v>707</v>
      </c>
      <c r="B141">
        <f>CALCULATE(
        COUNTA(raw_data!A:A)-1,
        'Bugs'[EscapeProbability] &gt; 0.7
    )</f>
        <v>0</v>
      </c>
      <c r="C141">
        <v>0</v>
      </c>
      <c r="D141" t="s">
        <v>998</v>
      </c>
    </row>
    <row r="142" spans="1:4">
      <c r="A142" t="s">
        <v>708</v>
      </c>
      <c r="B142">
        <f>CALCULATE(
        COUNTA(raw_data!A:A)-1,
        'Bugs'[RecurrenceProbability] &gt; 0.5
    )</f>
        <v>0</v>
      </c>
      <c r="C142">
        <v>0</v>
      </c>
      <c r="D142" t="s">
        <v>999</v>
      </c>
    </row>
    <row r="143" spans="1:4">
      <c r="A143" t="s">
        <v>709</v>
      </c>
      <c r="B143" cm="1">
        <f t="array" ref="B143">SUMX(
        _xlfn._xlws.FILTER('Bugs', raw_data!F:F = "Open"),
        'Bugs'[RiskScore]
    )</f>
        <v>0</v>
      </c>
      <c r="C143">
        <v>0</v>
      </c>
      <c r="D143" t="s">
        <v>1000</v>
      </c>
    </row>
    <row r="144" spans="1:4">
      <c r="A144" t="s">
        <v>710</v>
      </c>
      <c r="B144">
        <f>VAR ActualEscapes = [V12_Escaped_Bugs]
    VAR PredictedEscapes = [R07_Predicted_Escapes]
    RETURN DIVIDE(ABS(ActualEscapes - PredictedEscapes), ActualEscapes, 0)</f>
        <v>0</v>
      </c>
      <c r="C144">
        <v>0</v>
      </c>
      <c r="D144" t="s">
        <v>1001</v>
      </c>
    </row>
    <row r="145" spans="1:4">
      <c r="A145" t="s">
        <v>711</v>
      </c>
      <c r="B145">
        <f>AVERAGEX(
        VALUES('Bugs'[ModuleName]),
        CALCULATE(AVERAGE('Bugs'[RiskScore]))
    )</f>
        <v>0</v>
      </c>
      <c r="C145">
        <v>0</v>
      </c>
      <c r="D145" t="s">
        <v>1002</v>
      </c>
    </row>
    <row r="146" spans="1:4">
      <c r="A146" t="s">
        <v>712</v>
      </c>
      <c r="B146">
        <f>AVERAGEX(
        VALUES('Bugs'[TeamName]),
        CALCULATE(AVERAGE('Bugs'[RiskScore]))
    )</f>
        <v>0</v>
      </c>
      <c r="C146">
        <v>0</v>
      </c>
      <c r="D146" t="s">
        <v>1003</v>
      </c>
    </row>
    <row r="147" spans="1:4">
      <c r="A147" t="s">
        <v>713</v>
      </c>
      <c r="B147">
        <f>VAR CurrentRisk = [R01_Overall_Risk_Score]
    VAR PreviousRisk = CALCULATE([R01_Overall_Risk_Score], DATEADD('Date'[Date], -1, MONTH))
    RETURN CurrentRisk - PreviousRisk</f>
        <v>0</v>
      </c>
      <c r="C147">
        <v>0</v>
      </c>
      <c r="D147" t="s">
        <v>1004</v>
      </c>
    </row>
    <row r="148" spans="1:4">
      <c r="A148" t="s">
        <v>714</v>
      </c>
      <c r="B148">
        <f>CALCULATE(
        COUNTA(raw_data!A:A)-1,
        'Bugs'[RiskScore] &gt; 7,
        raw_data!D:D = "Critical"
    )</f>
        <v>0</v>
      </c>
      <c r="C148">
        <v>0</v>
      </c>
      <c r="D148" t="s">
        <v>1005</v>
      </c>
    </row>
    <row r="149" spans="1:4">
      <c r="A149" t="s">
        <v>715</v>
      </c>
      <c r="B149">
        <f>DIVIDE(
        [R16_High_Risk_Critical_Bugs],
        [V01_Total_Bugs],
        0
    )</f>
        <v>0</v>
      </c>
      <c r="C149">
        <v>0</v>
      </c>
      <c r="D149" t="s">
        <v>1006</v>
      </c>
    </row>
    <row r="150" spans="1:4">
      <c r="A150" t="s">
        <v>716</v>
      </c>
      <c r="B150">
        <f>Complex formula (see DAX reference)</f>
        <v>0</v>
      </c>
      <c r="C150">
        <v>0</v>
      </c>
      <c r="D150" t="s">
        <v>1007</v>
      </c>
    </row>
    <row r="151" spans="1:4">
      <c r="A151" t="s">
        <v>717</v>
      </c>
      <c r="B151">
        <f>CALCULATE(COUNTA(raw_data!A:A)-1, 'Bugs'[IsAnomaly] = TRUE)</f>
        <v>0</v>
      </c>
      <c r="C151">
        <v>0</v>
      </c>
      <c r="D151" t="s">
        <v>1008</v>
      </c>
    </row>
    <row r="152" spans="1:4">
      <c r="A152" t="s">
        <v>718</v>
      </c>
      <c r="B152">
        <f>([R01_Overall_Risk_Score] * 0.3) +
    ([V14_Critical_Bugs] * 0.25) +
    ([V12_Escaped_Bugs] * 0.25) +
    ([T18_Avg_Age_Days] * 0.20)</f>
        <v>0</v>
      </c>
      <c r="C152">
        <v>0</v>
      </c>
      <c r="D152" t="s">
        <v>1009</v>
      </c>
    </row>
    <row r="153" spans="1:4">
      <c r="A153" t="s">
        <v>719</v>
      </c>
      <c r="B153" cm="1">
        <f t="array" ref="B153">AVERAGEX(
        _xlfn._xlws.FILTER('Bugs', 'Bugs'[RiskScore] &gt; 7),
        'Bugs'[AgeDays]
    )</f>
        <v>0</v>
      </c>
      <c r="C153">
        <v>0</v>
      </c>
      <c r="D153" t="s">
        <v>1010</v>
      </c>
    </row>
    <row r="154" spans="1:4">
      <c r="A154" t="s">
        <v>720</v>
      </c>
      <c r="B154">
        <f>VAR CurrentVelocity = [S01_Sprint_Velocity]
    VAR RiskFactor = [R01_Overall_Risk_Score] / 10
    RETURN CurrentVelocity * (1 - RiskFactor)</f>
        <v>0</v>
      </c>
      <c r="C154">
        <v>0</v>
      </c>
      <c r="D154" t="s">
        <v>1011</v>
      </c>
    </row>
    <row r="155" spans="1:4">
      <c r="A155" t="s">
        <v>721</v>
      </c>
      <c r="B155">
        <f>VAR AvgBugsPerSprint = AVERAGEX(VALUES('Sprint'[SprintID]), [S09_Sprint_Inflow])
    VAR Trend = [TR04_Bug_Trend_7Days]
    RETURN AvgBugsPerSprint * (1 + Trend)</f>
        <v>0</v>
      </c>
      <c r="C155">
        <v>0</v>
      </c>
      <c r="D155" t="s">
        <v>1012</v>
      </c>
    </row>
    <row r="156" spans="1:4">
      <c r="A156" t="s">
        <v>722</v>
      </c>
      <c r="B156">
        <f>DIVIDE(
        [R02_High_Risk_Bugs],
        CALCULATE([R02_High_Risk_Bugs], DATEADD('Date'[Date], -7, DAY)),
        0
    ) - 1</f>
        <v>0</v>
      </c>
      <c r="C156">
        <v>0</v>
      </c>
      <c r="D156" t="s">
        <v>1013</v>
      </c>
    </row>
    <row r="157" spans="1:4">
      <c r="A157" t="s">
        <v>723</v>
      </c>
      <c r="B157">
        <f>CALCULATE(
        SUM('Bugs'[RiskScore]),
        'Bugs'[IsBlocking] = TRUE
    )</f>
        <v>0</v>
      </c>
      <c r="C157">
        <v>0</v>
      </c>
      <c r="D157" t="s">
        <v>1014</v>
      </c>
    </row>
    <row r="158" spans="1:4">
      <c r="A158" t="s">
        <v>724</v>
      </c>
      <c r="B158" cm="1">
        <f t="array" ref="B158">V01_Total_Bugs/COUNTA(_xlfn.UNIQUE(raw_data!P:P))</f>
        <v>0</v>
      </c>
      <c r="C158">
        <v>20</v>
      </c>
      <c r="D158" t="s">
        <v>1015</v>
      </c>
    </row>
    <row r="159" spans="1:4">
      <c r="A159" t="s">
        <v>725</v>
      </c>
      <c r="B159">
        <f>COUNTIFS(raw_data!F:F,"Done")+COUNTIFS(raw_data!F:F,"Closed")</f>
        <v>0</v>
      </c>
      <c r="C159">
        <v>51</v>
      </c>
      <c r="D159" t="s">
        <v>1016</v>
      </c>
    </row>
    <row r="160" spans="1:4">
      <c r="A160" t="s">
        <v>726</v>
      </c>
      <c r="B160">
        <f>CALCULATE(
        COUNTA(raw_data!A:A)-1,
        raw_data!F:F NOT IN {"Resolved", "Done", "Closed"}
    )</f>
        <v>0</v>
      </c>
      <c r="C160">
        <v>0</v>
      </c>
      <c r="D160" t="s">
        <v>1017</v>
      </c>
    </row>
    <row r="161" spans="1:4">
      <c r="A161" t="s">
        <v>727</v>
      </c>
      <c r="B161">
        <f>DIVIDE([S03_Sprint_Carryover], [S01_Sprint_Velocity], 0)</f>
        <v>0</v>
      </c>
      <c r="C161">
        <v>0</v>
      </c>
      <c r="D161" t="s">
        <v>1018</v>
      </c>
    </row>
    <row r="162" spans="1:4">
      <c r="A162" t="s">
        <v>728</v>
      </c>
      <c r="B162">
        <f>S02_Sprint_Completed_Bugs/V01_Total_Bugs*100</f>
        <v>0</v>
      </c>
      <c r="C162">
        <v>51</v>
      </c>
      <c r="D162" t="s">
        <v>1019</v>
      </c>
    </row>
    <row r="163" spans="1:4">
      <c r="A163" t="s">
        <v>729</v>
      </c>
      <c r="B163">
        <f>[T03_Avg_Cycle_Time]</f>
        <v>0</v>
      </c>
      <c r="C163">
        <v>0</v>
      </c>
      <c r="D163" t="s">
        <v>1020</v>
      </c>
    </row>
    <row r="164" spans="1:4">
      <c r="A164" t="s">
        <v>730</v>
      </c>
      <c r="B164">
        <f>CALCULATE(
        COUNTA(raw_data!A:A)-1,
        'Bugs'[CreatedDate] &gt;= EARLIER('Sprint'[StartDate]) &amp;&amp;
        'Bugs'[CreatedDate] &lt;= EARLIER('Sprint'[EndDate])
    )</f>
        <v>0</v>
      </c>
      <c r="C164">
        <v>0</v>
      </c>
      <c r="D164" t="s">
        <v>1021</v>
      </c>
    </row>
    <row r="165" spans="1:4">
      <c r="A165" t="s">
        <v>731</v>
      </c>
      <c r="B165">
        <f>[S02_Sprint_Completed_Bugs]</f>
        <v>0</v>
      </c>
      <c r="C165">
        <v>0</v>
      </c>
      <c r="D165" t="s">
        <v>1022</v>
      </c>
    </row>
    <row r="166" spans="1:4">
      <c r="A166" t="s">
        <v>732</v>
      </c>
      <c r="B166">
        <f>[S03_Sprint_Carryover]</f>
        <v>0</v>
      </c>
      <c r="C166">
        <v>0</v>
      </c>
      <c r="D166" t="s">
        <v>1023</v>
      </c>
    </row>
    <row r="167" spans="1:4">
      <c r="A167" t="s">
        <v>733</v>
      </c>
      <c r="B167">
        <f>ABS([S09_Sprint_Inflow] - [S01_Sprint_Velocity])</f>
        <v>0</v>
      </c>
      <c r="C167">
        <v>0</v>
      </c>
      <c r="D167" t="s">
        <v>1024</v>
      </c>
    </row>
    <row r="168" spans="1:4">
      <c r="A168" t="s">
        <v>734</v>
      </c>
      <c r="B168">
        <f>DIVIDE(
        [S01_Sprint_Velocity] - [S12_Sprint_Scope_Change],
        [S01_Sprint_Velocity],
        0
    )</f>
        <v>0</v>
      </c>
      <c r="C168">
        <v>0</v>
      </c>
      <c r="D168" t="s">
        <v>1025</v>
      </c>
    </row>
    <row r="169" spans="1:4">
      <c r="A169" t="s">
        <v>735</v>
      </c>
      <c r="B169">
        <f>[S02_Sprint_Completed_Bugs]</f>
        <v>0</v>
      </c>
      <c r="C169">
        <v>0</v>
      </c>
      <c r="D169" t="s">
        <v>1026</v>
      </c>
    </row>
    <row r="170" spans="1:4">
      <c r="A170" t="s">
        <v>736</v>
      </c>
      <c r="B170">
        <f>[T01_Avg_Lead_Time]</f>
        <v>0</v>
      </c>
      <c r="C170">
        <v>0</v>
      </c>
      <c r="D170" t="s">
        <v>1027</v>
      </c>
    </row>
    <row r="171" spans="1:4">
      <c r="A171" t="s">
        <v>737</v>
      </c>
      <c r="B171">
        <f>[S05_Sprint_Completion_Rate]</f>
        <v>0</v>
      </c>
      <c r="C171">
        <v>0</v>
      </c>
      <c r="D171" t="s">
        <v>1028</v>
      </c>
    </row>
    <row r="172" spans="1:4">
      <c r="A172" t="s">
        <v>738</v>
      </c>
      <c r="B172">
        <f>[Q13_Quality_Index]</f>
        <v>0</v>
      </c>
      <c r="C172">
        <v>0</v>
      </c>
      <c r="D172" t="s">
        <v>1029</v>
      </c>
    </row>
    <row r="173" spans="1:4">
      <c r="A173" t="s">
        <v>739</v>
      </c>
      <c r="B173">
        <f>[Q14_Bug_Density]</f>
        <v>0</v>
      </c>
      <c r="C173">
        <v>0</v>
      </c>
      <c r="D173" t="s">
        <v>1030</v>
      </c>
    </row>
    <row r="174" spans="1:4">
      <c r="A174" t="s">
        <v>740</v>
      </c>
      <c r="B174">
        <f>AVERAGE(raw_data!AQ:AQ)</f>
        <v>0</v>
      </c>
      <c r="C174">
        <v>12.27906976744186</v>
      </c>
      <c r="D174" t="s">
        <v>1031</v>
      </c>
    </row>
    <row r="175" spans="1:4">
      <c r="A175" t="s">
        <v>741</v>
      </c>
      <c r="B175">
        <f>MEDIAN(raw_data!AQ:AQ)</f>
        <v>0</v>
      </c>
      <c r="C175">
        <v>10</v>
      </c>
      <c r="D175" t="s">
        <v>1032</v>
      </c>
    </row>
    <row r="176" spans="1:4">
      <c r="A176" t="s">
        <v>742</v>
      </c>
      <c r="B176">
        <f>MAX(raw_data!AQ:AQ)</f>
        <v>0</v>
      </c>
      <c r="C176">
        <v>24</v>
      </c>
      <c r="D176" t="s">
        <v>1033</v>
      </c>
    </row>
    <row r="177" spans="1:4">
      <c r="A177" t="s">
        <v>743</v>
      </c>
      <c r="B177">
        <f>COUNTIFS(raw_data!F:F,"Triage",raw_data!AQ:AQ,"&gt;24")</f>
        <v>0</v>
      </c>
      <c r="C177">
        <v>0</v>
      </c>
      <c r="D177" t="s">
        <v>1034</v>
      </c>
    </row>
    <row r="178" spans="1:4">
      <c r="A178" t="s">
        <v>744</v>
      </c>
      <c r="B178">
        <f>AVERAGE(raw_data!AR:AR)</f>
        <v>0</v>
      </c>
      <c r="C178">
        <v>38.3974358974359</v>
      </c>
      <c r="D178" t="s">
        <v>1035</v>
      </c>
    </row>
    <row r="179" spans="1:4">
      <c r="A179" t="s">
        <v>745</v>
      </c>
      <c r="B179">
        <f>AVERAGE(raw_data!AS:AS)</f>
        <v>0</v>
      </c>
      <c r="C179">
        <v>66.3015873015873</v>
      </c>
      <c r="D179" t="s">
        <v>1036</v>
      </c>
    </row>
    <row r="180" spans="1:4">
      <c r="A180" t="s">
        <v>746</v>
      </c>
      <c r="B180">
        <f>MEDIAN(raw_data!AS:AS)</f>
        <v>0</v>
      </c>
      <c r="C180">
        <v>67</v>
      </c>
      <c r="D180" t="s">
        <v>1037</v>
      </c>
    </row>
    <row r="181" spans="1:4">
      <c r="A181" t="s">
        <v>747</v>
      </c>
      <c r="B181">
        <f>AVERAGE(raw_data!AT:AT)</f>
        <v>0</v>
      </c>
      <c r="C181">
        <v>29.9</v>
      </c>
      <c r="D181" t="s">
        <v>1038</v>
      </c>
    </row>
    <row r="182" spans="1:4">
      <c r="A182" t="s">
        <v>748</v>
      </c>
      <c r="B182">
        <f>MEDIAN(raw_data!AT:AT)</f>
        <v>0</v>
      </c>
      <c r="C182">
        <v>33.5</v>
      </c>
      <c r="D182" t="s">
        <v>1039</v>
      </c>
    </row>
    <row r="183" spans="1:4">
      <c r="A183" t="s">
        <v>749</v>
      </c>
      <c r="B183">
        <f>COUNTIFS(raw_data!F:F,"Ready for Retest",raw_data!AT:AT,"&gt;48")</f>
        <v>0</v>
      </c>
      <c r="C183">
        <v>0</v>
      </c>
      <c r="D183" t="s">
        <v>1040</v>
      </c>
    </row>
    <row r="184" spans="1:4">
      <c r="A184" t="s">
        <v>750</v>
      </c>
      <c r="B184">
        <f>AVERAGE(raw_data!AP:AP)</f>
        <v>0</v>
      </c>
      <c r="C184">
        <v>6.27</v>
      </c>
      <c r="D184" t="s">
        <v>1041</v>
      </c>
    </row>
    <row r="185" spans="1:4">
      <c r="A185" t="s">
        <v>751</v>
      </c>
      <c r="B185">
        <f>COUNTIF(raw_data!AP:AP,"&gt;8")</f>
        <v>0</v>
      </c>
      <c r="C185">
        <v>23</v>
      </c>
      <c r="D185" t="s">
        <v>1042</v>
      </c>
    </row>
    <row r="186" spans="1:4">
      <c r="A186" t="s">
        <v>752</v>
      </c>
      <c r="B186">
        <f>COUNTIF(raw_data!AP:AP,"&lt;=4")</f>
        <v>0</v>
      </c>
      <c r="C186">
        <v>26</v>
      </c>
      <c r="D186" t="s">
        <v>1043</v>
      </c>
    </row>
    <row r="187" spans="1:4">
      <c r="A187" t="s">
        <v>753</v>
      </c>
      <c r="B187">
        <f>COUNTIFS(raw_data!AQ:AQ,"&lt;=4")/COUNTA(raw_data!AQ:AQ)*100</f>
        <v>0</v>
      </c>
      <c r="C187">
        <v>12.79069767441861</v>
      </c>
      <c r="D187" t="s">
        <v>1044</v>
      </c>
    </row>
    <row r="188" spans="1:4">
      <c r="A188" t="s">
        <v>754</v>
      </c>
      <c r="B188">
        <f>COUNTIF(raw_data!BW:BW,0)/V09_Closed_Bugs*100</f>
        <v>0</v>
      </c>
      <c r="C188">
        <v>209.6774193548387</v>
      </c>
      <c r="D188" t="s">
        <v>1045</v>
      </c>
    </row>
    <row r="189" spans="1:4">
      <c r="A189" t="s">
        <v>755</v>
      </c>
      <c r="B189">
        <f>DIVIDE(
        [V45_Completed_Bugs],
        [V45_Completed_Bugs] + CALCULATE(COUNTA(raw_data!A:A)-1, 'Bugs'[RetestFailCount] &gt; 0),
        0
    )</f>
        <v>0</v>
      </c>
      <c r="C189">
        <v>0</v>
      </c>
      <c r="D189" t="s">
        <v>1046</v>
      </c>
    </row>
    <row r="190" spans="1:4">
      <c r="A190" t="s">
        <v>756</v>
      </c>
      <c r="B190">
        <f>DIVIDE(
        CALCULATE(COUNTA(raw_data!A:A)-1, 'Bugs'[PreviousState] &gt; raw_data!F:F),
        COUNTA(raw_data!A:A)-1,
        0
    )</f>
        <v>0</v>
      </c>
      <c r="C190">
        <v>0</v>
      </c>
      <c r="D190" t="s">
        <v>1047</v>
      </c>
    </row>
    <row r="191" spans="1:4">
      <c r="A191" t="s">
        <v>757</v>
      </c>
      <c r="B191" cm="1">
        <f t="array" ref="B191">AVERAGEX(
        _xlfn._xlws.FILTER('Bugs', NOT(ISBLANK('Bugs'[TriageDate]))),
        DATEDIFF('Bugs'[CreatedDate], 'Bugs'[TriageDate], HOUR)
    )</f>
        <v>0</v>
      </c>
      <c r="C191">
        <v>0</v>
      </c>
      <c r="D191" t="s">
        <v>1048</v>
      </c>
    </row>
    <row r="192" spans="1:4">
      <c r="A192" t="s">
        <v>758</v>
      </c>
      <c r="B192" cm="1">
        <f t="array" ref="B192">AVERAGEX(
        _xlfn._xlws.FILTER('Bugs', NOT(ISBLANK('Bugs'[TriageDate])) &amp;&amp; raw_data!F:F != "Triage"),
        DATEDIFF('Bugs'[TriageDate], 'Bugs'[AssignedDate], HOUR)
    )</f>
        <v>0</v>
      </c>
      <c r="C192">
        <v>0</v>
      </c>
      <c r="D192" t="s">
        <v>1049</v>
      </c>
    </row>
    <row r="193" spans="1:4">
      <c r="A193" t="s">
        <v>759</v>
      </c>
      <c r="B193" cm="1">
        <f t="array" ref="B193">AVERAGEX(
        _xlfn._xlws.FILTER('Bugs', NOT(ISBLANK('Bugs'[InProgressDate]))),
        DATEDIFF('Bugs'[AssignedDate], 'Bugs'[InProgressDate], HOUR)
    )</f>
        <v>0</v>
      </c>
      <c r="C193">
        <v>0</v>
      </c>
      <c r="D193" t="s">
        <v>1050</v>
      </c>
    </row>
    <row r="194" spans="1:4">
      <c r="A194" t="s">
        <v>760</v>
      </c>
      <c r="B194" cm="1">
        <f t="array" ref="B194">AVERAGEX(
        _xlfn._xlws.FILTER('Bugs', NOT(ISBLANK('Bugs'[ReadyForRetestDate]))),
        DATEDIFF('Bugs'[InProgressDate], 'Bugs'[ReadyForRetestDate], HOUR)
    )</f>
        <v>0</v>
      </c>
      <c r="C194">
        <v>0</v>
      </c>
      <c r="D194" t="s">
        <v>1051</v>
      </c>
    </row>
    <row r="195" spans="1:4">
      <c r="A195" t="s">
        <v>761</v>
      </c>
      <c r="B195" cm="1">
        <f t="array" ref="B195">AVERAGEX(
        _xlfn._xlws.FILTER('Bugs', NOT(ISBLANK('Bugs'[DoneDate]))),
        DATEDIFF('Bugs'[ReadyForRetestDate], 'Bugs'[DoneDate], HOUR)
    )</f>
        <v>0</v>
      </c>
      <c r="C195">
        <v>0</v>
      </c>
      <c r="D195" t="s">
        <v>1052</v>
      </c>
    </row>
    <row r="196" spans="1:4">
      <c r="A196" t="s">
        <v>762</v>
      </c>
      <c r="B196" cm="1">
        <f t="array" ref="B196">AVERAGEX(
        _xlfn._xlws.FILTER('Bugs', NOT(ISBLANK('Bugs'[ClosedDate])) &amp;&amp; NOT(ISBLANK('Bugs'[DoneDate]))),
        DATEDIFF('Bugs'[DoneDate], 'Bugs'[ClosedDate], HOUR)
    )</f>
        <v>0</v>
      </c>
      <c r="C196">
        <v>0</v>
      </c>
      <c r="D196" t="s">
        <v>1053</v>
      </c>
    </row>
    <row r="197" spans="1:4">
      <c r="A197" t="s">
        <v>763</v>
      </c>
      <c r="B197">
        <f>Complex formula (see DAX reference)</f>
        <v>0</v>
      </c>
      <c r="C197">
        <v>0</v>
      </c>
      <c r="D197" t="s">
        <v>1054</v>
      </c>
    </row>
    <row r="198" spans="1:4">
      <c r="A198" t="s">
        <v>764</v>
      </c>
      <c r="B198">
        <f>DIVIDE(
        [SF06_Avg_InProgress_Duration],
        [SF05_Avg_Active_Duration] + [SF06_Avg_InProgress_Duration] + [SF08_Avg_ReadyForRetest_Duration],
        0
    )</f>
        <v>0</v>
      </c>
      <c r="C198">
        <v>0</v>
      </c>
      <c r="D198" t="s">
        <v>1055</v>
      </c>
    </row>
    <row r="199" spans="1:4">
      <c r="A199" t="s">
        <v>765</v>
      </c>
      <c r="B199">
        <f>DIVIDE(
        SUM('Bugs'[StateTransitionCount]),
        DISTINCTCOUNT('Bugs'[BugID]),
        0
    )</f>
        <v>0</v>
      </c>
      <c r="C199">
        <v>0</v>
      </c>
      <c r="D199" t="s">
        <v>1056</v>
      </c>
    </row>
    <row r="200" spans="1:4">
      <c r="A200" t="s">
        <v>766</v>
      </c>
      <c r="B200">
        <f>CALCULATE(
        COUNTA(raw_data!A:A)-1,
        ALLEXCEPT('Bugs', raw_data!F:F)
    )</f>
        <v>0</v>
      </c>
      <c r="C200">
        <v>0</v>
      </c>
      <c r="D200" t="s">
        <v>1057</v>
      </c>
    </row>
    <row r="201" spans="1:4">
      <c r="A201" t="s">
        <v>767</v>
      </c>
      <c r="B201">
        <f>DIVIDE(
        [SF27_Bugs_by_Current_State],
        [V01_Total_Bugs],
        0
    )</f>
        <v>0</v>
      </c>
      <c r="C201">
        <v>0</v>
      </c>
      <c r="D201" t="s">
        <v>1058</v>
      </c>
    </row>
    <row r="202" spans="1:4">
      <c r="A202" t="s">
        <v>768</v>
      </c>
      <c r="B202">
        <f>CALCULATE(
        COUNTA(raw_data!A:A)-1,
        raw_data!F:F = "Triage",
        raw_data!D:D = "Critical"
    )</f>
        <v>0</v>
      </c>
      <c r="C202">
        <v>0</v>
      </c>
      <c r="D202" t="s">
        <v>1059</v>
      </c>
    </row>
    <row r="203" spans="1:4">
      <c r="A203" t="s">
        <v>769</v>
      </c>
      <c r="B203" cm="1">
        <f t="array" ref="B203">AVERAGEX(
        _xlfn._xlws.FILTER('Bugs', NOT(ISBLANK('Bugs'[InProgressDate]))),
        DATEDIFF('Bugs'[CreatedDate], 'Bugs'[InProgressDate], HOUR)
    )</f>
        <v>0</v>
      </c>
      <c r="C203">
        <v>0</v>
      </c>
      <c r="D203" t="s">
        <v>1060</v>
      </c>
    </row>
    <row r="204" spans="1:4">
      <c r="A204" t="s">
        <v>770</v>
      </c>
      <c r="B204">
        <f>AVERAGE(raw_data!BD:BD)</f>
        <v>0</v>
      </c>
      <c r="C204">
        <v>209.4193548387097</v>
      </c>
      <c r="D204" t="s">
        <v>1061</v>
      </c>
    </row>
    <row r="205" spans="1:4">
      <c r="A205" t="s">
        <v>771</v>
      </c>
      <c r="B205">
        <f>MEDIAN(raw_data!BD:BD)</f>
        <v>0</v>
      </c>
      <c r="C205">
        <v>200</v>
      </c>
      <c r="D205" t="s">
        <v>1062</v>
      </c>
    </row>
    <row r="206" spans="1:4">
      <c r="A206" t="s">
        <v>772</v>
      </c>
      <c r="B206">
        <f>AVERAGE(raw_data!BE:BE)</f>
        <v>0</v>
      </c>
      <c r="C206">
        <v>134.741935483871</v>
      </c>
      <c r="D206" t="s">
        <v>1063</v>
      </c>
    </row>
    <row r="207" spans="1:4">
      <c r="A207" t="s">
        <v>773</v>
      </c>
      <c r="B207">
        <f>MEDIAN(raw_data!BE:BE)</f>
        <v>0</v>
      </c>
      <c r="C207">
        <v>133</v>
      </c>
      <c r="D207" t="s">
        <v>1064</v>
      </c>
    </row>
    <row r="208" spans="1:4">
      <c r="A208" t="s">
        <v>774</v>
      </c>
      <c r="B208">
        <f>PERCENTILE(raw_data!BE:BE,0.75)</f>
        <v>0</v>
      </c>
      <c r="C208">
        <v>155.5</v>
      </c>
      <c r="D208" t="s">
        <v>1065</v>
      </c>
    </row>
    <row r="209" spans="1:4">
      <c r="A209" t="s">
        <v>775</v>
      </c>
      <c r="B209">
        <f>PERCENTILEX.INC('Bugs', 'Bugs'[CycleTimeHrs], 0.90)</f>
        <v>0</v>
      </c>
      <c r="C209">
        <v>0</v>
      </c>
      <c r="D209" t="s">
        <v>1066</v>
      </c>
    </row>
    <row r="210" spans="1:4">
      <c r="A210" t="s">
        <v>776</v>
      </c>
      <c r="B210">
        <f>PERCENTILEX.INC('Bugs', 'Bugs'[LeadTimeHrs], 0.95)</f>
        <v>0</v>
      </c>
      <c r="C210">
        <v>0</v>
      </c>
      <c r="D210" t="s">
        <v>1067</v>
      </c>
    </row>
    <row r="211" spans="1:4">
      <c r="A211" t="s">
        <v>777</v>
      </c>
      <c r="B211">
        <f>MAX(raw_data!BD:BD)</f>
        <v>0</v>
      </c>
      <c r="C211">
        <v>315</v>
      </c>
      <c r="D211" t="s">
        <v>1068</v>
      </c>
    </row>
    <row r="212" spans="1:4">
      <c r="A212" t="s">
        <v>778</v>
      </c>
      <c r="B212">
        <f>MAX('Bugs'[CycleTimeHrs])</f>
        <v>0</v>
      </c>
      <c r="C212">
        <v>0</v>
      </c>
      <c r="D212" t="s">
        <v>1069</v>
      </c>
    </row>
    <row r="213" spans="1:4">
      <c r="A213" t="s">
        <v>779</v>
      </c>
      <c r="B213">
        <f>MIN(raw_data!BD:BD)</f>
        <v>0</v>
      </c>
      <c r="C213">
        <v>104</v>
      </c>
      <c r="D213" t="s">
        <v>1070</v>
      </c>
    </row>
    <row r="214" spans="1:4">
      <c r="A214" t="s">
        <v>780</v>
      </c>
      <c r="B214" cm="1">
        <f t="array" ref="B214">AVERAGEX(
        _xlfn._xlws.FILTER('Bugs', NOT(ISBLANK('Bugs'[ResolvedDate]))),
        DATEDIFF('Bugs'[CreatedDate], 'Bugs'[ResolvedDate], HOUR)
    )</f>
        <v>0</v>
      </c>
      <c r="C214">
        <v>0</v>
      </c>
      <c r="D214" t="s">
        <v>1071</v>
      </c>
    </row>
    <row r="215" spans="1:4">
      <c r="A215" t="s">
        <v>781</v>
      </c>
      <c r="B215" cm="1">
        <f t="array" ref="B215">AVERAGEX(
        _xlfn._xlws.FILTER('Bugs', NOT(ISBLANK('Bugs'[ClosedDate]))),
        DATEDIFF('Bugs'[CreatedDate], 'Bugs'[ClosedDate], HOUR)
    )</f>
        <v>0</v>
      </c>
      <c r="C215">
        <v>0</v>
      </c>
      <c r="D215" t="s">
        <v>1072</v>
      </c>
    </row>
    <row r="216" spans="1:4">
      <c r="A216" t="s">
        <v>782</v>
      </c>
      <c r="B216">
        <f>AVERAGE(raw_data!BF:BF)</f>
        <v>0</v>
      </c>
      <c r="C216">
        <v>35.01162790697674</v>
      </c>
      <c r="D216" t="s">
        <v>1073</v>
      </c>
    </row>
    <row r="217" spans="1:4">
      <c r="A217" t="s">
        <v>783</v>
      </c>
      <c r="B217">
        <f>AVERAGE('Bugs'[FixEffortHrs])</f>
        <v>0</v>
      </c>
      <c r="C217">
        <v>0</v>
      </c>
      <c r="D217" t="s">
        <v>1074</v>
      </c>
    </row>
    <row r="218" spans="1:4">
      <c r="A218" t="s">
        <v>784</v>
      </c>
      <c r="B218" cm="1">
        <f t="array" ref="B218">AVERAGEX(
        _xlfn._xlws.FILTER('Bugs', NOT(ISBLANK('Bugs'[VerifiedDate])) &amp;&amp; NOT(ISBLANK('Bugs'[ResolvedDate]))),
        DATEDIFF('Bugs'[ResolvedDate], 'Bugs'[VerifiedDate], HOUR)
    )</f>
        <v>0</v>
      </c>
      <c r="C218">
        <v>0</v>
      </c>
      <c r="D218" t="s">
        <v>1075</v>
      </c>
    </row>
    <row r="219" spans="1:4">
      <c r="A219" t="s">
        <v>785</v>
      </c>
      <c r="B219">
        <f>AVERAGE(raw_data!BG:BG)</f>
        <v>0</v>
      </c>
      <c r="C219">
        <v>58.45</v>
      </c>
      <c r="D219" t="s">
        <v>1076</v>
      </c>
    </row>
    <row r="220" spans="1:4">
      <c r="A220" t="s">
        <v>786</v>
      </c>
      <c r="B220">
        <f>AVERAGE(raw_data!BH:BH)</f>
        <v>0</v>
      </c>
      <c r="C220">
        <v>41.77</v>
      </c>
      <c r="D220" t="s">
        <v>1077</v>
      </c>
    </row>
    <row r="221" spans="1:4">
      <c r="A221" t="s">
        <v>787</v>
      </c>
      <c r="B221">
        <f>AVERAGE(raw_data!BI:BI)</f>
        <v>0</v>
      </c>
      <c r="C221">
        <v>636.6807912721745</v>
      </c>
      <c r="D221" t="s">
        <v>1078</v>
      </c>
    </row>
    <row r="222" spans="1:4">
      <c r="A222" t="s">
        <v>788</v>
      </c>
      <c r="B222">
        <f>COUNTIF(raw_data!BI:BI,"&gt;7")</f>
        <v>0</v>
      </c>
      <c r="C222">
        <v>100</v>
      </c>
      <c r="D222" t="s">
        <v>1079</v>
      </c>
    </row>
    <row r="223" spans="1:4">
      <c r="A223" t="s">
        <v>789</v>
      </c>
      <c r="B223">
        <f>COUNTIF(raw_data!BI:BI,"&gt;14")</f>
        <v>0</v>
      </c>
      <c r="C223">
        <v>100</v>
      </c>
      <c r="D223" t="s">
        <v>1080</v>
      </c>
    </row>
    <row r="224" spans="1:4">
      <c r="A224" t="s">
        <v>790</v>
      </c>
      <c r="B224">
        <f>COUNTIF(raw_data!BI:BI,"&gt;30")</f>
        <v>0</v>
      </c>
      <c r="C224">
        <v>100</v>
      </c>
      <c r="D224" t="s">
        <v>1081</v>
      </c>
    </row>
    <row r="225" spans="1:4">
      <c r="A225" t="s">
        <v>791</v>
      </c>
      <c r="B225">
        <f>COUNTIF(raw_data!BI:BI,"&gt;60")</f>
        <v>0</v>
      </c>
      <c r="C225">
        <v>100</v>
      </c>
      <c r="D225" t="s">
        <v>1082</v>
      </c>
    </row>
    <row r="226" spans="1:4">
      <c r="A226" t="s">
        <v>792</v>
      </c>
      <c r="B226">
        <f>CALCULATE(COUNTA(raw_data!A:A)-1, 'Bugs'[AgeDays] &gt; 90)</f>
        <v>0</v>
      </c>
      <c r="C226">
        <v>0</v>
      </c>
      <c r="D226" t="s">
        <v>1083</v>
      </c>
    </row>
    <row r="227" spans="1:4">
      <c r="A227" t="s">
        <v>793</v>
      </c>
      <c r="B227" cm="1">
        <f t="array" ref="B227">AVERAGEX(
        _xlfn._xlws.FILTER('Bugs', raw_data!AM:AM &gt; 0),
        DATEDIFF('Bugs'[ClosedDate], 'Bugs'[FirstReopenDate], HOUR)
    )</f>
        <v>0</v>
      </c>
      <c r="C227">
        <v>0</v>
      </c>
      <c r="D227" t="s">
        <v>1084</v>
      </c>
    </row>
    <row r="228" spans="1:4">
      <c r="A228" t="s">
        <v>794</v>
      </c>
      <c r="B228" cm="1">
        <f t="array" ref="B228">AVERAGEX(
        _xlfn._xlws.FILTER('Bugs', raw_data!F:F = "Open"),
        DATEDIFF('Bugs'[CreatedDate], TODAY(), DAY)
    )</f>
        <v>0</v>
      </c>
      <c r="C228">
        <v>0</v>
      </c>
      <c r="D228" t="s">
        <v>1085</v>
      </c>
    </row>
    <row r="229" spans="1:4">
      <c r="A229" t="s">
        <v>795</v>
      </c>
      <c r="B229">
        <f>T17_Avg_Active_Work_Time/T01_Avg_Lead_Time*100</f>
        <v>0</v>
      </c>
      <c r="C229">
        <v>19.94562538508934</v>
      </c>
      <c r="D229" t="s">
        <v>1086</v>
      </c>
    </row>
    <row r="230" spans="1:4">
      <c r="A230" t="s">
        <v>796</v>
      </c>
      <c r="B230">
        <f>AVERAGEX(
        'Bugs',
        DATEDIFF('Bugs'[LastModifiedDate], TODAY(), DAY)
    )</f>
        <v>0</v>
      </c>
      <c r="C230">
        <v>0</v>
      </c>
      <c r="D230" t="s">
        <v>1087</v>
      </c>
    </row>
    <row r="231" spans="1:4">
      <c r="A231" t="s">
        <v>797</v>
      </c>
      <c r="B231">
        <f>CALCULATE(COUNTA(raw_data!A:A)-1, DATEDIFF('Bugs'[LastModifiedDate], TODAY(), DAY) &gt; 30)</f>
        <v>0</v>
      </c>
      <c r="C231">
        <v>0</v>
      </c>
      <c r="D231" t="s">
        <v>1088</v>
      </c>
    </row>
    <row r="232" spans="1:4">
      <c r="A232" t="s">
        <v>798</v>
      </c>
      <c r="B232">
        <f>CALCULATE(COUNTA(raw_data!A:A)-1, DATEDIFF('Bugs'[LastModifiedDate], TODAY(), DAY) &lt;= 7)</f>
        <v>0</v>
      </c>
      <c r="C232">
        <v>0</v>
      </c>
      <c r="D232" t="s">
        <v>1089</v>
      </c>
    </row>
    <row r="233" spans="1:4">
      <c r="A233" t="s">
        <v>799</v>
      </c>
      <c r="B233">
        <f>0</f>
        <v>0</v>
      </c>
      <c r="C233">
        <v>0</v>
      </c>
      <c r="D233" t="s">
        <v>1090</v>
      </c>
    </row>
    <row r="234" spans="1:4">
      <c r="A234" t="s">
        <v>800</v>
      </c>
      <c r="B234">
        <f>0</f>
        <v>0</v>
      </c>
      <c r="C234">
        <v>0</v>
      </c>
      <c r="D234" t="s">
        <v>1091</v>
      </c>
    </row>
    <row r="235" spans="1:4">
      <c r="A235" t="s">
        <v>801</v>
      </c>
      <c r="B235">
        <f>VAR Current = [Q01_Escape_Rate]
    VAR Previous = CALCULATE([Q01_Escape_Rate], DATEADD('Date'[Date], -1, MONTH))
    RETURN Current - Previous</f>
        <v>0</v>
      </c>
      <c r="C235">
        <v>0</v>
      </c>
      <c r="D235" t="s">
        <v>1092</v>
      </c>
    </row>
    <row r="236" spans="1:4">
      <c r="A236" t="s">
        <v>802</v>
      </c>
      <c r="B236">
        <f>0</f>
        <v>0</v>
      </c>
      <c r="C236">
        <v>0</v>
      </c>
      <c r="D236" t="s">
        <v>1093</v>
      </c>
    </row>
    <row r="237" spans="1:4">
      <c r="A237" t="s">
        <v>803</v>
      </c>
      <c r="B237">
        <f>CALCULATE(
        AVERAGEX(
            DATESINPERIOD('Date'[Date], MAX('Date'[Date]), -7, DAY),
            [V01_Total_Bugs]
        )
    )</f>
        <v>0</v>
      </c>
      <c r="C237">
        <v>0</v>
      </c>
      <c r="D237" t="s">
        <v>1094</v>
      </c>
    </row>
    <row r="238" spans="1:4">
      <c r="A238" t="s">
        <v>804</v>
      </c>
      <c r="B238">
        <f>CALCULATE(
        AVERAGEX(
            DATESINPERIOD('Date'[Date], MAX('Date'[Date]), -30, DAY),
            [V01_Total_Bugs]
        )
    )</f>
        <v>0</v>
      </c>
      <c r="C238">
        <v>0</v>
      </c>
      <c r="D238" t="s">
        <v>1095</v>
      </c>
    </row>
    <row r="239" spans="1:4">
      <c r="A239" t="s">
        <v>805</v>
      </c>
      <c r="B239">
        <f>VAR Current = [V14_Critical_Bugs]
    VAR Previous = CALCULATE([V14_Critical_Bugs], DATEADD('Date'[Date], -1, MONTH))
    RETURN DIVIDE(Current - Previous, Previous, 0)</f>
        <v>0</v>
      </c>
      <c r="C239">
        <v>0</v>
      </c>
      <c r="D239" t="s">
        <v>1096</v>
      </c>
    </row>
    <row r="240" spans="1:4">
      <c r="A240" t="s">
        <v>806</v>
      </c>
      <c r="B240">
        <f>VAR Current = [Q03_Reopen_Rate]
    VAR Previous = CALCULATE([Q03_Reopen_Rate], DATEADD('Date'[Date], -1, MONTH))
    RETURN Current - Previous</f>
        <v>0</v>
      </c>
      <c r="C240">
        <v>0</v>
      </c>
      <c r="D240" t="s">
        <v>1097</v>
      </c>
    </row>
    <row r="241" spans="1:4">
      <c r="A241" t="s">
        <v>807</v>
      </c>
      <c r="B241">
        <f>VAR Current = [T01_Avg_Lead_Time]
    VAR Previous = CALCULATE([T01_Avg_Lead_Time], DATEADD('Date'[Date], -1, MONTH))
    RETURN DIVIDE(Current - Previous, Previous, 0)</f>
        <v>0</v>
      </c>
      <c r="C241">
        <v>0</v>
      </c>
      <c r="D241" t="s">
        <v>1098</v>
      </c>
    </row>
    <row r="242" spans="1:4">
      <c r="A242" t="s">
        <v>808</v>
      </c>
      <c r="B242">
        <f>VAR Current = [S01_Sprint_Velocity]
    VAR Previous = CALCULATE([S01_Sprint_Velocity], DATEADD('Date'[Date], -1, MONTH))
    RETURN DIVIDE(Current - Previous, Previous, 0)</f>
        <v>0</v>
      </c>
      <c r="C242">
        <v>0</v>
      </c>
      <c r="D242" t="s">
        <v>1099</v>
      </c>
    </row>
    <row r="243" spans="1:4">
      <c r="A243" t="s">
        <v>809</v>
      </c>
      <c r="B243">
        <f>VAR Current = [E01_Total_Effort]
    VAR Previous = CALCULATE([E01_Total_Effort], DATEADD('Date'[Date], -1, MONTH))
    RETURN DIVIDE(Current - Previous, Previous, 0)</f>
        <v>0</v>
      </c>
      <c r="C243">
        <v>0</v>
      </c>
      <c r="D243" t="s">
        <v>1100</v>
      </c>
    </row>
    <row r="244" spans="1:4">
      <c r="A244" t="s">
        <v>810</v>
      </c>
      <c r="B244">
        <f>AVERAGEX(
        VALUES('Bugs'[ModuleName]),
        CALCULATE([V01_Total_Bugs])
    )</f>
        <v>0</v>
      </c>
      <c r="C244">
        <v>0</v>
      </c>
      <c r="D244" t="s">
        <v>1101</v>
      </c>
    </row>
    <row r="245" spans="1:4">
      <c r="A245" t="s">
        <v>811</v>
      </c>
      <c r="B245">
        <f>AVERAGEX(
        VALUES('Bugs'[TeamName]),
        CALCULATE([V01_Total_Bugs])
    )</f>
        <v>0</v>
      </c>
      <c r="C245">
        <v>0</v>
      </c>
      <c r="D245" t="s">
        <v>1102</v>
      </c>
    </row>
    <row r="246" spans="1:4">
      <c r="A246" t="s">
        <v>812</v>
      </c>
      <c r="B246">
        <f>Complex formula (see DAX reference)</f>
        <v>0</v>
      </c>
      <c r="C246">
        <v>0</v>
      </c>
      <c r="D246" t="s">
        <v>1103</v>
      </c>
    </row>
    <row r="247" spans="1:4">
      <c r="A247" t="s">
        <v>813</v>
      </c>
      <c r="B247">
        <f>VAR CurrentQuarter = [V01_Total_Bugs]
    VAR PreviousQuarter = CALCULATE([V01_Total_Bugs], DATEADD('Date'[Date], -1, QUARTER))
    RETURN DIVIDE(CurrentQuarter - PreviousQuarter, PreviousQuarter, 0)</f>
        <v>0</v>
      </c>
      <c r="C247">
        <v>0</v>
      </c>
      <c r="D247" t="s">
        <v>1104</v>
      </c>
    </row>
    <row r="248" spans="1:4">
      <c r="A248" t="s">
        <v>814</v>
      </c>
      <c r="B248">
        <f>COUNTA(raw_data!A:A)-1</f>
        <v>0</v>
      </c>
      <c r="C248">
        <v>100</v>
      </c>
      <c r="D248" t="s">
        <v>1105</v>
      </c>
    </row>
    <row r="249" spans="1:4">
      <c r="A249" t="s">
        <v>815</v>
      </c>
      <c r="B249">
        <f>COUNTIFS(raw_data!F:F,"Open",raw_data!F:F,"Triage",raw_data!F:F,"Active",raw_data!F:F,"In Progress",raw_data!F:F,"Ready for Retest")</f>
        <v>0</v>
      </c>
      <c r="C249">
        <v>40</v>
      </c>
      <c r="D249" t="s">
        <v>1106</v>
      </c>
    </row>
    <row r="250" spans="1:4">
      <c r="A250" t="s">
        <v>816</v>
      </c>
      <c r="B250">
        <f>COUNTIF(raw_data!F:F,"Triage")</f>
        <v>0</v>
      </c>
      <c r="C250">
        <v>7</v>
      </c>
      <c r="D250" t="s">
        <v>1107</v>
      </c>
    </row>
    <row r="251" spans="1:4">
      <c r="A251" t="s">
        <v>817</v>
      </c>
      <c r="B251">
        <f>COUNTIF(raw_data!F:F,"Active")</f>
        <v>0</v>
      </c>
      <c r="C251">
        <v>8</v>
      </c>
      <c r="D251" t="s">
        <v>1108</v>
      </c>
    </row>
    <row r="252" spans="1:4">
      <c r="A252" t="s">
        <v>818</v>
      </c>
      <c r="B252">
        <f>COUNTIF(raw_data!F:F,"In Progress")</f>
        <v>0</v>
      </c>
      <c r="C252">
        <v>15</v>
      </c>
      <c r="D252" t="s">
        <v>1109</v>
      </c>
    </row>
    <row r="253" spans="1:4">
      <c r="A253" t="s">
        <v>819</v>
      </c>
      <c r="B253">
        <f>COUNTIF(raw_data!F:F,"Ready for Retest")</f>
        <v>0</v>
      </c>
      <c r="C253">
        <v>3</v>
      </c>
      <c r="D253" t="s">
        <v>1110</v>
      </c>
    </row>
    <row r="254" spans="1:4">
      <c r="A254" t="s">
        <v>820</v>
      </c>
      <c r="B254">
        <f>COUNTIF(raw_data!F:F,"Resolved")</f>
        <v>0</v>
      </c>
      <c r="C254">
        <v>9</v>
      </c>
      <c r="D254" t="s">
        <v>1111</v>
      </c>
    </row>
    <row r="255" spans="1:4">
      <c r="A255" t="s">
        <v>821</v>
      </c>
      <c r="B255">
        <f>COUNTIF(raw_data!F:F,"Done")</f>
        <v>0</v>
      </c>
      <c r="C255">
        <v>20</v>
      </c>
      <c r="D255" t="s">
        <v>1112</v>
      </c>
    </row>
    <row r="256" spans="1:4">
      <c r="A256" t="s">
        <v>822</v>
      </c>
      <c r="B256">
        <f>COUNTIF(raw_data!F:F,"Closed")</f>
        <v>0</v>
      </c>
      <c r="C256">
        <v>31</v>
      </c>
      <c r="D256" t="s">
        <v>1113</v>
      </c>
    </row>
    <row r="257" spans="1:4">
      <c r="A257" t="s">
        <v>823</v>
      </c>
      <c r="B257">
        <f>COUNTIF(raw_data!AM:AM,"&gt;0")</f>
        <v>0</v>
      </c>
      <c r="C257">
        <v>24</v>
      </c>
      <c r="D257" t="s">
        <v>1114</v>
      </c>
    </row>
    <row r="258" spans="1:4">
      <c r="A258" t="s">
        <v>824</v>
      </c>
      <c r="B258">
        <f>COUNTIF(raw_data!AM:AM,"&gt;1")</f>
        <v>0</v>
      </c>
      <c r="C258">
        <v>14</v>
      </c>
      <c r="D258" t="s">
        <v>1115</v>
      </c>
    </row>
    <row r="259" spans="1:4">
      <c r="A259" t="s">
        <v>825</v>
      </c>
      <c r="B259">
        <f>COUNTIF(raw_data!I:I,TRUE)</f>
        <v>0</v>
      </c>
      <c r="C259">
        <v>17</v>
      </c>
      <c r="D259" t="s">
        <v>1116</v>
      </c>
    </row>
    <row r="260" spans="1:4">
      <c r="A260" t="s">
        <v>826</v>
      </c>
      <c r="B260">
        <f>COUNTIF(raw_data!H:H,TRUE)</f>
        <v>0</v>
      </c>
      <c r="C260">
        <v>25</v>
      </c>
      <c r="D260" t="s">
        <v>1117</v>
      </c>
    </row>
    <row r="261" spans="1:4">
      <c r="A261" t="s">
        <v>827</v>
      </c>
      <c r="B261">
        <f>COUNTIF(raw_data!D:D,"Critical")</f>
        <v>0</v>
      </c>
      <c r="C261">
        <v>13</v>
      </c>
      <c r="D261" t="s">
        <v>1118</v>
      </c>
    </row>
    <row r="262" spans="1:4">
      <c r="A262" t="s">
        <v>828</v>
      </c>
      <c r="B262">
        <f>COUNTIF(raw_data!D:D,"High")</f>
        <v>0</v>
      </c>
      <c r="C262">
        <v>28</v>
      </c>
      <c r="D262" t="s">
        <v>1119</v>
      </c>
    </row>
    <row r="263" spans="1:4">
      <c r="A263" t="s">
        <v>829</v>
      </c>
      <c r="B263">
        <f>COUNTIF(raw_data!D:D,"Medium")</f>
        <v>0</v>
      </c>
      <c r="C263">
        <v>35</v>
      </c>
      <c r="D263" t="s">
        <v>1120</v>
      </c>
    </row>
    <row r="264" spans="1:4">
      <c r="A264" t="s">
        <v>830</v>
      </c>
      <c r="B264">
        <f>COUNTIF(raw_data!D:D,"Low")</f>
        <v>0</v>
      </c>
      <c r="C264">
        <v>24</v>
      </c>
      <c r="D264" t="s">
        <v>1121</v>
      </c>
    </row>
    <row r="265" spans="1:4">
      <c r="A265" t="s">
        <v>831</v>
      </c>
      <c r="B265">
        <f>COUNTIF(raw_data!E:E,"P0")</f>
        <v>0</v>
      </c>
      <c r="C265">
        <v>5</v>
      </c>
      <c r="D265" t="s">
        <v>1122</v>
      </c>
    </row>
    <row r="266" spans="1:4">
      <c r="A266" t="s">
        <v>832</v>
      </c>
      <c r="B266">
        <f>COUNTIF(raw_data!E:E,"P1")</f>
        <v>0</v>
      </c>
      <c r="C266">
        <v>22</v>
      </c>
      <c r="D266" t="s">
        <v>1123</v>
      </c>
    </row>
    <row r="267" spans="1:4">
      <c r="A267" t="s">
        <v>833</v>
      </c>
      <c r="B267">
        <f>COUNTIF(raw_data!E:E,"P2")</f>
        <v>0</v>
      </c>
      <c r="C267">
        <v>43</v>
      </c>
      <c r="D267" t="s">
        <v>1124</v>
      </c>
    </row>
    <row r="268" spans="1:4">
      <c r="A268" t="s">
        <v>834</v>
      </c>
      <c r="B268">
        <f>CALCULATE(COUNTA(raw_data!A:A)-1, 'Bugs'[IsBlocking] = TRUE)</f>
        <v>0</v>
      </c>
      <c r="C268">
        <v>0</v>
      </c>
      <c r="D268" t="s">
        <v>1125</v>
      </c>
    </row>
    <row r="269" spans="1:4">
      <c r="A269" t="s">
        <v>835</v>
      </c>
      <c r="B269">
        <f>V12_Escaped_Bugs</f>
        <v>0</v>
      </c>
      <c r="C269">
        <v>17</v>
      </c>
      <c r="D269" t="s">
        <v>1126</v>
      </c>
    </row>
    <row r="270" spans="1:4">
      <c r="A270" t="s">
        <v>836</v>
      </c>
      <c r="B270">
        <f>COUNTIF(raw_data!G:G,"Security")</f>
        <v>0</v>
      </c>
      <c r="C270">
        <v>18</v>
      </c>
      <c r="D270" t="s">
        <v>1127</v>
      </c>
    </row>
    <row r="271" spans="1:4">
      <c r="A271" t="s">
        <v>837</v>
      </c>
      <c r="B271">
        <f>COUNTIF(raw_data!G:G,"Performance")</f>
        <v>0</v>
      </c>
      <c r="C271">
        <v>12</v>
      </c>
      <c r="D271" t="s">
        <v>1128</v>
      </c>
    </row>
    <row r="272" spans="1:4">
      <c r="A272" t="s">
        <v>838</v>
      </c>
      <c r="B272">
        <f>COUNTIF(raw_data!G:G,"UI")</f>
        <v>0</v>
      </c>
      <c r="C272">
        <v>15</v>
      </c>
      <c r="D272" t="s">
        <v>1129</v>
      </c>
    </row>
    <row r="273" spans="1:4">
      <c r="A273" t="s">
        <v>839</v>
      </c>
      <c r="B273">
        <f>CALCULATE(COUNTA(raw_data!A:A)-1, 'Bugs'[Category] = "Functional")</f>
        <v>0</v>
      </c>
      <c r="C273">
        <v>0</v>
      </c>
      <c r="D273" t="s">
        <v>1130</v>
      </c>
    </row>
    <row r="274" spans="1:4">
      <c r="A274" t="s">
        <v>840</v>
      </c>
      <c r="B274">
        <f>CALCULATE(COUNTA(raw_data!A:A)-1, 'Bugs'[Category] = "Data")</f>
        <v>0</v>
      </c>
      <c r="C274">
        <v>0</v>
      </c>
      <c r="D274" t="s">
        <v>1131</v>
      </c>
    </row>
    <row r="275" spans="1:4">
      <c r="A275" t="s">
        <v>841</v>
      </c>
      <c r="B275">
        <f>COUNTA(raw_data!A:A)-1</f>
        <v>0</v>
      </c>
      <c r="C275">
        <v>0</v>
      </c>
      <c r="D275" t="s">
        <v>1132</v>
      </c>
    </row>
    <row r="276" spans="1:4">
      <c r="A276" t="s">
        <v>842</v>
      </c>
      <c r="B276">
        <f>COUNTA(raw_data!A:A)-1</f>
        <v>0</v>
      </c>
      <c r="C276">
        <v>0</v>
      </c>
      <c r="D276" t="s">
        <v>1133</v>
      </c>
    </row>
    <row r="277" spans="1:4">
      <c r="A277" t="s">
        <v>843</v>
      </c>
      <c r="B277">
        <f>COUNTA(raw_data!A:A)-1</f>
        <v>0</v>
      </c>
      <c r="C277">
        <v>0</v>
      </c>
      <c r="D277" t="s">
        <v>1134</v>
      </c>
    </row>
    <row r="278" spans="1:4">
      <c r="A278" t="s">
        <v>844</v>
      </c>
      <c r="B278">
        <f>COUNTA(raw_data!A:A)-1</f>
        <v>0</v>
      </c>
      <c r="C278">
        <v>0</v>
      </c>
      <c r="D278" t="s">
        <v>1135</v>
      </c>
    </row>
    <row r="279" spans="1:4">
      <c r="A279" t="s">
        <v>845</v>
      </c>
      <c r="B279">
        <f>COUNTA(raw_data!A:A)-1</f>
        <v>0</v>
      </c>
      <c r="C279">
        <v>0</v>
      </c>
      <c r="D279" t="s">
        <v>1136</v>
      </c>
    </row>
    <row r="280" spans="1:4">
      <c r="A280" t="s">
        <v>846</v>
      </c>
      <c r="B280">
        <f>COUNTA(raw_data!A:A)-1</f>
        <v>0</v>
      </c>
      <c r="C280">
        <v>0</v>
      </c>
      <c r="D280" t="s">
        <v>1137</v>
      </c>
    </row>
    <row r="281" spans="1:4">
      <c r="A281" t="s">
        <v>847</v>
      </c>
      <c r="B281">
        <f>COUNTA(raw_data!A:A)-1</f>
        <v>0</v>
      </c>
      <c r="C281">
        <v>0</v>
      </c>
      <c r="D281" t="s">
        <v>1138</v>
      </c>
    </row>
    <row r="282" spans="1:4">
      <c r="A282" t="s">
        <v>848</v>
      </c>
      <c r="B282">
        <f>COUNTIF(raw_data!BT:BT,TRUE)</f>
        <v>0</v>
      </c>
      <c r="C282">
        <v>7</v>
      </c>
      <c r="D282" t="s">
        <v>1139</v>
      </c>
    </row>
    <row r="283" spans="1:4">
      <c r="A283" t="s">
        <v>849</v>
      </c>
      <c r="B283">
        <f>COUNTIF(raw_data!BR:BR,"Won't Fix")</f>
        <v>0</v>
      </c>
      <c r="C283">
        <v>0</v>
      </c>
      <c r="D283" t="s">
        <v>1140</v>
      </c>
    </row>
    <row r="284" spans="1:4">
      <c r="A284" t="s">
        <v>850</v>
      </c>
      <c r="B284">
        <f>COUNTIF(raw_data!BR:BR,"Cannot Reproduce")</f>
        <v>0</v>
      </c>
      <c r="C284">
        <v>4</v>
      </c>
      <c r="D284" t="s">
        <v>1141</v>
      </c>
    </row>
    <row r="285" spans="1:4">
      <c r="A285" t="s">
        <v>851</v>
      </c>
      <c r="B285">
        <f>COUNTIF(raw_data!BQ:BQ,"Fixed")</f>
        <v>0</v>
      </c>
      <c r="C285">
        <v>44</v>
      </c>
      <c r="D285" t="s">
        <v>1142</v>
      </c>
    </row>
    <row r="286" spans="1:4">
      <c r="A286" t="s">
        <v>852</v>
      </c>
      <c r="B286">
        <f>CALCULATE(COUNTA(raw_data!A:A)-1, 'Bugs'[Tags] CONTAINS "Production")</f>
        <v>0</v>
      </c>
      <c r="C286">
        <v>0</v>
      </c>
      <c r="D286" t="s">
        <v>1143</v>
      </c>
    </row>
    <row r="287" spans="1:4">
      <c r="A287" t="s">
        <v>853</v>
      </c>
      <c r="B287">
        <f>CALCULATE(COUNTA(raw_data!A:A)-1, 'Bugs'[Tags] CONTAINS "QA")</f>
        <v>0</v>
      </c>
      <c r="C287">
        <v>0</v>
      </c>
      <c r="D287" t="s">
        <v>1144</v>
      </c>
    </row>
    <row r="288" spans="1:4">
      <c r="A288" t="s">
        <v>854</v>
      </c>
      <c r="B288">
        <f>CALCULATE(COUNTA(raw_data!A:A)-1, raw_data!F:F = "Open")</f>
        <v>0</v>
      </c>
      <c r="C288">
        <v>0</v>
      </c>
      <c r="D288" t="s">
        <v>1145</v>
      </c>
    </row>
    <row r="289" spans="1:4">
      <c r="A289" t="s">
        <v>855</v>
      </c>
      <c r="B289">
        <f>[V41_Backlog_Bugs]</f>
        <v>0</v>
      </c>
      <c r="C289">
        <v>0</v>
      </c>
      <c r="D289" t="s">
        <v>1146</v>
      </c>
    </row>
    <row r="290" spans="1:4">
      <c r="A290" t="s">
        <v>856</v>
      </c>
      <c r="B290">
        <f>COUNTIF(raw_data!BR:BR,"Invalid")</f>
        <v>0</v>
      </c>
      <c r="C290">
        <v>0</v>
      </c>
      <c r="D290" t="s">
        <v>1147</v>
      </c>
    </row>
    <row r="291" spans="1:4">
      <c r="A291" t="s">
        <v>857</v>
      </c>
      <c r="B291">
        <f>COUNTIF(raw_data!BR:BR,"Obsolete")</f>
        <v>0</v>
      </c>
      <c r="C291">
        <v>1</v>
      </c>
      <c r="D291" t="s">
        <v>1148</v>
      </c>
    </row>
    <row r="292" spans="1:4">
      <c r="A292" t="s">
        <v>858</v>
      </c>
      <c r="B292">
        <f>COUNTIF(raw_data!BR:BR,"Completed")</f>
        <v>0</v>
      </c>
      <c r="C292">
        <v>21</v>
      </c>
      <c r="D292" t="s">
        <v>1016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12"/>
  <sheetViews>
    <sheetView workbookViewId="0"/>
  </sheetViews>
  <sheetFormatPr defaultRowHeight="15"/>
  <sheetData>
    <row r="1" spans="1:3">
      <c r="A1" s="1" t="s">
        <v>1149</v>
      </c>
      <c r="B1" s="1" t="s">
        <v>566</v>
      </c>
      <c r="C1" s="1" t="s">
        <v>1150</v>
      </c>
    </row>
    <row r="2" spans="1:3">
      <c r="A2" t="s">
        <v>60</v>
      </c>
      <c r="B2">
        <f>(ClosedDate - CreatedDate) * 24</f>
        <v>0</v>
      </c>
      <c r="C2">
        <v>120.5</v>
      </c>
    </row>
    <row r="3" spans="1:3">
      <c r="A3" t="s">
        <v>61</v>
      </c>
      <c r="B3">
        <f>(ClosedDate - StartedDate) * 24</f>
        <v>0</v>
      </c>
      <c r="C3">
        <v>80.2</v>
      </c>
    </row>
    <row r="4" spans="1:3">
      <c r="A4" t="s">
        <v>62</v>
      </c>
      <c r="B4">
        <f>(AssignedDate - CreatedDate) * 24</f>
        <v>0</v>
      </c>
      <c r="C4">
        <v>4.5</v>
      </c>
    </row>
    <row r="5" spans="1:3">
      <c r="A5" t="s">
        <v>63</v>
      </c>
      <c r="B5">
        <f>TriageDurationHrs + ActiveDurationHrs + ReadyForRetestDurationHrs</f>
        <v>0</v>
      </c>
      <c r="C5">
        <v>45.3</v>
      </c>
    </row>
    <row r="6" spans="1:3">
      <c r="A6" t="s">
        <v>64</v>
      </c>
      <c r="B6">
        <f>InProgressDurationHrs</f>
        <v>0</v>
      </c>
      <c r="C6">
        <v>35.7</v>
      </c>
    </row>
    <row r="7" spans="1:3">
      <c r="A7" t="s">
        <v>65</v>
      </c>
      <c r="B7">
        <f>(TODAY() - CreatedDate)</f>
        <v>0</v>
      </c>
      <c r="C7">
        <v>45</v>
      </c>
    </row>
    <row r="8" spans="1:3">
      <c r="A8" t="s">
        <v>58</v>
      </c>
      <c r="B8">
        <f>AnalysisEffortHrs + DevEffortHrs + FixEffortHrs + TestEffortHrs + ReopenEffortHrs</f>
        <v>0</v>
      </c>
      <c r="C8">
        <v>62.4</v>
      </c>
    </row>
    <row r="9" spans="1:3">
      <c r="A9" t="s">
        <v>45</v>
      </c>
      <c r="B9">
        <f>(AssignedDate - TriageDate) * 24</f>
        <v>0</v>
      </c>
      <c r="C9">
        <v>8.199999999999999</v>
      </c>
    </row>
    <row r="10" spans="1:3">
      <c r="A10" t="s">
        <v>46</v>
      </c>
      <c r="B10">
        <f>(InProgressDate - AssignedDate) * 24</f>
        <v>0</v>
      </c>
      <c r="C10">
        <v>16.5</v>
      </c>
    </row>
    <row r="11" spans="1:3">
      <c r="A11" t="s">
        <v>47</v>
      </c>
      <c r="B11">
        <f>(ReadyForRetestDate - InProgressDate) * 24</f>
        <v>0</v>
      </c>
      <c r="C11">
        <v>48.3</v>
      </c>
    </row>
    <row r="12" spans="1:3">
      <c r="A12" t="s">
        <v>48</v>
      </c>
      <c r="B12">
        <f>(ResolvedDate - ReadyForRetestDate) * 24</f>
        <v>0</v>
      </c>
      <c r="C12">
        <v>12.1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13"/>
  <sheetViews>
    <sheetView workbookViewId="0"/>
  </sheetViews>
  <sheetFormatPr defaultRowHeight="15"/>
  <sheetData>
    <row r="1" spans="1:3">
      <c r="A1" s="1" t="s">
        <v>1151</v>
      </c>
      <c r="B1" s="1" t="s">
        <v>6</v>
      </c>
      <c r="C1" s="1" t="s">
        <v>567</v>
      </c>
    </row>
    <row r="2" spans="1:3">
      <c r="A2" t="s">
        <v>1152</v>
      </c>
      <c r="B2" t="s">
        <v>286</v>
      </c>
      <c r="C2">
        <v>7</v>
      </c>
    </row>
    <row r="3" spans="1:3">
      <c r="A3" t="s">
        <v>1152</v>
      </c>
      <c r="B3" t="s">
        <v>283</v>
      </c>
      <c r="C3">
        <v>7</v>
      </c>
    </row>
    <row r="4" spans="1:3">
      <c r="A4" t="s">
        <v>1152</v>
      </c>
      <c r="B4" t="s">
        <v>284</v>
      </c>
      <c r="C4">
        <v>8</v>
      </c>
    </row>
    <row r="5" spans="1:3">
      <c r="A5" t="s">
        <v>1152</v>
      </c>
      <c r="B5" t="s">
        <v>288</v>
      </c>
      <c r="C5">
        <v>15</v>
      </c>
    </row>
    <row r="6" spans="1:3">
      <c r="A6" t="s">
        <v>1152</v>
      </c>
      <c r="B6" t="s">
        <v>289</v>
      </c>
      <c r="C6">
        <v>3</v>
      </c>
    </row>
    <row r="7" spans="1:3">
      <c r="A7" t="s">
        <v>1152</v>
      </c>
      <c r="B7" t="s">
        <v>287</v>
      </c>
      <c r="C7">
        <v>9</v>
      </c>
    </row>
    <row r="8" spans="1:3">
      <c r="A8" t="s">
        <v>1152</v>
      </c>
      <c r="B8" t="s">
        <v>282</v>
      </c>
      <c r="C8">
        <v>20</v>
      </c>
    </row>
    <row r="9" spans="1:3">
      <c r="A9" t="s">
        <v>1152</v>
      </c>
      <c r="B9" t="s">
        <v>285</v>
      </c>
      <c r="C9">
        <v>31</v>
      </c>
    </row>
    <row r="10" spans="1:3">
      <c r="A10" t="s">
        <v>1153</v>
      </c>
      <c r="B10" t="s">
        <v>277</v>
      </c>
      <c r="C10">
        <v>13</v>
      </c>
    </row>
    <row r="11" spans="1:3">
      <c r="A11" t="s">
        <v>1153</v>
      </c>
      <c r="B11" t="s">
        <v>276</v>
      </c>
      <c r="C11">
        <v>28</v>
      </c>
    </row>
    <row r="12" spans="1:3">
      <c r="A12" t="s">
        <v>1153</v>
      </c>
      <c r="B12" t="s">
        <v>274</v>
      </c>
      <c r="C12">
        <v>35</v>
      </c>
    </row>
    <row r="13" spans="1:3">
      <c r="A13" t="s">
        <v>1153</v>
      </c>
      <c r="B13" t="s">
        <v>275</v>
      </c>
      <c r="C13">
        <v>24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D12"/>
  <sheetViews>
    <sheetView workbookViewId="0"/>
  </sheetViews>
  <sheetFormatPr defaultRowHeight="15"/>
  <sheetData>
    <row r="1" spans="1:4">
      <c r="A1" s="1" t="s">
        <v>1154</v>
      </c>
      <c r="B1" s="1" t="s">
        <v>1155</v>
      </c>
      <c r="C1" s="1" t="s">
        <v>1156</v>
      </c>
      <c r="D1" s="1" t="s">
        <v>1157</v>
      </c>
    </row>
    <row r="2" spans="1:4">
      <c r="A2" t="s">
        <v>1158</v>
      </c>
      <c r="B2" t="s">
        <v>1169</v>
      </c>
      <c r="C2" t="s">
        <v>1177</v>
      </c>
      <c r="D2" t="s">
        <v>1186</v>
      </c>
    </row>
    <row r="3" spans="1:4">
      <c r="A3" t="s">
        <v>1159</v>
      </c>
      <c r="B3" t="s">
        <v>1170</v>
      </c>
      <c r="C3" t="s">
        <v>1178</v>
      </c>
      <c r="D3" t="s">
        <v>1186</v>
      </c>
    </row>
    <row r="4" spans="1:4">
      <c r="A4" t="s">
        <v>1160</v>
      </c>
      <c r="B4" t="s">
        <v>1171</v>
      </c>
      <c r="C4" t="s">
        <v>1179</v>
      </c>
      <c r="D4" t="s">
        <v>1186</v>
      </c>
    </row>
    <row r="5" spans="1:4">
      <c r="A5" t="s">
        <v>1161</v>
      </c>
      <c r="B5" t="s">
        <v>1171</v>
      </c>
      <c r="C5" t="s">
        <v>1179</v>
      </c>
      <c r="D5" t="s">
        <v>1186</v>
      </c>
    </row>
    <row r="6" spans="1:4">
      <c r="A6" t="s">
        <v>1162</v>
      </c>
      <c r="B6" t="s">
        <v>1171</v>
      </c>
      <c r="C6" t="s">
        <v>1179</v>
      </c>
      <c r="D6" t="s">
        <v>1186</v>
      </c>
    </row>
    <row r="7" spans="1:4">
      <c r="A7" t="s">
        <v>1163</v>
      </c>
      <c r="B7" t="s">
        <v>1172</v>
      </c>
      <c r="C7" t="s">
        <v>1180</v>
      </c>
      <c r="D7" t="s">
        <v>1186</v>
      </c>
    </row>
    <row r="8" spans="1:4">
      <c r="A8" t="s">
        <v>1164</v>
      </c>
      <c r="B8" t="s">
        <v>1173</v>
      </c>
      <c r="C8" t="s">
        <v>1181</v>
      </c>
      <c r="D8" t="s">
        <v>1186</v>
      </c>
    </row>
    <row r="9" spans="1:4">
      <c r="A9" t="s">
        <v>1165</v>
      </c>
      <c r="B9" t="s">
        <v>1172</v>
      </c>
      <c r="C9" t="s">
        <v>1182</v>
      </c>
      <c r="D9" t="s">
        <v>1186</v>
      </c>
    </row>
    <row r="10" spans="1:4">
      <c r="A10" t="s">
        <v>1166</v>
      </c>
      <c r="B10" t="s">
        <v>1174</v>
      </c>
      <c r="C10" t="s">
        <v>1183</v>
      </c>
      <c r="D10" t="s">
        <v>1186</v>
      </c>
    </row>
    <row r="11" spans="1:4">
      <c r="A11" t="s">
        <v>1167</v>
      </c>
      <c r="B11" t="s">
        <v>1175</v>
      </c>
      <c r="C11" t="s">
        <v>1184</v>
      </c>
      <c r="D11" t="s">
        <v>1186</v>
      </c>
    </row>
    <row r="12" spans="1:4">
      <c r="A12" t="s">
        <v>1168</v>
      </c>
      <c r="B12" t="s">
        <v>1176</v>
      </c>
      <c r="C12" t="s">
        <v>1185</v>
      </c>
      <c r="D12" t="s">
        <v>1186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raw_data</vt:lpstr>
      <vt:lpstr>metrics</vt:lpstr>
      <vt:lpstr>calculated_fields</vt:lpstr>
      <vt:lpstr>charts_data</vt:lpstr>
      <vt:lpstr>validation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2025-12-25T18:33:44Z</dcterms:created>
  <dcterms:modified xsi:type="dcterms:W3CDTF">2025-12-25T18:33:44Z</dcterms:modified>
</cp:coreProperties>
</file>