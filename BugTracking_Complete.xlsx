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Executive" sheetId="1" state="visible" r:id="rId1"/>
    <sheet name="raw_data" sheetId="2" state="visible" r:id="rId2"/>
    <sheet name="metrics" sheetId="3" state="visible" r:id="rId3"/>
    <sheet name="Summary_Top2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0"/>
    </font>
    <font>
      <b val="1"/>
      <sz val="10"/>
    </font>
    <font>
      <b val="1"/>
      <sz val="18"/>
    </font>
    <font>
      <b val="1"/>
    </font>
    <font>
      <b val="1"/>
      <sz val="16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864"/>
        <bgColor rgb="00203864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'Dashboard_Executive'!B6</f>
            </strRef>
          </tx>
          <spPr>
            <a:ln>
              <a:prstDash val="solid"/>
            </a:ln>
          </spPr>
          <cat>
            <numRef>
              <f>'Dashboard_Executive'!$A$7:$A$14</f>
            </numRef>
          </cat>
          <val>
            <numRef>
              <f>'Dashboard_Executive'!$B$7:$B$14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</a:t>
            </a:r>
          </a:p>
        </rich>
      </tx>
    </title>
    <plotArea>
      <pieChart>
        <varyColors val="1"/>
        <ser>
          <idx val="0"/>
          <order val="0"/>
          <tx>
            <strRef>
              <f>'Dashboard_Executive'!B18</f>
            </strRef>
          </tx>
          <spPr>
            <a:ln>
              <a:prstDash val="solid"/>
            </a:ln>
          </spPr>
          <cat>
            <numRef>
              <f>'Dashboard_Executive'!$A$19:$A$22</f>
            </numRef>
          </cat>
          <val>
            <numRef>
              <f>'Dashboard_Executive'!$B$19:$B$22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 ht="40" customHeight="1">
      <c r="A1" s="1" t="inlineStr">
        <is>
          <t>EXECUTIVE DASHBOARD - Bug Tracking System</t>
        </is>
      </c>
    </row>
    <row r="3">
      <c r="A3" s="2" t="inlineStr">
        <is>
          <t>Total Bugs</t>
        </is>
      </c>
      <c r="C3" s="2" t="inlineStr">
        <is>
          <t>Open</t>
        </is>
      </c>
      <c r="E3" s="2" t="inlineStr">
        <is>
          <t>Closed</t>
        </is>
      </c>
      <c r="G3" s="2" t="inlineStr">
        <is>
          <t>Critical</t>
        </is>
      </c>
      <c r="I3" s="2" t="inlineStr">
        <is>
          <t>Escaped</t>
        </is>
      </c>
    </row>
    <row r="4" ht="35" customHeight="1">
      <c r="A4" s="3" t="n">
        <v>100</v>
      </c>
      <c r="C4" s="3" t="n">
        <v>37</v>
      </c>
      <c r="E4" s="3" t="n">
        <v>31</v>
      </c>
      <c r="G4" s="3" t="n">
        <v>13</v>
      </c>
      <c r="I4" s="3" t="n">
        <v>17</v>
      </c>
    </row>
    <row r="6">
      <c r="A6" s="4" t="inlineStr">
        <is>
          <t>State</t>
        </is>
      </c>
      <c r="B6" s="4" t="inlineStr">
        <is>
          <t>Count</t>
        </is>
      </c>
    </row>
    <row r="7">
      <c r="A7" t="inlineStr">
        <is>
          <t>Closed</t>
        </is>
      </c>
      <c r="B7" t="n">
        <v>31</v>
      </c>
    </row>
    <row r="8">
      <c r="A8" t="inlineStr">
        <is>
          <t>Done</t>
        </is>
      </c>
      <c r="B8" t="n">
        <v>20</v>
      </c>
    </row>
    <row r="9">
      <c r="A9" t="inlineStr">
        <is>
          <t>In Progress</t>
        </is>
      </c>
      <c r="B9" t="n">
        <v>15</v>
      </c>
    </row>
    <row r="10">
      <c r="A10" t="inlineStr">
        <is>
          <t>Resolved</t>
        </is>
      </c>
      <c r="B10" t="n">
        <v>9</v>
      </c>
    </row>
    <row r="11">
      <c r="A11" t="inlineStr">
        <is>
          <t>Active</t>
        </is>
      </c>
      <c r="B11" t="n">
        <v>8</v>
      </c>
    </row>
    <row r="12">
      <c r="A12" t="inlineStr">
        <is>
          <t>Triage</t>
        </is>
      </c>
      <c r="B12" t="n">
        <v>7</v>
      </c>
    </row>
    <row r="13">
      <c r="A13" t="inlineStr">
        <is>
          <t>Open</t>
        </is>
      </c>
      <c r="B13" t="n">
        <v>7</v>
      </c>
    </row>
    <row r="14">
      <c r="A14" t="inlineStr">
        <is>
          <t>Ready for Retest</t>
        </is>
      </c>
      <c r="B14" t="n">
        <v>3</v>
      </c>
    </row>
    <row r="18">
      <c r="A18" s="4" t="inlineStr">
        <is>
          <t>Severity</t>
        </is>
      </c>
      <c r="B18" s="4" t="inlineStr">
        <is>
          <t>Count</t>
        </is>
      </c>
    </row>
    <row r="19">
      <c r="A19" t="inlineStr">
        <is>
          <t>Medium</t>
        </is>
      </c>
      <c r="B19" t="n">
        <v>35</v>
      </c>
    </row>
    <row r="20">
      <c r="A20" t="inlineStr">
        <is>
          <t>High</t>
        </is>
      </c>
      <c r="B20" t="n">
        <v>28</v>
      </c>
    </row>
    <row r="21">
      <c r="A21" t="inlineStr">
        <is>
          <t>Low</t>
        </is>
      </c>
      <c r="B21" t="n">
        <v>24</v>
      </c>
    </row>
    <row r="22">
      <c r="A22" t="inlineStr">
        <is>
          <t>Critical</t>
        </is>
      </c>
      <c r="B22" t="n">
        <v>13</v>
      </c>
    </row>
  </sheetData>
  <mergeCells count="11">
    <mergeCell ref="A4:B4"/>
    <mergeCell ref="G4:H4"/>
    <mergeCell ref="E4:F4"/>
    <mergeCell ref="I4:J4"/>
    <mergeCell ref="A1:M1"/>
    <mergeCell ref="I3:J3"/>
    <mergeCell ref="C3:D3"/>
    <mergeCell ref="A3:B3"/>
    <mergeCell ref="G3:H3"/>
    <mergeCell ref="E3:F3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BugID</t>
        </is>
      </c>
      <c r="B1" s="5" t="inlineStr">
        <is>
          <t>Title</t>
        </is>
      </c>
      <c r="C1" s="5" t="inlineStr">
        <is>
          <t>Description</t>
        </is>
      </c>
      <c r="D1" s="5" t="inlineStr">
        <is>
          <t>Severity</t>
        </is>
      </c>
      <c r="E1" s="5" t="inlineStr">
        <is>
          <t>Priority</t>
        </is>
      </c>
      <c r="F1" s="5" t="inlineStr">
        <is>
          <t>State</t>
        </is>
      </c>
      <c r="G1" s="5" t="inlineStr">
        <is>
          <t>Category</t>
        </is>
      </c>
      <c r="H1" s="5" t="inlineStr">
        <is>
          <t>IsRegression</t>
        </is>
      </c>
      <c r="I1" s="5" t="inlineStr">
        <is>
          <t>is_escaped</t>
        </is>
      </c>
      <c r="J1" s="5" t="inlineStr">
        <is>
          <t>ProjectID</t>
        </is>
      </c>
      <c r="K1" s="5" t="inlineStr">
        <is>
          <t>ProjectName</t>
        </is>
      </c>
      <c r="L1" s="5" t="inlineStr">
        <is>
          <t>TeamName</t>
        </is>
      </c>
      <c r="M1" s="5" t="inlineStr">
        <is>
          <t>TeamID</t>
        </is>
      </c>
      <c r="N1" s="5" t="inlineStr">
        <is>
          <t>ModuleID</t>
        </is>
      </c>
      <c r="O1" s="5" t="inlineStr">
        <is>
          <t>ModuleName</t>
        </is>
      </c>
      <c r="P1" s="5" t="inlineStr">
        <is>
          <t>SprintName</t>
        </is>
      </c>
      <c r="Q1" s="5" t="inlineStr">
        <is>
          <t>SprintID</t>
        </is>
      </c>
      <c r="R1" s="5" t="inlineStr">
        <is>
          <t>Tags</t>
        </is>
      </c>
      <c r="S1" s="5" t="inlineStr">
        <is>
          <t>ExternalTicketID</t>
        </is>
      </c>
      <c r="T1" s="5" t="inlineStr">
        <is>
          <t>Comments</t>
        </is>
      </c>
      <c r="U1" s="5" t="inlineStr">
        <is>
          <t>ReporterName</t>
        </is>
      </c>
      <c r="V1" s="5" t="inlineStr">
        <is>
          <t>ReporterID</t>
        </is>
      </c>
      <c r="W1" s="5" t="inlineStr">
        <is>
          <t>AssigneeName</t>
        </is>
      </c>
      <c r="X1" s="5" t="inlineStr">
        <is>
          <t>AssigneeID</t>
        </is>
      </c>
      <c r="Y1" s="5" t="inlineStr">
        <is>
          <t>VerifierName</t>
        </is>
      </c>
      <c r="Z1" s="5" t="inlineStr">
        <is>
          <t>VerifierID</t>
        </is>
      </c>
      <c r="AA1" s="5" t="inlineStr">
        <is>
          <t>ResolverName</t>
        </is>
      </c>
      <c r="AB1" s="5" t="inlineStr">
        <is>
          <t>ResolverID</t>
        </is>
      </c>
      <c r="AC1" s="5" t="inlineStr">
        <is>
          <t>CreatedDate</t>
        </is>
      </c>
      <c r="AD1" s="5" t="inlineStr">
        <is>
          <t>TriageDate</t>
        </is>
      </c>
      <c r="AE1" s="5" t="inlineStr">
        <is>
          <t>AssignedDate</t>
        </is>
      </c>
      <c r="AF1" s="5" t="inlineStr">
        <is>
          <t>StartedDate</t>
        </is>
      </c>
      <c r="AG1" s="5" t="inlineStr">
        <is>
          <t>InProgressDate</t>
        </is>
      </c>
      <c r="AH1" s="5" t="inlineStr">
        <is>
          <t>ReadyForRetestDate</t>
        </is>
      </c>
      <c r="AI1" s="5" t="inlineStr">
        <is>
          <t>ResolvedDate</t>
        </is>
      </c>
      <c r="AJ1" s="5" t="inlineStr">
        <is>
          <t>VerifiedDate</t>
        </is>
      </c>
      <c r="AK1" s="5" t="inlineStr">
        <is>
          <t>DoneDate</t>
        </is>
      </c>
      <c r="AL1" s="5" t="inlineStr">
        <is>
          <t>ClosedDate</t>
        </is>
      </c>
      <c r="AM1" s="5" t="inlineStr">
        <is>
          <t>LastModifiedDate</t>
        </is>
      </c>
      <c r="AN1" s="5" t="inlineStr">
        <is>
          <t>DueDate</t>
        </is>
      </c>
      <c r="AO1" s="5" t="inlineStr">
        <is>
          <t>ReopenCount</t>
        </is>
      </c>
      <c r="AP1" s="5" t="inlineStr">
        <is>
          <t>FirstReopenDate</t>
        </is>
      </c>
      <c r="AQ1" s="5" t="inlineStr">
        <is>
          <t>LastReopenDate</t>
        </is>
      </c>
      <c r="AR1" s="5" t="inlineStr">
        <is>
          <t>PreviousState</t>
        </is>
      </c>
      <c r="AS1" s="5" t="inlineStr">
        <is>
          <t>StateTransitionCount</t>
        </is>
      </c>
      <c r="AT1" s="5" t="inlineStr">
        <is>
          <t>TriageDurationHrs</t>
        </is>
      </c>
      <c r="AU1" s="5" t="inlineStr">
        <is>
          <t>ActiveDurationHrs</t>
        </is>
      </c>
      <c r="AV1" s="5" t="inlineStr">
        <is>
          <t>InProgressDurationHrs</t>
        </is>
      </c>
      <c r="AW1" s="5" t="inlineStr">
        <is>
          <t>ReadyForRetestDurationHrs</t>
        </is>
      </c>
      <c r="AX1" s="5" t="inlineStr">
        <is>
          <t>StateHistory</t>
        </is>
      </c>
      <c r="AY1" s="5" t="inlineStr">
        <is>
          <t>AssigneeChangeCount</t>
        </is>
      </c>
      <c r="AZ1" s="5" t="inlineStr">
        <is>
          <t>StateChangeCount</t>
        </is>
      </c>
      <c r="BA1" s="5" t="inlineStr">
        <is>
          <t>FixAttempts</t>
        </is>
      </c>
      <c r="BB1" s="5" t="inlineStr">
        <is>
          <t>AnalysisEffortHrs</t>
        </is>
      </c>
      <c r="BC1" s="5" t="inlineStr">
        <is>
          <t>DevEffortHrs</t>
        </is>
      </c>
      <c r="BD1" s="5" t="inlineStr">
        <is>
          <t>FixEffortHrs</t>
        </is>
      </c>
      <c r="BE1" s="5" t="inlineStr">
        <is>
          <t>TestEffortHrs</t>
        </is>
      </c>
      <c r="BF1" s="5" t="inlineStr">
        <is>
          <t>ReopenEffortHrs</t>
        </is>
      </c>
      <c r="BG1" s="5" t="inlineStr">
        <is>
          <t>TotalEffortHrs</t>
        </is>
      </c>
      <c r="BH1" s="5" t="inlineStr">
        <is>
          <t>EstimatedEffortHrs</t>
        </is>
      </c>
      <c r="BI1" s="5" t="inlineStr">
        <is>
          <t>LeadTimeHrs</t>
        </is>
      </c>
      <c r="BJ1" s="5" t="inlineStr">
        <is>
          <t>CycleTimeHrs</t>
        </is>
      </c>
      <c r="BK1" s="5" t="inlineStr">
        <is>
          <t>ResponseTimeHrs</t>
        </is>
      </c>
      <c r="BL1" s="5" t="inlineStr">
        <is>
          <t>WaitTimeHrs</t>
        </is>
      </c>
      <c r="BM1" s="5" t="inlineStr">
        <is>
          <t>ActiveWorkTimeHrs</t>
        </is>
      </c>
      <c r="BN1" s="5" t="inlineStr">
        <is>
          <t>AgeDays</t>
        </is>
      </c>
      <c r="BO1" s="5" t="inlineStr">
        <is>
          <t>RootCause</t>
        </is>
      </c>
      <c r="BP1" s="5" t="inlineStr">
        <is>
          <t>Resolution</t>
        </is>
      </c>
      <c r="BQ1" s="5" t="inlineStr">
        <is>
          <t>CloseReason</t>
        </is>
      </c>
      <c r="BR1" s="5" t="inlineStr">
        <is>
          <t>TestCaseID</t>
        </is>
      </c>
      <c r="BS1" s="5" t="inlineStr">
        <is>
          <t>IsDuplicate</t>
        </is>
      </c>
      <c r="BT1" s="5" t="inlineStr">
        <is>
          <t>DuplicateOfBugID</t>
        </is>
      </c>
      <c r="BU1" s="5" t="inlineStr">
        <is>
          <t>RetestPassCount</t>
        </is>
      </c>
      <c r="BV1" s="5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S2" t="inlineStr"/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t="inlineStr">
        <is>
          <t>2024-06-12</t>
        </is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L2" t="inlineStr"/>
      <c r="AM2" t="inlineStr">
        <is>
          <t>2024-06-16 13:00:00</t>
        </is>
      </c>
      <c r="AN2" t="inlineStr">
        <is>
          <t>2024-08-05</t>
        </is>
      </c>
      <c r="AO2" t="n">
        <v>0</v>
      </c>
      <c r="AP2" t="inlineStr"/>
      <c r="AQ2" t="inlineStr"/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I2" t="inlineStr"/>
      <c r="BJ2" t="inlineStr"/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Q2" t="inlineStr"/>
      <c r="BR2" t="inlineStr"/>
      <c r="BS2" t="b">
        <v>0</v>
      </c>
      <c r="BT2" t="inlineStr"/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Y3" t="inlineStr"/>
      <c r="Z3" t="inlineStr"/>
      <c r="AA3" t="inlineStr"/>
      <c r="AB3" t="inlineStr"/>
      <c r="AC3" t="inlineStr">
        <is>
          <t>2024-01-27</t>
        </is>
      </c>
      <c r="AD3" t="inlineStr">
        <is>
          <t>2024-01-28 20:00:00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>
        <is>
          <t>2024-01-28 20:00:00</t>
        </is>
      </c>
      <c r="AN3" t="inlineStr">
        <is>
          <t>2024-03-21</t>
        </is>
      </c>
      <c r="AO3" t="n">
        <v>0</v>
      </c>
      <c r="AP3" t="inlineStr"/>
      <c r="AQ3" t="inlineStr"/>
      <c r="AR3" t="inlineStr">
        <is>
          <t>Open</t>
        </is>
      </c>
      <c r="AS3" t="n">
        <v>4</v>
      </c>
      <c r="AT3" t="inlineStr"/>
      <c r="AU3" t="inlineStr"/>
      <c r="AV3" t="inlineStr"/>
      <c r="AW3" t="inlineStr"/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I3" t="inlineStr"/>
      <c r="BJ3" t="inlineStr"/>
      <c r="BK3" t="inlineStr"/>
      <c r="BL3" t="n">
        <v>0</v>
      </c>
      <c r="BM3" t="n">
        <v>0</v>
      </c>
      <c r="BN3" t="n">
        <v>698.7707912664237</v>
      </c>
      <c r="BO3" t="inlineStr"/>
      <c r="BP3" t="inlineStr"/>
      <c r="BQ3" t="inlineStr"/>
      <c r="BR3" t="inlineStr">
        <is>
          <t>TC-5506</t>
        </is>
      </c>
      <c r="BS3" t="b">
        <v>0</v>
      </c>
      <c r="BT3" t="inlineStr"/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Y4" t="inlineStr"/>
      <c r="Z4" t="inlineStr"/>
      <c r="AA4" t="inlineStr"/>
      <c r="AB4" t="inlineStr"/>
      <c r="AC4" t="inlineStr">
        <is>
          <t>2024-05-19</t>
        </is>
      </c>
      <c r="AD4" t="inlineStr">
        <is>
          <t>2024-05-19 06:00:00</t>
        </is>
      </c>
      <c r="AE4" t="inlineStr">
        <is>
          <t>2024-05-20 01:00:00</t>
        </is>
      </c>
      <c r="AF4" t="inlineStr"/>
      <c r="AG4" t="inlineStr"/>
      <c r="AH4" t="inlineStr"/>
      <c r="AI4" t="inlineStr"/>
      <c r="AJ4" t="inlineStr"/>
      <c r="AK4" t="inlineStr"/>
      <c r="AL4" t="inlineStr"/>
      <c r="AM4" t="inlineStr">
        <is>
          <t>2024-05-20 01:00:00</t>
        </is>
      </c>
      <c r="AN4" t="inlineStr">
        <is>
          <t>2024-06-22</t>
        </is>
      </c>
      <c r="AO4" t="n">
        <v>0</v>
      </c>
      <c r="AP4" t="inlineStr"/>
      <c r="AQ4" t="inlineStr"/>
      <c r="AR4" t="inlineStr">
        <is>
          <t>Triage</t>
        </is>
      </c>
      <c r="AS4" t="n">
        <v>2</v>
      </c>
      <c r="AT4" t="n">
        <v>19</v>
      </c>
      <c r="AU4" t="inlineStr"/>
      <c r="AV4" t="inlineStr"/>
      <c r="AW4" t="inlineStr"/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I4" t="inlineStr"/>
      <c r="BJ4" t="inlineStr"/>
      <c r="BK4" t="n">
        <v>25</v>
      </c>
      <c r="BL4" t="n">
        <v>19</v>
      </c>
      <c r="BM4" t="n">
        <v>0</v>
      </c>
      <c r="BN4" t="n">
        <v>585.7707912665973</v>
      </c>
      <c r="BO4" t="inlineStr"/>
      <c r="BP4" t="inlineStr"/>
      <c r="BQ4" t="inlineStr"/>
      <c r="BR4" t="inlineStr">
        <is>
          <t>TC-3286</t>
        </is>
      </c>
      <c r="BS4" t="b">
        <v>0</v>
      </c>
      <c r="BT4" t="inlineStr"/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t="inlineStr">
        <is>
          <t>2024-01-09</t>
        </is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t="inlineStr">
        <is>
          <t>2024-01-15 21:00:00</t>
        </is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R5" t="inlineStr"/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S6" t="inlineStr"/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t="inlineStr">
        <is>
          <t>2024-05-30</t>
        </is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L6" t="inlineStr"/>
      <c r="AM6" t="inlineStr">
        <is>
          <t>2024-06-06 13:00:00</t>
        </is>
      </c>
      <c r="AN6" t="inlineStr">
        <is>
          <t>2024-06-23</t>
        </is>
      </c>
      <c r="AO6" t="n">
        <v>0</v>
      </c>
      <c r="AP6" t="inlineStr"/>
      <c r="AQ6" t="inlineStr"/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I6" t="inlineStr"/>
      <c r="BJ6" t="inlineStr"/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Q6" t="inlineStr"/>
      <c r="BR6" t="inlineStr"/>
      <c r="BS6" t="b">
        <v>0</v>
      </c>
      <c r="BT6" t="inlineStr"/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S7" t="inlineStr"/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Y7" t="inlineStr"/>
      <c r="Z7" t="inlineStr"/>
      <c r="AA7" t="inlineStr"/>
      <c r="AB7" t="inlineStr"/>
      <c r="AC7" t="inlineStr">
        <is>
          <t>2024-02-09</t>
        </is>
      </c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>
        <is>
          <t>2024-02-09 00:00:00</t>
        </is>
      </c>
      <c r="AN7" t="inlineStr">
        <is>
          <t>2024-02-29</t>
        </is>
      </c>
      <c r="AO7" t="n">
        <v>0</v>
      </c>
      <c r="AP7" t="inlineStr"/>
      <c r="AQ7" t="inlineStr"/>
      <c r="AR7" t="inlineStr"/>
      <c r="AS7" t="n">
        <v>3</v>
      </c>
      <c r="AT7" t="inlineStr"/>
      <c r="AU7" t="inlineStr"/>
      <c r="AV7" t="inlineStr"/>
      <c r="AW7" t="inlineStr"/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I7" t="inlineStr"/>
      <c r="BJ7" t="inlineStr"/>
      <c r="BK7" t="inlineStr"/>
      <c r="BL7" t="n">
        <v>0</v>
      </c>
      <c r="BM7" t="n">
        <v>0</v>
      </c>
      <c r="BN7" t="n">
        <v>685.7707912669907</v>
      </c>
      <c r="BO7" t="inlineStr"/>
      <c r="BP7" t="inlineStr"/>
      <c r="BQ7" t="inlineStr"/>
      <c r="BR7" t="inlineStr"/>
      <c r="BS7" t="b">
        <v>0</v>
      </c>
      <c r="BT7" t="inlineStr"/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S8" t="inlineStr"/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Y8" t="inlineStr"/>
      <c r="Z8" t="inlineStr"/>
      <c r="AA8" t="inlineStr"/>
      <c r="AB8" t="inlineStr"/>
      <c r="AC8" t="inlineStr">
        <is>
          <t>2024-03-27</t>
        </is>
      </c>
      <c r="AD8" t="inlineStr">
        <is>
          <t>2024-03-27 07:00:00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>
        <is>
          <t>2024-03-27 07:00:00</t>
        </is>
      </c>
      <c r="AN8" t="inlineStr">
        <is>
          <t>2024-04-08</t>
        </is>
      </c>
      <c r="AO8" t="n">
        <v>0</v>
      </c>
      <c r="AP8" t="inlineStr"/>
      <c r="AQ8" t="inlineStr"/>
      <c r="AR8" t="inlineStr">
        <is>
          <t>Open</t>
        </is>
      </c>
      <c r="AS8" t="n">
        <v>1</v>
      </c>
      <c r="AT8" t="inlineStr"/>
      <c r="AU8" t="inlineStr"/>
      <c r="AV8" t="inlineStr"/>
      <c r="AW8" t="inlineStr"/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I8" t="inlineStr"/>
      <c r="BJ8" t="inlineStr"/>
      <c r="BK8" t="inlineStr"/>
      <c r="BL8" t="n">
        <v>0</v>
      </c>
      <c r="BM8" t="n">
        <v>0</v>
      </c>
      <c r="BN8" t="n">
        <v>638.7707912671181</v>
      </c>
      <c r="BO8" t="inlineStr"/>
      <c r="BP8" t="inlineStr"/>
      <c r="BQ8" t="inlineStr"/>
      <c r="BR8" t="inlineStr">
        <is>
          <t>TC-7912</t>
        </is>
      </c>
      <c r="BS8" t="b">
        <v>0</v>
      </c>
      <c r="BT8" t="inlineStr"/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t="inlineStr">
        <is>
          <t>2024-04-07</t>
        </is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L9" t="inlineStr"/>
      <c r="AM9" t="inlineStr">
        <is>
          <t>2024-04-14 05:00:00</t>
        </is>
      </c>
      <c r="AN9" t="inlineStr">
        <is>
          <t>2024-05-30</t>
        </is>
      </c>
      <c r="AO9" t="n">
        <v>0</v>
      </c>
      <c r="AP9" t="inlineStr"/>
      <c r="AQ9" t="inlineStr"/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I9" t="inlineStr"/>
      <c r="BJ9" t="inlineStr"/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Q9" t="inlineStr"/>
      <c r="BR9" t="inlineStr">
        <is>
          <t>TC-2535</t>
        </is>
      </c>
      <c r="BS9" t="b">
        <v>0</v>
      </c>
      <c r="BT9" t="inlineStr"/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S10" t="inlineStr"/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Y10" t="inlineStr"/>
      <c r="Z10" t="inlineStr"/>
      <c r="AA10" t="inlineStr"/>
      <c r="AB10" t="inlineStr"/>
      <c r="AC10" t="inlineStr">
        <is>
          <t>2024-04-27</t>
        </is>
      </c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>
        <is>
          <t>2024-04-27 00:00:00</t>
        </is>
      </c>
      <c r="AN10" t="inlineStr">
        <is>
          <t>2024-06-07</t>
        </is>
      </c>
      <c r="AO10" t="n">
        <v>0</v>
      </c>
      <c r="AP10" t="inlineStr"/>
      <c r="AQ10" t="inlineStr"/>
      <c r="AR10" t="inlineStr"/>
      <c r="AS10" t="n">
        <v>2</v>
      </c>
      <c r="AT10" t="inlineStr"/>
      <c r="AU10" t="inlineStr"/>
      <c r="AV10" t="inlineStr"/>
      <c r="AW10" t="inlineStr"/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I10" t="inlineStr"/>
      <c r="BJ10" t="inlineStr"/>
      <c r="BK10" t="inlineStr"/>
      <c r="BL10" t="n">
        <v>0</v>
      </c>
      <c r="BM10" t="n">
        <v>0</v>
      </c>
      <c r="BN10" t="n">
        <v>607.7707912673958</v>
      </c>
      <c r="BO10" t="inlineStr"/>
      <c r="BP10" t="inlineStr"/>
      <c r="BQ10" t="inlineStr"/>
      <c r="BR10" t="inlineStr">
        <is>
          <t>TC-9279</t>
        </is>
      </c>
      <c r="BS10" t="b">
        <v>0</v>
      </c>
      <c r="BT10" t="inlineStr"/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Y11" t="inlineStr"/>
      <c r="Z11" t="inlineStr"/>
      <c r="AA11" t="inlineStr"/>
      <c r="AB11" t="inlineStr"/>
      <c r="AC11" t="inlineStr">
        <is>
          <t>2024-02-01</t>
        </is>
      </c>
      <c r="AD11" t="inlineStr">
        <is>
          <t>2024-02-02 01:00:00</t>
        </is>
      </c>
      <c r="AE11" t="inlineStr">
        <is>
          <t>2024-02-02 04:00:00</t>
        </is>
      </c>
      <c r="AF11" t="inlineStr"/>
      <c r="AG11" t="inlineStr"/>
      <c r="AH11" t="inlineStr"/>
      <c r="AI11" t="inlineStr"/>
      <c r="AJ11" t="inlineStr"/>
      <c r="AK11" t="inlineStr"/>
      <c r="AL11" t="inlineStr"/>
      <c r="AM11" t="inlineStr">
        <is>
          <t>2024-02-02 04:00:00</t>
        </is>
      </c>
      <c r="AN11" t="inlineStr">
        <is>
          <t>2024-03-14</t>
        </is>
      </c>
      <c r="AO11" t="n">
        <v>0</v>
      </c>
      <c r="AP11" t="inlineStr"/>
      <c r="AQ11" t="inlineStr"/>
      <c r="AR11" t="inlineStr">
        <is>
          <t>Triage</t>
        </is>
      </c>
      <c r="AS11" t="n">
        <v>3</v>
      </c>
      <c r="AT11" t="n">
        <v>3</v>
      </c>
      <c r="AU11" t="inlineStr"/>
      <c r="AV11" t="inlineStr"/>
      <c r="AW11" t="inlineStr"/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I11" t="inlineStr"/>
      <c r="BJ11" t="inlineStr"/>
      <c r="BK11" t="n">
        <v>28</v>
      </c>
      <c r="BL11" t="n">
        <v>3</v>
      </c>
      <c r="BM11" t="n">
        <v>0</v>
      </c>
      <c r="BN11" t="n">
        <v>693.7707912675347</v>
      </c>
      <c r="BO11" t="inlineStr"/>
      <c r="BP11" t="inlineStr"/>
      <c r="BQ11" t="inlineStr"/>
      <c r="BR11" t="inlineStr"/>
      <c r="BS11" t="b">
        <v>0</v>
      </c>
      <c r="BT11" t="inlineStr"/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t="inlineStr">
        <is>
          <t>2024-03-16</t>
        </is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J12" t="inlineStr"/>
      <c r="AK12" t="inlineStr"/>
      <c r="AL12" t="inlineStr"/>
      <c r="AM12" t="inlineStr">
        <is>
          <t>2024-03-24 14:00:00</t>
        </is>
      </c>
      <c r="AN12" t="inlineStr">
        <is>
          <t>2024-05-07</t>
        </is>
      </c>
      <c r="AO12" t="n">
        <v>0</v>
      </c>
      <c r="AP12" t="inlineStr"/>
      <c r="AQ12" t="inlineStr"/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I12" t="inlineStr"/>
      <c r="BJ12" t="inlineStr"/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Q12" t="inlineStr"/>
      <c r="BR12" t="inlineStr">
        <is>
          <t>TC-9928</t>
        </is>
      </c>
      <c r="BS12" t="b">
        <v>0</v>
      </c>
      <c r="BT12" t="inlineStr"/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S13" t="inlineStr"/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t="inlineStr">
        <is>
          <t>2024-01-18</t>
        </is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L13" t="inlineStr"/>
      <c r="AM13" t="inlineStr">
        <is>
          <t>2024-01-25 20:00:00</t>
        </is>
      </c>
      <c r="AN13" t="inlineStr">
        <is>
          <t>2024-02-08</t>
        </is>
      </c>
      <c r="AO13" t="n">
        <v>0</v>
      </c>
      <c r="AP13" t="inlineStr"/>
      <c r="AQ13" t="inlineStr"/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I13" t="inlineStr"/>
      <c r="BJ13" t="inlineStr"/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Q13" t="inlineStr"/>
      <c r="BR13" t="inlineStr">
        <is>
          <t>TC-8359</t>
        </is>
      </c>
      <c r="BS13" t="b">
        <v>0</v>
      </c>
      <c r="BT13" t="inlineStr"/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t="inlineStr">
        <is>
          <t>2024-01-26</t>
        </is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L14" t="inlineStr"/>
      <c r="AM14" t="inlineStr">
        <is>
          <t>2024-02-04 01:00:00</t>
        </is>
      </c>
      <c r="AN14" t="inlineStr">
        <is>
          <t>2024-02-25</t>
        </is>
      </c>
      <c r="AO14" t="n">
        <v>0</v>
      </c>
      <c r="AP14" t="inlineStr"/>
      <c r="AQ14" t="inlineStr"/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I14" t="inlineStr"/>
      <c r="BJ14" t="inlineStr"/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Q14" t="inlineStr"/>
      <c r="BR14" t="inlineStr">
        <is>
          <t>TC-1106</t>
        </is>
      </c>
      <c r="BS14" t="b">
        <v>0</v>
      </c>
      <c r="BT14" t="inlineStr"/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Y15" t="inlineStr"/>
      <c r="Z15" t="inlineStr"/>
      <c r="AA15" t="inlineStr"/>
      <c r="AB15" t="inlineStr"/>
      <c r="AC15" t="inlineStr">
        <is>
          <t>2024-03-31</t>
        </is>
      </c>
      <c r="AD15" t="inlineStr">
        <is>
          <t>2024-03-31 14:00:00</t>
        </is>
      </c>
      <c r="AE15" t="inlineStr">
        <is>
          <t>2024-04-01 12:00:00</t>
        </is>
      </c>
      <c r="AF15" t="inlineStr"/>
      <c r="AG15" t="inlineStr"/>
      <c r="AH15" t="inlineStr"/>
      <c r="AI15" t="inlineStr"/>
      <c r="AJ15" t="inlineStr"/>
      <c r="AK15" t="inlineStr"/>
      <c r="AL15" t="inlineStr"/>
      <c r="AM15" t="inlineStr">
        <is>
          <t>2024-04-01 12:00:00</t>
        </is>
      </c>
      <c r="AN15" t="inlineStr">
        <is>
          <t>2024-04-24</t>
        </is>
      </c>
      <c r="AO15" t="n">
        <v>0</v>
      </c>
      <c r="AP15" t="inlineStr"/>
      <c r="AQ15" t="inlineStr"/>
      <c r="AR15" t="inlineStr">
        <is>
          <t>Triage</t>
        </is>
      </c>
      <c r="AS15" t="n">
        <v>4</v>
      </c>
      <c r="AT15" t="n">
        <v>22</v>
      </c>
      <c r="AU15" t="inlineStr"/>
      <c r="AV15" t="inlineStr"/>
      <c r="AW15" t="inlineStr"/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I15" t="inlineStr"/>
      <c r="BJ15" t="inlineStr"/>
      <c r="BK15" t="n">
        <v>36</v>
      </c>
      <c r="BL15" t="n">
        <v>22</v>
      </c>
      <c r="BM15" t="n">
        <v>0</v>
      </c>
      <c r="BN15" t="n">
        <v>634.7707912679861</v>
      </c>
      <c r="BO15" t="inlineStr"/>
      <c r="BP15" t="inlineStr"/>
      <c r="BQ15" t="inlineStr"/>
      <c r="BR15" t="inlineStr"/>
      <c r="BS15" t="b">
        <v>0</v>
      </c>
      <c r="BT15" t="inlineStr"/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S16" t="inlineStr"/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t="inlineStr">
        <is>
          <t>2024-06-28</t>
        </is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t="inlineStr">
        <is>
          <t>2024-07-07 11:00:00</t>
        </is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T16" t="inlineStr"/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S17" t="inlineStr"/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Y17" t="inlineStr"/>
      <c r="Z17" t="inlineStr"/>
      <c r="AA17" t="inlineStr"/>
      <c r="AB17" t="inlineStr"/>
      <c r="AC17" t="inlineStr">
        <is>
          <t>2024-06-25</t>
        </is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H17" t="inlineStr"/>
      <c r="AI17" t="inlineStr"/>
      <c r="AJ17" t="inlineStr"/>
      <c r="AK17" t="inlineStr"/>
      <c r="AL17" t="inlineStr"/>
      <c r="AM17" t="inlineStr">
        <is>
          <t>2024-06-28 15:00:00</t>
        </is>
      </c>
      <c r="AN17" t="inlineStr">
        <is>
          <t>2024-08-24</t>
        </is>
      </c>
      <c r="AO17" t="n">
        <v>0</v>
      </c>
      <c r="AP17" t="inlineStr"/>
      <c r="AQ17" t="inlineStr"/>
      <c r="AR17" t="inlineStr">
        <is>
          <t>Active</t>
        </is>
      </c>
      <c r="AS17" t="n">
        <v>3</v>
      </c>
      <c r="AT17" t="n">
        <v>8</v>
      </c>
      <c r="AU17" t="n">
        <v>43</v>
      </c>
      <c r="AV17" t="inlineStr"/>
      <c r="AW17" t="inlineStr"/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I17" t="inlineStr"/>
      <c r="BJ17" t="inlineStr"/>
      <c r="BK17" t="n">
        <v>44</v>
      </c>
      <c r="BL17" t="n">
        <v>51</v>
      </c>
      <c r="BM17" t="n">
        <v>0</v>
      </c>
      <c r="BN17" t="n">
        <v>548.7707912682986</v>
      </c>
      <c r="BO17" t="inlineStr"/>
      <c r="BP17" t="inlineStr"/>
      <c r="BQ17" t="inlineStr"/>
      <c r="BR17" t="inlineStr">
        <is>
          <t>TC-3547</t>
        </is>
      </c>
      <c r="BS17" t="b">
        <v>0</v>
      </c>
      <c r="BT17" t="inlineStr"/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Y18" t="inlineStr"/>
      <c r="Z18" t="inlineStr"/>
      <c r="AA18" t="inlineStr"/>
      <c r="AB18" t="inlineStr"/>
      <c r="AC18" t="inlineStr">
        <is>
          <t>2024-01-15</t>
        </is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H18" t="inlineStr"/>
      <c r="AI18" t="inlineStr"/>
      <c r="AJ18" t="inlineStr"/>
      <c r="AK18" t="inlineStr"/>
      <c r="AL18" t="inlineStr"/>
      <c r="AM18" t="inlineStr">
        <is>
          <t>2024-01-17 11:00:00</t>
        </is>
      </c>
      <c r="AN18" t="inlineStr">
        <is>
          <t>2024-02-16</t>
        </is>
      </c>
      <c r="AO18" t="n">
        <v>0</v>
      </c>
      <c r="AP18" t="inlineStr"/>
      <c r="AQ18" t="inlineStr"/>
      <c r="AR18" t="inlineStr">
        <is>
          <t>Active</t>
        </is>
      </c>
      <c r="AS18" t="n">
        <v>6</v>
      </c>
      <c r="AT18" t="n">
        <v>2</v>
      </c>
      <c r="AU18" t="n">
        <v>42</v>
      </c>
      <c r="AV18" t="inlineStr"/>
      <c r="AW18" t="inlineStr"/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I18" t="inlineStr"/>
      <c r="BJ18" t="inlineStr"/>
      <c r="BK18" t="n">
        <v>17</v>
      </c>
      <c r="BL18" t="n">
        <v>44</v>
      </c>
      <c r="BM18" t="n">
        <v>0</v>
      </c>
      <c r="BN18" t="n">
        <v>710.7707912684027</v>
      </c>
      <c r="BO18" t="inlineStr"/>
      <c r="BP18" t="inlineStr"/>
      <c r="BQ18" t="inlineStr"/>
      <c r="BR18" t="inlineStr">
        <is>
          <t>TC-6514</t>
        </is>
      </c>
      <c r="BS18" t="b">
        <v>0</v>
      </c>
      <c r="BT18" t="inlineStr"/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S19" t="inlineStr"/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t="inlineStr">
        <is>
          <t>2024-03-09</t>
        </is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t="inlineStr">
        <is>
          <t>2024-03-17 08:00:00</t>
        </is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T19" t="inlineStr"/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S20" t="inlineStr"/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t="inlineStr">
        <is>
          <t>2024-02-05</t>
        </is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L20" t="inlineStr"/>
      <c r="AM20" t="inlineStr">
        <is>
          <t>2024-02-13 15:00:00</t>
        </is>
      </c>
      <c r="AN20" t="inlineStr">
        <is>
          <t>2024-03-20</t>
        </is>
      </c>
      <c r="AO20" t="n">
        <v>0</v>
      </c>
      <c r="AP20" t="inlineStr"/>
      <c r="AQ20" t="inlineStr"/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I20" t="inlineStr"/>
      <c r="BJ20" t="inlineStr"/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Q20" t="inlineStr"/>
      <c r="BR20" t="inlineStr">
        <is>
          <t>TC-6635</t>
        </is>
      </c>
      <c r="BS20" t="b">
        <v>0</v>
      </c>
      <c r="BT20" t="inlineStr"/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t="inlineStr">
        <is>
          <t>2024-04-12</t>
        </is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t="inlineStr">
        <is>
          <t>2024-04-19 04:00:00</t>
        </is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R21" t="inlineStr"/>
      <c r="BS21" t="b">
        <v>0</v>
      </c>
      <c r="BT21" t="inlineStr"/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S22" t="inlineStr"/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t="inlineStr">
        <is>
          <t>2024-06-01</t>
        </is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L22" t="inlineStr"/>
      <c r="AM22" t="inlineStr">
        <is>
          <t>2024-06-09 11:00:00</t>
        </is>
      </c>
      <c r="AN22" t="inlineStr">
        <is>
          <t>2024-06-24</t>
        </is>
      </c>
      <c r="AO22" t="n">
        <v>0</v>
      </c>
      <c r="AP22" t="inlineStr"/>
      <c r="AQ22" t="inlineStr"/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I22" t="inlineStr"/>
      <c r="BJ22" t="inlineStr"/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Q22" t="inlineStr"/>
      <c r="BR22" t="inlineStr"/>
      <c r="BS22" t="b">
        <v>0</v>
      </c>
      <c r="BT22" t="inlineStr"/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S23" t="inlineStr"/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t="inlineStr">
        <is>
          <t>2024-05-21</t>
        </is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L23" t="inlineStr"/>
      <c r="AM23" t="inlineStr">
        <is>
          <t>2024-05-28 14:00:00</t>
        </is>
      </c>
      <c r="AN23" t="inlineStr">
        <is>
          <t>2024-07-16</t>
        </is>
      </c>
      <c r="AO23" t="n">
        <v>0</v>
      </c>
      <c r="AP23" t="inlineStr"/>
      <c r="AQ23" t="inlineStr"/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I23" t="inlineStr"/>
      <c r="BJ23" t="inlineStr"/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Q23" t="inlineStr"/>
      <c r="BR23" t="inlineStr"/>
      <c r="BS23" t="b">
        <v>0</v>
      </c>
      <c r="BT23" t="inlineStr"/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S24" t="inlineStr"/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Y24" t="inlineStr"/>
      <c r="Z24" t="inlineStr"/>
      <c r="AA24" t="inlineStr"/>
      <c r="AB24" t="inlineStr"/>
      <c r="AC24" t="inlineStr">
        <is>
          <t>2024-06-13</t>
        </is>
      </c>
      <c r="AD24" t="inlineStr">
        <is>
          <t>2024-06-13 22:00:00</t>
        </is>
      </c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>
        <is>
          <t>2024-06-13 22:00:00</t>
        </is>
      </c>
      <c r="AN24" t="inlineStr">
        <is>
          <t>2024-06-27</t>
        </is>
      </c>
      <c r="AO24" t="n">
        <v>0</v>
      </c>
      <c r="AP24" t="inlineStr"/>
      <c r="AQ24" t="inlineStr"/>
      <c r="AR24" t="inlineStr">
        <is>
          <t>Open</t>
        </is>
      </c>
      <c r="AS24" t="n">
        <v>2</v>
      </c>
      <c r="AT24" t="inlineStr"/>
      <c r="AU24" t="inlineStr"/>
      <c r="AV24" t="inlineStr"/>
      <c r="AW24" t="inlineStr"/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I24" t="inlineStr"/>
      <c r="BJ24" t="inlineStr"/>
      <c r="BK24" t="inlineStr"/>
      <c r="BL24" t="n">
        <v>0</v>
      </c>
      <c r="BM24" t="n">
        <v>0</v>
      </c>
      <c r="BN24" t="n">
        <v>560.770791269074</v>
      </c>
      <c r="BO24" t="inlineStr"/>
      <c r="BP24" t="inlineStr"/>
      <c r="BQ24" t="inlineStr"/>
      <c r="BR24" t="inlineStr">
        <is>
          <t>TC-7201</t>
        </is>
      </c>
      <c r="BS24" t="b">
        <v>0</v>
      </c>
      <c r="BT24" t="inlineStr"/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Y25" t="inlineStr"/>
      <c r="Z25" t="inlineStr"/>
      <c r="AA25" t="inlineStr"/>
      <c r="AB25" t="inlineStr"/>
      <c r="AC25" t="inlineStr">
        <is>
          <t>2024-03-16</t>
        </is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H25" t="inlineStr"/>
      <c r="AI25" t="inlineStr"/>
      <c r="AJ25" t="inlineStr"/>
      <c r="AK25" t="inlineStr"/>
      <c r="AL25" t="inlineStr"/>
      <c r="AM25" t="inlineStr">
        <is>
          <t>2024-03-19 22:00:00</t>
        </is>
      </c>
      <c r="AN25" t="inlineStr">
        <is>
          <t>2024-03-23</t>
        </is>
      </c>
      <c r="AO25" t="n">
        <v>0</v>
      </c>
      <c r="AP25" t="inlineStr"/>
      <c r="AQ25" t="inlineStr"/>
      <c r="AR25" t="inlineStr">
        <is>
          <t>Active</t>
        </is>
      </c>
      <c r="AS25" t="n">
        <v>6</v>
      </c>
      <c r="AT25" t="n">
        <v>6</v>
      </c>
      <c r="AU25" t="n">
        <v>60</v>
      </c>
      <c r="AV25" t="inlineStr"/>
      <c r="AW25" t="inlineStr"/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I25" t="inlineStr"/>
      <c r="BJ25" t="inlineStr"/>
      <c r="BK25" t="n">
        <v>34</v>
      </c>
      <c r="BL25" t="n">
        <v>66</v>
      </c>
      <c r="BM25" t="n">
        <v>0</v>
      </c>
      <c r="BN25" t="n">
        <v>649.7707912691783</v>
      </c>
      <c r="BO25" t="inlineStr"/>
      <c r="BP25" t="inlineStr"/>
      <c r="BQ25" t="inlineStr"/>
      <c r="BR25" t="inlineStr">
        <is>
          <t>TC-5803</t>
        </is>
      </c>
      <c r="BS25" t="b">
        <v>0</v>
      </c>
      <c r="BT25" t="inlineStr"/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S26" t="inlineStr"/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Y26" t="inlineStr"/>
      <c r="Z26" t="inlineStr"/>
      <c r="AA26" t="inlineStr"/>
      <c r="AB26" t="inlineStr"/>
      <c r="AC26" t="inlineStr">
        <is>
          <t>2024-03-08</t>
        </is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H26" t="inlineStr"/>
      <c r="AI26" t="inlineStr"/>
      <c r="AJ26" t="inlineStr"/>
      <c r="AK26" t="inlineStr"/>
      <c r="AL26" t="inlineStr"/>
      <c r="AM26" t="inlineStr">
        <is>
          <t>2024-03-12 09:00:00</t>
        </is>
      </c>
      <c r="AN26" t="inlineStr">
        <is>
          <t>2024-03-21</t>
        </is>
      </c>
      <c r="AO26" t="n">
        <v>0</v>
      </c>
      <c r="AP26" t="inlineStr"/>
      <c r="AQ26" t="inlineStr"/>
      <c r="AR26" t="inlineStr">
        <is>
          <t>Active</t>
        </is>
      </c>
      <c r="AS26" t="n">
        <v>6</v>
      </c>
      <c r="AT26" t="n">
        <v>6</v>
      </c>
      <c r="AU26" t="n">
        <v>66</v>
      </c>
      <c r="AV26" t="inlineStr"/>
      <c r="AW26" t="inlineStr"/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I26" t="inlineStr"/>
      <c r="BJ26" t="inlineStr"/>
      <c r="BK26" t="n">
        <v>39</v>
      </c>
      <c r="BL26" t="n">
        <v>72</v>
      </c>
      <c r="BM26" t="n">
        <v>0</v>
      </c>
      <c r="BN26" t="n">
        <v>657.7707912692824</v>
      </c>
      <c r="BO26" t="inlineStr"/>
      <c r="BP26" t="inlineStr"/>
      <c r="BQ26" t="inlineStr"/>
      <c r="BR26" t="inlineStr"/>
      <c r="BS26" t="b">
        <v>0</v>
      </c>
      <c r="BT26" t="inlineStr"/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S27" t="inlineStr"/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Y27" t="inlineStr"/>
      <c r="Z27" t="inlineStr"/>
      <c r="AA27" t="inlineStr"/>
      <c r="AB27" t="inlineStr"/>
      <c r="AC27" t="inlineStr">
        <is>
          <t>2024-06-09</t>
        </is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H27" t="inlineStr"/>
      <c r="AI27" t="inlineStr"/>
      <c r="AJ27" t="inlineStr"/>
      <c r="AK27" t="inlineStr"/>
      <c r="AL27" t="inlineStr"/>
      <c r="AM27" t="inlineStr">
        <is>
          <t>2024-06-13 11:00:00</t>
        </is>
      </c>
      <c r="AN27" t="inlineStr">
        <is>
          <t>2024-07-24</t>
        </is>
      </c>
      <c r="AO27" t="n">
        <v>0</v>
      </c>
      <c r="AP27" t="inlineStr"/>
      <c r="AQ27" t="inlineStr"/>
      <c r="AR27" t="inlineStr">
        <is>
          <t>Active</t>
        </is>
      </c>
      <c r="AS27" t="n">
        <v>4</v>
      </c>
      <c r="AT27" t="n">
        <v>21</v>
      </c>
      <c r="AU27" t="n">
        <v>66</v>
      </c>
      <c r="AV27" t="inlineStr"/>
      <c r="AW27" t="inlineStr"/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I27" t="inlineStr"/>
      <c r="BJ27" t="inlineStr"/>
      <c r="BK27" t="n">
        <v>41</v>
      </c>
      <c r="BL27" t="n">
        <v>87</v>
      </c>
      <c r="BM27" t="n">
        <v>0</v>
      </c>
      <c r="BN27" t="n">
        <v>564.7707912693982</v>
      </c>
      <c r="BO27" t="inlineStr"/>
      <c r="BP27" t="inlineStr"/>
      <c r="BQ27" t="inlineStr"/>
      <c r="BR27" t="inlineStr"/>
      <c r="BS27" t="b">
        <v>0</v>
      </c>
      <c r="BT27" t="inlineStr"/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t="inlineStr">
        <is>
          <t>2024-02-20</t>
        </is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t="inlineStr">
        <is>
          <t>2024-02-28 06:00:00</t>
        </is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P28" t="inlineStr"/>
      <c r="AQ28" t="inlineStr"/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R28" t="inlineStr"/>
      <c r="BS28" t="b">
        <v>0</v>
      </c>
      <c r="BT28" t="inlineStr"/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Y29" t="inlineStr"/>
      <c r="Z29" t="inlineStr"/>
      <c r="AA29" t="inlineStr"/>
      <c r="AB29" t="inlineStr"/>
      <c r="AC29" t="inlineStr">
        <is>
          <t>2024-04-02</t>
        </is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I29" t="inlineStr"/>
      <c r="AJ29" t="inlineStr"/>
      <c r="AK29" t="inlineStr"/>
      <c r="AL29" t="inlineStr"/>
      <c r="AM29" t="inlineStr">
        <is>
          <t>2024-04-05 03:00:00</t>
        </is>
      </c>
      <c r="AN29" t="inlineStr">
        <is>
          <t>2024-05-15</t>
        </is>
      </c>
      <c r="AO29" t="n">
        <v>0</v>
      </c>
      <c r="AP29" t="inlineStr"/>
      <c r="AQ29" t="inlineStr"/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W29" t="inlineStr"/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I29" t="inlineStr"/>
      <c r="BJ29" t="inlineStr"/>
      <c r="BK29" t="n">
        <v>28</v>
      </c>
      <c r="BL29" t="n">
        <v>17</v>
      </c>
      <c r="BM29" t="n">
        <v>38</v>
      </c>
      <c r="BN29" t="n">
        <v>632.770791269618</v>
      </c>
      <c r="BO29" t="inlineStr"/>
      <c r="BP29" t="inlineStr"/>
      <c r="BQ29" t="inlineStr"/>
      <c r="BR29" t="inlineStr">
        <is>
          <t>TC-2139</t>
        </is>
      </c>
      <c r="BS29" t="b">
        <v>0</v>
      </c>
      <c r="BT29" t="inlineStr"/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S30" t="inlineStr"/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t="inlineStr">
        <is>
          <t>2024-01-21</t>
        </is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t="inlineStr">
        <is>
          <t>2024-01-31 05:00:00</t>
        </is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T30" t="inlineStr"/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S31" t="inlineStr"/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t="inlineStr">
        <is>
          <t>2024-03-08</t>
        </is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L31" t="inlineStr"/>
      <c r="AM31" t="inlineStr">
        <is>
          <t>2024-03-16 15:00:00</t>
        </is>
      </c>
      <c r="AN31" t="inlineStr">
        <is>
          <t>2024-03-27</t>
        </is>
      </c>
      <c r="AO31" t="n">
        <v>0</v>
      </c>
      <c r="AP31" t="inlineStr"/>
      <c r="AQ31" t="inlineStr"/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I31" t="inlineStr"/>
      <c r="BJ31" t="inlineStr"/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Q31" t="inlineStr"/>
      <c r="BR31" t="inlineStr"/>
      <c r="BS31" t="b">
        <v>0</v>
      </c>
      <c r="BT31" t="inlineStr"/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S32" t="inlineStr"/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t="inlineStr">
        <is>
          <t>2024-03-20</t>
        </is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t="inlineStr">
        <is>
          <t>2024-03-29 16:00:00</t>
        </is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P32" t="inlineStr"/>
      <c r="AQ32" t="inlineStr"/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R32" t="inlineStr"/>
      <c r="BS32" t="b">
        <v>0</v>
      </c>
      <c r="BT32" t="inlineStr"/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S33" t="inlineStr"/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t="inlineStr">
        <is>
          <t>2024-03-27</t>
        </is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J33" t="inlineStr"/>
      <c r="AK33" t="inlineStr"/>
      <c r="AL33" t="inlineStr"/>
      <c r="AM33" t="inlineStr">
        <is>
          <t>2024-04-03 03:00:00</t>
        </is>
      </c>
      <c r="AN33" t="inlineStr">
        <is>
          <t>2024-04-17</t>
        </is>
      </c>
      <c r="AO33" t="n">
        <v>0</v>
      </c>
      <c r="AP33" t="inlineStr"/>
      <c r="AQ33" t="inlineStr"/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I33" t="inlineStr"/>
      <c r="BJ33" t="inlineStr"/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Q33" t="inlineStr"/>
      <c r="BR33" t="inlineStr"/>
      <c r="BS33" t="b">
        <v>0</v>
      </c>
      <c r="BT33" t="inlineStr"/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S34" t="inlineStr"/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t="inlineStr">
        <is>
          <t>2024-01-02</t>
        </is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L34" t="inlineStr"/>
      <c r="AM34" t="inlineStr">
        <is>
          <t>2024-01-05 13:00:00</t>
        </is>
      </c>
      <c r="AN34" t="inlineStr">
        <is>
          <t>2024-01-30</t>
        </is>
      </c>
      <c r="AO34" t="n">
        <v>0</v>
      </c>
      <c r="AP34" t="inlineStr"/>
      <c r="AQ34" t="inlineStr"/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I34" t="inlineStr"/>
      <c r="BJ34" t="inlineStr"/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Q34" t="inlineStr"/>
      <c r="BR34" t="inlineStr"/>
      <c r="BS34" t="b">
        <v>0</v>
      </c>
      <c r="BT34" t="inlineStr"/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S35" t="inlineStr"/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t="inlineStr">
        <is>
          <t>2024-01-19</t>
        </is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J35" t="inlineStr"/>
      <c r="AK35" t="inlineStr"/>
      <c r="AL35" t="inlineStr"/>
      <c r="AM35" t="inlineStr">
        <is>
          <t>2024-01-27 14:00:00</t>
        </is>
      </c>
      <c r="AN35" t="inlineStr">
        <is>
          <t>2024-02-08</t>
        </is>
      </c>
      <c r="AO35" t="n">
        <v>0</v>
      </c>
      <c r="AP35" t="inlineStr"/>
      <c r="AQ35" t="inlineStr"/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I35" t="inlineStr"/>
      <c r="BJ35" t="inlineStr"/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Q35" t="inlineStr"/>
      <c r="BR35" t="inlineStr">
        <is>
          <t>TC-8428</t>
        </is>
      </c>
      <c r="BS35" t="b">
        <v>0</v>
      </c>
      <c r="BT35" t="inlineStr"/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S36" t="inlineStr"/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Y36" t="inlineStr"/>
      <c r="Z36" t="inlineStr"/>
      <c r="AA36" t="inlineStr"/>
      <c r="AB36" t="inlineStr"/>
      <c r="AC36" t="inlineStr">
        <is>
          <t>2024-05-18</t>
        </is>
      </c>
      <c r="AD36" t="inlineStr">
        <is>
          <t>2024-05-18 09:00:00</t>
        </is>
      </c>
      <c r="AE36" t="inlineStr">
        <is>
          <t>2024-05-19 09:00:00</t>
        </is>
      </c>
      <c r="AF36" t="inlineStr"/>
      <c r="AG36" t="inlineStr"/>
      <c r="AH36" t="inlineStr"/>
      <c r="AI36" t="inlineStr"/>
      <c r="AJ36" t="inlineStr"/>
      <c r="AK36" t="inlineStr"/>
      <c r="AL36" t="inlineStr"/>
      <c r="AM36" t="inlineStr">
        <is>
          <t>2024-05-19 09:00:00</t>
        </is>
      </c>
      <c r="AN36" t="inlineStr">
        <is>
          <t>2024-06-30</t>
        </is>
      </c>
      <c r="AO36" t="n">
        <v>0</v>
      </c>
      <c r="AP36" t="inlineStr"/>
      <c r="AQ36" t="inlineStr"/>
      <c r="AR36" t="inlineStr">
        <is>
          <t>Triage</t>
        </is>
      </c>
      <c r="AS36" t="n">
        <v>3</v>
      </c>
      <c r="AT36" t="n">
        <v>24</v>
      </c>
      <c r="AU36" t="inlineStr"/>
      <c r="AV36" t="inlineStr"/>
      <c r="AW36" t="inlineStr"/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I36" t="inlineStr"/>
      <c r="BJ36" t="inlineStr"/>
      <c r="BK36" t="n">
        <v>33</v>
      </c>
      <c r="BL36" t="n">
        <v>24</v>
      </c>
      <c r="BM36" t="n">
        <v>0</v>
      </c>
      <c r="BN36" t="n">
        <v>586.7707912705439</v>
      </c>
      <c r="BO36" t="inlineStr"/>
      <c r="BP36" t="inlineStr"/>
      <c r="BQ36" t="inlineStr"/>
      <c r="BR36" t="inlineStr"/>
      <c r="BS36" t="b">
        <v>0</v>
      </c>
      <c r="BT36" t="inlineStr"/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S37" t="inlineStr"/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t="inlineStr">
        <is>
          <t>2024-05-27</t>
        </is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t="inlineStr">
        <is>
          <t>2024-06-06 19:00:00</t>
        </is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T37" t="inlineStr"/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S38" t="inlineStr"/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Y38" t="inlineStr"/>
      <c r="Z38" t="inlineStr"/>
      <c r="AA38" t="inlineStr"/>
      <c r="AB38" t="inlineStr"/>
      <c r="AC38" t="inlineStr">
        <is>
          <t>2024-04-15</t>
        </is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H38" t="inlineStr"/>
      <c r="AI38" t="inlineStr"/>
      <c r="AJ38" t="inlineStr"/>
      <c r="AK38" t="inlineStr"/>
      <c r="AL38" t="inlineStr"/>
      <c r="AM38" t="inlineStr">
        <is>
          <t>2024-04-17 14:00:00</t>
        </is>
      </c>
      <c r="AN38" t="inlineStr">
        <is>
          <t>2024-06-04</t>
        </is>
      </c>
      <c r="AO38" t="n">
        <v>0</v>
      </c>
      <c r="AP38" t="inlineStr"/>
      <c r="AQ38" t="inlineStr"/>
      <c r="AR38" t="inlineStr">
        <is>
          <t>Active</t>
        </is>
      </c>
      <c r="AS38" t="n">
        <v>6</v>
      </c>
      <c r="AT38" t="n">
        <v>24</v>
      </c>
      <c r="AU38" t="n">
        <v>8</v>
      </c>
      <c r="AV38" t="inlineStr"/>
      <c r="AW38" t="inlineStr"/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I38" t="inlineStr"/>
      <c r="BJ38" t="inlineStr"/>
      <c r="BK38" t="n">
        <v>54</v>
      </c>
      <c r="BL38" t="n">
        <v>32</v>
      </c>
      <c r="BM38" t="n">
        <v>0</v>
      </c>
      <c r="BN38" t="n">
        <v>619.7707912707523</v>
      </c>
      <c r="BO38" t="inlineStr"/>
      <c r="BP38" t="inlineStr"/>
      <c r="BQ38" t="inlineStr"/>
      <c r="BR38" t="inlineStr">
        <is>
          <t>TC-5374</t>
        </is>
      </c>
      <c r="BS38" t="b">
        <v>0</v>
      </c>
      <c r="BT38" t="inlineStr"/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S39" t="inlineStr"/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Y39" t="inlineStr"/>
      <c r="Z39" t="inlineStr"/>
      <c r="AA39" t="inlineStr"/>
      <c r="AB39" t="inlineStr"/>
      <c r="AC39" t="inlineStr">
        <is>
          <t>2024-06-16</t>
        </is>
      </c>
      <c r="AD39" t="inlineStr"/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>
        <is>
          <t>2024-06-16 00:00:00</t>
        </is>
      </c>
      <c r="AN39" t="inlineStr">
        <is>
          <t>2024-08-03</t>
        </is>
      </c>
      <c r="AO39" t="n">
        <v>0</v>
      </c>
      <c r="AP39" t="inlineStr"/>
      <c r="AQ39" t="inlineStr"/>
      <c r="AR39" t="inlineStr"/>
      <c r="AS39" t="n">
        <v>1</v>
      </c>
      <c r="AT39" t="inlineStr"/>
      <c r="AU39" t="inlineStr"/>
      <c r="AV39" t="inlineStr"/>
      <c r="AW39" t="inlineStr"/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I39" t="inlineStr"/>
      <c r="BJ39" t="inlineStr"/>
      <c r="BK39" t="inlineStr"/>
      <c r="BL39" t="n">
        <v>0</v>
      </c>
      <c r="BM39" t="n">
        <v>0</v>
      </c>
      <c r="BN39" t="n">
        <v>557.7707912708681</v>
      </c>
      <c r="BO39" t="inlineStr"/>
      <c r="BP39" t="inlineStr"/>
      <c r="BQ39" t="inlineStr"/>
      <c r="BR39" t="inlineStr"/>
      <c r="BS39" t="b">
        <v>0</v>
      </c>
      <c r="BT39" t="inlineStr"/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S40" t="inlineStr"/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t="inlineStr">
        <is>
          <t>2024-01-26</t>
        </is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L40" t="inlineStr"/>
      <c r="AM40" t="inlineStr">
        <is>
          <t>2024-02-02 23:00:00</t>
        </is>
      </c>
      <c r="AN40" t="inlineStr">
        <is>
          <t>2024-02-14</t>
        </is>
      </c>
      <c r="AO40" t="n">
        <v>0</v>
      </c>
      <c r="AP40" t="inlineStr"/>
      <c r="AQ40" t="inlineStr"/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I40" t="inlineStr"/>
      <c r="BJ40" t="inlineStr"/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Q40" t="inlineStr"/>
      <c r="BR40" t="inlineStr"/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S41" t="inlineStr"/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Y41" t="inlineStr"/>
      <c r="Z41" t="inlineStr"/>
      <c r="AA41" t="inlineStr"/>
      <c r="AB41" t="inlineStr"/>
      <c r="AC41" t="inlineStr">
        <is>
          <t>2024-02-18</t>
        </is>
      </c>
      <c r="AD41" t="inlineStr">
        <is>
          <t>2024-02-19 11:00:00</t>
        </is>
      </c>
      <c r="AE41" t="inlineStr">
        <is>
          <t>2024-02-20 02:00:00</t>
        </is>
      </c>
      <c r="AF41" t="inlineStr"/>
      <c r="AG41" t="inlineStr"/>
      <c r="AH41" t="inlineStr"/>
      <c r="AI41" t="inlineStr"/>
      <c r="AJ41" t="inlineStr"/>
      <c r="AK41" t="inlineStr"/>
      <c r="AL41" t="inlineStr"/>
      <c r="AM41" t="inlineStr">
        <is>
          <t>2024-02-20 02:00:00</t>
        </is>
      </c>
      <c r="AN41" t="inlineStr">
        <is>
          <t>2024-03-04</t>
        </is>
      </c>
      <c r="AO41" t="n">
        <v>0</v>
      </c>
      <c r="AP41" t="inlineStr"/>
      <c r="AQ41" t="inlineStr"/>
      <c r="AR41" t="inlineStr">
        <is>
          <t>Triage</t>
        </is>
      </c>
      <c r="AS41" t="n">
        <v>4</v>
      </c>
      <c r="AT41" t="n">
        <v>15</v>
      </c>
      <c r="AU41" t="inlineStr"/>
      <c r="AV41" t="inlineStr"/>
      <c r="AW41" t="inlineStr"/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I41" t="inlineStr"/>
      <c r="BJ41" t="inlineStr"/>
      <c r="BK41" t="n">
        <v>50</v>
      </c>
      <c r="BL41" t="n">
        <v>15</v>
      </c>
      <c r="BM41" t="n">
        <v>0</v>
      </c>
      <c r="BN41" t="n">
        <v>676.770791271088</v>
      </c>
      <c r="BO41" t="inlineStr"/>
      <c r="BP41" t="inlineStr"/>
      <c r="BQ41" t="inlineStr"/>
      <c r="BR41" t="inlineStr">
        <is>
          <t>TC-3803</t>
        </is>
      </c>
      <c r="BS41" t="b">
        <v>0</v>
      </c>
      <c r="BT41" t="inlineStr"/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S42" t="inlineStr"/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t="inlineStr">
        <is>
          <t>2024-04-18</t>
        </is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t="inlineStr">
        <is>
          <t>2024-04-24 07:00:00</t>
        </is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P42" t="inlineStr"/>
      <c r="AQ42" t="inlineStr"/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T42" t="inlineStr"/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t="inlineStr">
        <is>
          <t>2024-01-24</t>
        </is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t="inlineStr">
        <is>
          <t>2024-02-01 07:00:00</t>
        </is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T43" t="inlineStr"/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t="inlineStr">
        <is>
          <t>2024-03-08</t>
        </is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t="inlineStr">
        <is>
          <t>2024-03-19 09:00:00</t>
        </is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T44" t="inlineStr"/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Y45" t="inlineStr"/>
      <c r="Z45" t="inlineStr"/>
      <c r="AA45" t="inlineStr"/>
      <c r="AB45" t="inlineStr"/>
      <c r="AC45" t="inlineStr">
        <is>
          <t>2024-05-28</t>
        </is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H45" t="inlineStr"/>
      <c r="AI45" t="inlineStr"/>
      <c r="AJ45" t="inlineStr"/>
      <c r="AK45" t="inlineStr"/>
      <c r="AL45" t="inlineStr"/>
      <c r="AM45" t="inlineStr">
        <is>
          <t>2024-05-31 03:00:00</t>
        </is>
      </c>
      <c r="AN45" t="inlineStr">
        <is>
          <t>2024-07-21</t>
        </is>
      </c>
      <c r="AO45" t="n">
        <v>0</v>
      </c>
      <c r="AP45" t="inlineStr"/>
      <c r="AQ45" t="inlineStr"/>
      <c r="AR45" t="inlineStr">
        <is>
          <t>Active</t>
        </is>
      </c>
      <c r="AS45" t="n">
        <v>6</v>
      </c>
      <c r="AT45" t="n">
        <v>18</v>
      </c>
      <c r="AU45" t="n">
        <v>9</v>
      </c>
      <c r="AV45" t="inlineStr"/>
      <c r="AW45" t="inlineStr"/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I45" t="inlineStr"/>
      <c r="BJ45" t="inlineStr"/>
      <c r="BK45" t="n">
        <v>66</v>
      </c>
      <c r="BL45" t="n">
        <v>27</v>
      </c>
      <c r="BM45" t="n">
        <v>0</v>
      </c>
      <c r="BN45" t="n">
        <v>576.7707912715277</v>
      </c>
      <c r="BO45" t="inlineStr"/>
      <c r="BP45" t="inlineStr"/>
      <c r="BQ45" t="inlineStr"/>
      <c r="BR45" t="inlineStr"/>
      <c r="BS45" t="b">
        <v>0</v>
      </c>
      <c r="BT45" t="inlineStr"/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Y46" t="inlineStr"/>
      <c r="Z46" t="inlineStr"/>
      <c r="AA46" t="inlineStr"/>
      <c r="AB46" t="inlineStr"/>
      <c r="AC46" t="inlineStr">
        <is>
          <t>2024-03-21</t>
        </is>
      </c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>
        <is>
          <t>2024-03-21 00:00:00</t>
        </is>
      </c>
      <c r="AN46" t="inlineStr">
        <is>
          <t>2024-03-31</t>
        </is>
      </c>
      <c r="AO46" t="n">
        <v>0</v>
      </c>
      <c r="AP46" t="inlineStr"/>
      <c r="AQ46" t="inlineStr"/>
      <c r="AR46" t="inlineStr"/>
      <c r="AS46" t="n">
        <v>3</v>
      </c>
      <c r="AT46" t="inlineStr"/>
      <c r="AU46" t="inlineStr"/>
      <c r="AV46" t="inlineStr"/>
      <c r="AW46" t="inlineStr"/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I46" t="inlineStr"/>
      <c r="BJ46" t="inlineStr"/>
      <c r="BK46" t="inlineStr"/>
      <c r="BL46" t="n">
        <v>0</v>
      </c>
      <c r="BM46" t="n">
        <v>0</v>
      </c>
      <c r="BN46" t="n">
        <v>644.7707912716435</v>
      </c>
      <c r="BO46" t="inlineStr"/>
      <c r="BP46" t="inlineStr"/>
      <c r="BQ46" t="inlineStr"/>
      <c r="BR46" t="inlineStr"/>
      <c r="BS46" t="b">
        <v>0</v>
      </c>
      <c r="BT46" t="inlineStr"/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t="inlineStr">
        <is>
          <t>2024-01-13</t>
        </is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t="inlineStr">
        <is>
          <t>2024-01-26 03:00:00</t>
        </is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R47" t="inlineStr"/>
      <c r="BS47" t="b">
        <v>0</v>
      </c>
      <c r="BT47" t="inlineStr"/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Y48" t="inlineStr"/>
      <c r="Z48" t="inlineStr"/>
      <c r="AA48" t="inlineStr"/>
      <c r="AB48" t="inlineStr"/>
      <c r="AC48" t="inlineStr">
        <is>
          <t>2024-06-01</t>
        </is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I48" t="inlineStr"/>
      <c r="AJ48" t="inlineStr"/>
      <c r="AK48" t="inlineStr"/>
      <c r="AL48" t="inlineStr"/>
      <c r="AM48" t="inlineStr">
        <is>
          <t>2024-06-05 22:00:00</t>
        </is>
      </c>
      <c r="AN48" t="inlineStr">
        <is>
          <t>2024-06-15</t>
        </is>
      </c>
      <c r="AO48" t="n">
        <v>0</v>
      </c>
      <c r="AP48" t="inlineStr"/>
      <c r="AQ48" t="inlineStr"/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W48" t="inlineStr"/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I48" t="inlineStr"/>
      <c r="BJ48" t="inlineStr"/>
      <c r="BK48" t="n">
        <v>27</v>
      </c>
      <c r="BL48" t="n">
        <v>54</v>
      </c>
      <c r="BM48" t="n">
        <v>59</v>
      </c>
      <c r="BN48" t="n">
        <v>572.7707912718519</v>
      </c>
      <c r="BO48" t="inlineStr"/>
      <c r="BP48" t="inlineStr"/>
      <c r="BQ48" t="inlineStr"/>
      <c r="BR48" t="inlineStr">
        <is>
          <t>TC-1525</t>
        </is>
      </c>
      <c r="BS48" t="b">
        <v>0</v>
      </c>
      <c r="BT48" t="inlineStr"/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t="inlineStr">
        <is>
          <t>2024-05-25</t>
        </is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t="inlineStr">
        <is>
          <t>2024-06-01 08:00:00</t>
        </is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R49" t="inlineStr"/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S50" t="inlineStr"/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t="inlineStr">
        <is>
          <t>2024-04-11</t>
        </is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t="inlineStr">
        <is>
          <t>2024-04-19 04:00:00</t>
        </is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P50" t="inlineStr"/>
      <c r="AQ50" t="inlineStr"/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S51" t="inlineStr"/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t="inlineStr">
        <is>
          <t>2024-01-19</t>
        </is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t="inlineStr">
        <is>
          <t>2024-01-27 00:00:00</t>
        </is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T51" t="inlineStr"/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S52" t="inlineStr"/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Y52" t="inlineStr"/>
      <c r="Z52" t="inlineStr"/>
      <c r="AA52" t="inlineStr"/>
      <c r="AB52" t="inlineStr"/>
      <c r="AC52" t="inlineStr">
        <is>
          <t>2024-05-19</t>
        </is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H52" t="inlineStr"/>
      <c r="AI52" t="inlineStr"/>
      <c r="AJ52" t="inlineStr"/>
      <c r="AK52" t="inlineStr"/>
      <c r="AL52" t="inlineStr"/>
      <c r="AM52" t="inlineStr">
        <is>
          <t>2024-05-24 05:00:00</t>
        </is>
      </c>
      <c r="AN52" t="inlineStr">
        <is>
          <t>2024-05-26</t>
        </is>
      </c>
      <c r="AO52" t="n">
        <v>0</v>
      </c>
      <c r="AP52" t="inlineStr"/>
      <c r="AQ52" t="inlineStr"/>
      <c r="AR52" t="inlineStr">
        <is>
          <t>Active</t>
        </is>
      </c>
      <c r="AS52" t="n">
        <v>5</v>
      </c>
      <c r="AT52" t="n">
        <v>10</v>
      </c>
      <c r="AU52" t="n">
        <v>69</v>
      </c>
      <c r="AV52" t="inlineStr"/>
      <c r="AW52" t="inlineStr"/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I52" t="inlineStr"/>
      <c r="BJ52" t="inlineStr"/>
      <c r="BK52" t="n">
        <v>56</v>
      </c>
      <c r="BL52" t="n">
        <v>79</v>
      </c>
      <c r="BM52" t="n">
        <v>0</v>
      </c>
      <c r="BN52" t="n">
        <v>585.7707912722916</v>
      </c>
      <c r="BO52" t="inlineStr"/>
      <c r="BP52" t="inlineStr"/>
      <c r="BQ52" t="inlineStr"/>
      <c r="BR52" t="inlineStr">
        <is>
          <t>TC-9179</t>
        </is>
      </c>
      <c r="BS52" t="b">
        <v>0</v>
      </c>
      <c r="BT52" t="inlineStr"/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Y53" t="inlineStr"/>
      <c r="Z53" t="inlineStr"/>
      <c r="AA53" t="inlineStr"/>
      <c r="AB53" t="inlineStr"/>
      <c r="AC53" t="inlineStr">
        <is>
          <t>2024-06-19</t>
        </is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I53" t="inlineStr"/>
      <c r="AJ53" t="inlineStr"/>
      <c r="AK53" t="inlineStr"/>
      <c r="AL53" t="inlineStr"/>
      <c r="AM53" t="inlineStr">
        <is>
          <t>2024-06-26 13:00:00</t>
        </is>
      </c>
      <c r="AN53" t="inlineStr">
        <is>
          <t>2024-07-04</t>
        </is>
      </c>
      <c r="AO53" t="n">
        <v>0</v>
      </c>
      <c r="AP53" t="inlineStr"/>
      <c r="AQ53" t="inlineStr"/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W53" t="inlineStr"/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I53" t="inlineStr"/>
      <c r="BJ53" t="inlineStr"/>
      <c r="BK53" t="n">
        <v>46</v>
      </c>
      <c r="BL53" t="n">
        <v>25</v>
      </c>
      <c r="BM53" t="n">
        <v>120</v>
      </c>
      <c r="BN53" t="n">
        <v>554.7707912723959</v>
      </c>
      <c r="BO53" t="inlineStr"/>
      <c r="BP53" t="inlineStr"/>
      <c r="BQ53" t="inlineStr"/>
      <c r="BR53" t="inlineStr">
        <is>
          <t>TC-8517</t>
        </is>
      </c>
      <c r="BS53" t="b">
        <v>0</v>
      </c>
      <c r="BT53" t="inlineStr"/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t="inlineStr">
        <is>
          <t>2024-03-08</t>
        </is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t="inlineStr">
        <is>
          <t>2024-03-16 01:00:00</t>
        </is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T54" t="inlineStr"/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S55" t="inlineStr"/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Y55" t="inlineStr"/>
      <c r="Z55" t="inlineStr"/>
      <c r="AA55" t="inlineStr"/>
      <c r="AB55" t="inlineStr"/>
      <c r="AC55" t="inlineStr">
        <is>
          <t>2024-05-09</t>
        </is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H55" t="inlineStr"/>
      <c r="AI55" t="inlineStr"/>
      <c r="AJ55" t="inlineStr"/>
      <c r="AK55" t="inlineStr"/>
      <c r="AL55" t="inlineStr"/>
      <c r="AM55" t="inlineStr">
        <is>
          <t>2024-05-11 01:00:00</t>
        </is>
      </c>
      <c r="AN55" t="inlineStr">
        <is>
          <t>2024-05-21</t>
        </is>
      </c>
      <c r="AO55" t="n">
        <v>0</v>
      </c>
      <c r="AP55" t="inlineStr"/>
      <c r="AQ55" t="inlineStr"/>
      <c r="AR55" t="inlineStr">
        <is>
          <t>Active</t>
        </is>
      </c>
      <c r="AS55" t="n">
        <v>6</v>
      </c>
      <c r="AT55" t="n">
        <v>9</v>
      </c>
      <c r="AU55" t="n">
        <v>8</v>
      </c>
      <c r="AV55" t="inlineStr"/>
      <c r="AW55" t="inlineStr"/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I55" t="inlineStr"/>
      <c r="BJ55" t="inlineStr"/>
      <c r="BK55" t="n">
        <v>41</v>
      </c>
      <c r="BL55" t="n">
        <v>17</v>
      </c>
      <c r="BM55" t="n">
        <v>0</v>
      </c>
      <c r="BN55" t="n">
        <v>595.7707912726157</v>
      </c>
      <c r="BO55" t="inlineStr"/>
      <c r="BP55" t="inlineStr"/>
      <c r="BQ55" t="inlineStr"/>
      <c r="BR55" t="inlineStr">
        <is>
          <t>TC-9830</t>
        </is>
      </c>
      <c r="BS55" t="b">
        <v>0</v>
      </c>
      <c r="BT55" t="inlineStr"/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S56" t="inlineStr"/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Y56" t="inlineStr"/>
      <c r="Z56" t="inlineStr"/>
      <c r="AA56" t="inlineStr"/>
      <c r="AB56" t="inlineStr"/>
      <c r="AC56" t="inlineStr">
        <is>
          <t>2024-06-11</t>
        </is>
      </c>
      <c r="AD56" t="inlineStr">
        <is>
          <t>2024-06-12 04:00:00</t>
        </is>
      </c>
      <c r="AE56" t="inlineStr">
        <is>
          <t>2024-06-12 13:00:00</t>
        </is>
      </c>
      <c r="AF56" t="inlineStr"/>
      <c r="AG56" t="inlineStr"/>
      <c r="AH56" t="inlineStr"/>
      <c r="AI56" t="inlineStr"/>
      <c r="AJ56" t="inlineStr"/>
      <c r="AK56" t="inlineStr"/>
      <c r="AL56" t="inlineStr"/>
      <c r="AM56" t="inlineStr">
        <is>
          <t>2024-06-12 13:00:00</t>
        </is>
      </c>
      <c r="AN56" t="inlineStr">
        <is>
          <t>2024-06-20</t>
        </is>
      </c>
      <c r="AO56" t="n">
        <v>0</v>
      </c>
      <c r="AP56" t="inlineStr"/>
      <c r="AQ56" t="inlineStr"/>
      <c r="AR56" t="inlineStr">
        <is>
          <t>Triage</t>
        </is>
      </c>
      <c r="AS56" t="n">
        <v>4</v>
      </c>
      <c r="AT56" t="n">
        <v>9</v>
      </c>
      <c r="AU56" t="inlineStr"/>
      <c r="AV56" t="inlineStr"/>
      <c r="AW56" t="inlineStr"/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I56" t="inlineStr"/>
      <c r="BJ56" t="inlineStr"/>
      <c r="BK56" t="n">
        <v>37</v>
      </c>
      <c r="BL56" t="n">
        <v>9</v>
      </c>
      <c r="BM56" t="n">
        <v>0</v>
      </c>
      <c r="BN56" t="n">
        <v>562.7707912727316</v>
      </c>
      <c r="BO56" t="inlineStr"/>
      <c r="BP56" t="inlineStr"/>
      <c r="BQ56" t="inlineStr"/>
      <c r="BR56" t="inlineStr">
        <is>
          <t>TC-8019</t>
        </is>
      </c>
      <c r="BS56" t="b">
        <v>0</v>
      </c>
      <c r="BT56" t="inlineStr"/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S57" t="inlineStr"/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t="inlineStr">
        <is>
          <t>2024-01-01</t>
        </is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L57" t="inlineStr"/>
      <c r="AM57" t="inlineStr">
        <is>
          <t>2024-01-06 21:00:00</t>
        </is>
      </c>
      <c r="AN57" t="inlineStr">
        <is>
          <t>2024-02-22</t>
        </is>
      </c>
      <c r="AO57" t="n">
        <v>0</v>
      </c>
      <c r="AP57" t="inlineStr"/>
      <c r="AQ57" t="inlineStr"/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I57" t="inlineStr"/>
      <c r="BJ57" t="inlineStr"/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Q57" t="inlineStr"/>
      <c r="BR57" t="inlineStr"/>
      <c r="BS57" t="b">
        <v>0</v>
      </c>
      <c r="BT57" t="inlineStr"/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t="inlineStr">
        <is>
          <t>2024-04-19</t>
        </is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t="inlineStr">
        <is>
          <t>2024-04-25 05:00:00</t>
        </is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T58" t="inlineStr"/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S59" t="inlineStr"/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t="inlineStr">
        <is>
          <t>2024-02-02</t>
        </is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L59" t="inlineStr"/>
      <c r="AM59" t="inlineStr">
        <is>
          <t>2024-02-09 21:00:00</t>
        </is>
      </c>
      <c r="AN59" t="inlineStr">
        <is>
          <t>2024-02-22</t>
        </is>
      </c>
      <c r="AO59" t="n">
        <v>0</v>
      </c>
      <c r="AP59" t="inlineStr"/>
      <c r="AQ59" t="inlineStr"/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I59" t="inlineStr"/>
      <c r="BJ59" t="inlineStr"/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Q59" t="inlineStr"/>
      <c r="BR59" t="inlineStr"/>
      <c r="BS59" t="b">
        <v>0</v>
      </c>
      <c r="BT59" t="inlineStr"/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t="inlineStr">
        <is>
          <t>2024-06-23</t>
        </is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L60" t="inlineStr"/>
      <c r="AM60" t="inlineStr">
        <is>
          <t>2024-06-29 16:00:00</t>
        </is>
      </c>
      <c r="AN60" t="inlineStr">
        <is>
          <t>2024-08-08</t>
        </is>
      </c>
      <c r="AO60" t="n">
        <v>0</v>
      </c>
      <c r="AP60" t="inlineStr"/>
      <c r="AQ60" t="inlineStr"/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I60" t="inlineStr"/>
      <c r="BJ60" t="inlineStr"/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Q60" t="inlineStr"/>
      <c r="BR60" t="inlineStr">
        <is>
          <t>TC-9085</t>
        </is>
      </c>
      <c r="BS60" t="b">
        <v>0</v>
      </c>
      <c r="BT60" t="inlineStr"/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S61" t="inlineStr"/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Y61" t="inlineStr"/>
      <c r="Z61" t="inlineStr"/>
      <c r="AA61" t="inlineStr"/>
      <c r="AB61" t="inlineStr"/>
      <c r="AC61" t="inlineStr">
        <is>
          <t>2024-02-09</t>
        </is>
      </c>
      <c r="AD61" t="inlineStr">
        <is>
          <t>2024-02-09 16:00:00</t>
        </is>
      </c>
      <c r="AE61" t="inlineStr"/>
      <c r="AF61" t="inlineStr"/>
      <c r="AG61" t="inlineStr"/>
      <c r="AH61" t="inlineStr"/>
      <c r="AI61" t="inlineStr"/>
      <c r="AJ61" t="inlineStr"/>
      <c r="AK61" t="inlineStr"/>
      <c r="AL61" t="inlineStr"/>
      <c r="AM61" t="inlineStr">
        <is>
          <t>2024-02-09 16:00:00</t>
        </is>
      </c>
      <c r="AN61" t="inlineStr">
        <is>
          <t>2024-02-26</t>
        </is>
      </c>
      <c r="AO61" t="n">
        <v>0</v>
      </c>
      <c r="AP61" t="inlineStr"/>
      <c r="AQ61" t="inlineStr"/>
      <c r="AR61" t="inlineStr">
        <is>
          <t>Open</t>
        </is>
      </c>
      <c r="AS61" t="n">
        <v>1</v>
      </c>
      <c r="AT61" t="inlineStr"/>
      <c r="AU61" t="inlineStr"/>
      <c r="AV61" t="inlineStr"/>
      <c r="AW61" t="inlineStr"/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I61" t="inlineStr"/>
      <c r="BJ61" t="inlineStr"/>
      <c r="BK61" t="inlineStr"/>
      <c r="BL61" t="n">
        <v>0</v>
      </c>
      <c r="BM61" t="n">
        <v>0</v>
      </c>
      <c r="BN61" t="n">
        <v>685.770791273264</v>
      </c>
      <c r="BO61" t="inlineStr"/>
      <c r="BP61" t="inlineStr"/>
      <c r="BQ61" t="inlineStr"/>
      <c r="BR61" t="inlineStr">
        <is>
          <t>TC-1771</t>
        </is>
      </c>
      <c r="BS61" t="b">
        <v>0</v>
      </c>
      <c r="BT61" t="inlineStr"/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S62" t="inlineStr"/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t="inlineStr">
        <is>
          <t>2024-02-15</t>
        </is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L62" t="inlineStr"/>
      <c r="AM62" t="inlineStr">
        <is>
          <t>2024-02-23 02:00:00</t>
        </is>
      </c>
      <c r="AN62" t="inlineStr">
        <is>
          <t>2024-04-13</t>
        </is>
      </c>
      <c r="AO62" t="n">
        <v>0</v>
      </c>
      <c r="AP62" t="inlineStr"/>
      <c r="AQ62" t="inlineStr"/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I62" t="inlineStr"/>
      <c r="BJ62" t="inlineStr"/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Q62" t="inlineStr"/>
      <c r="BR62" t="inlineStr"/>
      <c r="BS62" t="b">
        <v>0</v>
      </c>
      <c r="BT62" t="inlineStr"/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S63" t="inlineStr"/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t="inlineStr">
        <is>
          <t>2024-06-20</t>
        </is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t="inlineStr">
        <is>
          <t>2024-06-27 15:00:00</t>
        </is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T63" t="inlineStr"/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S64" t="inlineStr"/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Y64" t="inlineStr"/>
      <c r="Z64" t="inlineStr"/>
      <c r="AA64" t="inlineStr"/>
      <c r="AB64" t="inlineStr"/>
      <c r="AC64" t="inlineStr">
        <is>
          <t>2024-04-27</t>
        </is>
      </c>
      <c r="AD64" t="inlineStr">
        <is>
          <t>2024-04-27 23:00:00</t>
        </is>
      </c>
      <c r="AE64" t="inlineStr">
        <is>
          <t>2024-04-28 09:00:00</t>
        </is>
      </c>
      <c r="AF64" t="inlineStr"/>
      <c r="AG64" t="inlineStr"/>
      <c r="AH64" t="inlineStr"/>
      <c r="AI64" t="inlineStr"/>
      <c r="AJ64" t="inlineStr"/>
      <c r="AK64" t="inlineStr"/>
      <c r="AL64" t="inlineStr"/>
      <c r="AM64" t="inlineStr">
        <is>
          <t>2024-04-28 09:00:00</t>
        </is>
      </c>
      <c r="AN64" t="inlineStr">
        <is>
          <t>2024-06-25</t>
        </is>
      </c>
      <c r="AO64" t="n">
        <v>0</v>
      </c>
      <c r="AP64" t="inlineStr"/>
      <c r="AQ64" t="inlineStr"/>
      <c r="AR64" t="inlineStr">
        <is>
          <t>Triage</t>
        </is>
      </c>
      <c r="AS64" t="n">
        <v>2</v>
      </c>
      <c r="AT64" t="n">
        <v>10</v>
      </c>
      <c r="AU64" t="inlineStr"/>
      <c r="AV64" t="inlineStr"/>
      <c r="AW64" t="inlineStr"/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I64" t="inlineStr"/>
      <c r="BJ64" t="inlineStr"/>
      <c r="BK64" t="n">
        <v>33</v>
      </c>
      <c r="BL64" t="n">
        <v>10</v>
      </c>
      <c r="BM64" t="n">
        <v>0</v>
      </c>
      <c r="BN64" t="n">
        <v>607.7707912735996</v>
      </c>
      <c r="BO64" t="inlineStr"/>
      <c r="BP64" t="inlineStr"/>
      <c r="BQ64" t="inlineStr"/>
      <c r="BR64" t="inlineStr"/>
      <c r="BS64" t="b">
        <v>0</v>
      </c>
      <c r="BT64" t="inlineStr"/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S65" t="inlineStr"/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t="inlineStr">
        <is>
          <t>2024-02-28</t>
        </is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J65" t="inlineStr"/>
      <c r="AK65" t="inlineStr"/>
      <c r="AL65" t="inlineStr"/>
      <c r="AM65" t="inlineStr">
        <is>
          <t>2024-03-04 06:00:00</t>
        </is>
      </c>
      <c r="AN65" t="inlineStr">
        <is>
          <t>2024-03-23</t>
        </is>
      </c>
      <c r="AO65" t="n">
        <v>0</v>
      </c>
      <c r="AP65" t="inlineStr"/>
      <c r="AQ65" t="inlineStr"/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I65" t="inlineStr"/>
      <c r="BJ65" t="inlineStr"/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Q65" t="inlineStr"/>
      <c r="BR65" t="inlineStr">
        <is>
          <t>TC-2040</t>
        </is>
      </c>
      <c r="BS65" t="b">
        <v>0</v>
      </c>
      <c r="BT65" t="inlineStr"/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S66" t="inlineStr"/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t="inlineStr">
        <is>
          <t>2024-01-18</t>
        </is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t="inlineStr">
        <is>
          <t>2024-01-27 14:00:00</t>
        </is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T66" t="inlineStr"/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S67" t="inlineStr"/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t="inlineStr">
        <is>
          <t>2024-03-08</t>
        </is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t="inlineStr">
        <is>
          <t>2024-03-15 14:00:00</t>
        </is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T67" t="inlineStr"/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t="inlineStr">
        <is>
          <t>2024-01-12</t>
        </is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L68" t="inlineStr"/>
      <c r="AM68" t="inlineStr">
        <is>
          <t>2024-01-20 05:00:00</t>
        </is>
      </c>
      <c r="AN68" t="inlineStr">
        <is>
          <t>2024-03-05</t>
        </is>
      </c>
      <c r="AO68" t="n">
        <v>0</v>
      </c>
      <c r="AP68" t="inlineStr"/>
      <c r="AQ68" t="inlineStr"/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I68" t="inlineStr"/>
      <c r="BJ68" t="inlineStr"/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Q68" t="inlineStr"/>
      <c r="BR68" t="inlineStr"/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t="inlineStr">
        <is>
          <t>2024-06-20</t>
        </is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t="inlineStr">
        <is>
          <t>2024-06-28 13:00:00</t>
        </is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T69" t="inlineStr"/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S70" t="inlineStr"/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Y70" t="inlineStr"/>
      <c r="Z70" t="inlineStr"/>
      <c r="AA70" t="inlineStr"/>
      <c r="AB70" t="inlineStr"/>
      <c r="AC70" t="inlineStr">
        <is>
          <t>2024-06-19</t>
        </is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H70" t="inlineStr"/>
      <c r="AI70" t="inlineStr"/>
      <c r="AJ70" t="inlineStr"/>
      <c r="AK70" t="inlineStr"/>
      <c r="AL70" t="inlineStr"/>
      <c r="AM70" t="inlineStr">
        <is>
          <t>2024-06-22 19:00:00</t>
        </is>
      </c>
      <c r="AN70" t="inlineStr">
        <is>
          <t>2024-08-09</t>
        </is>
      </c>
      <c r="AO70" t="n">
        <v>0</v>
      </c>
      <c r="AP70" t="inlineStr"/>
      <c r="AQ70" t="inlineStr"/>
      <c r="AR70" t="inlineStr">
        <is>
          <t>Active</t>
        </is>
      </c>
      <c r="AS70" t="n">
        <v>6</v>
      </c>
      <c r="AT70" t="n">
        <v>11</v>
      </c>
      <c r="AU70" t="n">
        <v>53</v>
      </c>
      <c r="AV70" t="inlineStr"/>
      <c r="AW70" t="inlineStr"/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I70" t="inlineStr"/>
      <c r="BJ70" t="inlineStr"/>
      <c r="BK70" t="n">
        <v>38</v>
      </c>
      <c r="BL70" t="n">
        <v>64</v>
      </c>
      <c r="BM70" t="n">
        <v>0</v>
      </c>
      <c r="BN70" t="n">
        <v>554.7707912742477</v>
      </c>
      <c r="BO70" t="inlineStr"/>
      <c r="BP70" t="inlineStr"/>
      <c r="BQ70" t="inlineStr"/>
      <c r="BR70" t="inlineStr"/>
      <c r="BS70" t="b">
        <v>0</v>
      </c>
      <c r="BT70" t="inlineStr"/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Y71" t="inlineStr"/>
      <c r="Z71" t="inlineStr"/>
      <c r="AA71" t="inlineStr"/>
      <c r="AB71" t="inlineStr"/>
      <c r="AC71" t="inlineStr">
        <is>
          <t>2024-03-16</t>
        </is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H71" t="inlineStr"/>
      <c r="AI71" t="inlineStr"/>
      <c r="AJ71" t="inlineStr"/>
      <c r="AK71" t="inlineStr"/>
      <c r="AL71" t="inlineStr"/>
      <c r="AM71" t="inlineStr">
        <is>
          <t>2024-03-18 19:00:00</t>
        </is>
      </c>
      <c r="AN71" t="inlineStr">
        <is>
          <t>2024-04-18</t>
        </is>
      </c>
      <c r="AO71" t="n">
        <v>0</v>
      </c>
      <c r="AP71" t="inlineStr"/>
      <c r="AQ71" t="inlineStr"/>
      <c r="AR71" t="inlineStr">
        <is>
          <t>Active</t>
        </is>
      </c>
      <c r="AS71" t="n">
        <v>4</v>
      </c>
      <c r="AT71" t="n">
        <v>5</v>
      </c>
      <c r="AU71" t="n">
        <v>26</v>
      </c>
      <c r="AV71" t="inlineStr"/>
      <c r="AW71" t="inlineStr"/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I71" t="inlineStr"/>
      <c r="BJ71" t="inlineStr"/>
      <c r="BK71" t="n">
        <v>41</v>
      </c>
      <c r="BL71" t="n">
        <v>31</v>
      </c>
      <c r="BM71" t="n">
        <v>0</v>
      </c>
      <c r="BN71" t="n">
        <v>649.7707912743634</v>
      </c>
      <c r="BO71" t="inlineStr"/>
      <c r="BP71" t="inlineStr"/>
      <c r="BQ71" t="inlineStr"/>
      <c r="BR71" t="inlineStr"/>
      <c r="BS71" t="b">
        <v>0</v>
      </c>
      <c r="BT71" t="inlineStr"/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t="inlineStr">
        <is>
          <t>2024-06-19</t>
        </is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t="inlineStr">
        <is>
          <t>2024-06-29 11:00:00</t>
        </is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P72" t="inlineStr"/>
      <c r="AQ72" t="inlineStr"/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T72" t="inlineStr"/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S73" t="inlineStr"/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t="inlineStr">
        <is>
          <t>2024-03-18</t>
        </is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t="inlineStr">
        <is>
          <t>2024-03-30 01:00:00</t>
        </is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T73" t="inlineStr"/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S74" t="inlineStr"/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t="inlineStr">
        <is>
          <t>2024-05-01</t>
        </is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t="inlineStr">
        <is>
          <t>2024-05-08 13:00:00</t>
        </is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T74" t="inlineStr"/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S75" t="inlineStr"/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t="inlineStr">
        <is>
          <t>2024-02-27</t>
        </is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t="inlineStr">
        <is>
          <t>2024-03-02 08:00:00</t>
        </is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R75" t="inlineStr"/>
      <c r="BS75" t="b">
        <v>0</v>
      </c>
      <c r="BT75" t="inlineStr"/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S76" t="inlineStr"/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t="inlineStr">
        <is>
          <t>2024-05-06</t>
        </is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J76" t="inlineStr"/>
      <c r="AK76" t="inlineStr"/>
      <c r="AL76" t="inlineStr"/>
      <c r="AM76" t="inlineStr">
        <is>
          <t>2024-05-14 01:00:00</t>
        </is>
      </c>
      <c r="AN76" t="inlineStr">
        <is>
          <t>2024-05-13</t>
        </is>
      </c>
      <c r="AO76" t="n">
        <v>0</v>
      </c>
      <c r="AP76" t="inlineStr"/>
      <c r="AQ76" t="inlineStr"/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I76" t="inlineStr"/>
      <c r="BJ76" t="inlineStr"/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Q76" t="inlineStr"/>
      <c r="BR76" t="inlineStr"/>
      <c r="BS76" t="b">
        <v>0</v>
      </c>
      <c r="BT76" t="inlineStr"/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S77" t="inlineStr"/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t="inlineStr">
        <is>
          <t>2024-01-28</t>
        </is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J77" t="inlineStr"/>
      <c r="AK77" t="inlineStr"/>
      <c r="AL77" t="inlineStr"/>
      <c r="AM77" t="inlineStr">
        <is>
          <t>2024-02-06 02:00:00</t>
        </is>
      </c>
      <c r="AN77" t="inlineStr">
        <is>
          <t>2024-03-08</t>
        </is>
      </c>
      <c r="AO77" t="n">
        <v>0</v>
      </c>
      <c r="AP77" t="inlineStr"/>
      <c r="AQ77" t="inlineStr"/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I77" t="inlineStr"/>
      <c r="BJ77" t="inlineStr"/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Q77" t="inlineStr"/>
      <c r="BR77" t="inlineStr">
        <is>
          <t>TC-2743</t>
        </is>
      </c>
      <c r="BS77" t="b">
        <v>0</v>
      </c>
      <c r="BT77" t="inlineStr"/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S78" t="inlineStr"/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t="inlineStr">
        <is>
          <t>2024-04-28</t>
        </is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t="inlineStr">
        <is>
          <t>2024-05-07 15:00:00</t>
        </is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R78" t="inlineStr"/>
      <c r="BS78" t="b">
        <v>0</v>
      </c>
      <c r="BT78" t="inlineStr"/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S79" t="inlineStr"/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t="inlineStr">
        <is>
          <t>2024-05-09</t>
        </is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L79" t="inlineStr"/>
      <c r="AM79" t="inlineStr">
        <is>
          <t>2024-05-16 15:00:00</t>
        </is>
      </c>
      <c r="AN79" t="inlineStr">
        <is>
          <t>2024-06-01</t>
        </is>
      </c>
      <c r="AO79" t="n">
        <v>0</v>
      </c>
      <c r="AP79" t="inlineStr"/>
      <c r="AQ79" t="inlineStr"/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I79" t="inlineStr"/>
      <c r="BJ79" t="inlineStr"/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Q79" t="inlineStr"/>
      <c r="BR79" t="inlineStr">
        <is>
          <t>TC-9317</t>
        </is>
      </c>
      <c r="BS79" t="b">
        <v>0</v>
      </c>
      <c r="BT79" t="inlineStr"/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t="inlineStr">
        <is>
          <t>2024-03-04</t>
        </is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t="inlineStr">
        <is>
          <t>2024-03-15 11:00:00</t>
        </is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R80" t="inlineStr"/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t="inlineStr">
        <is>
          <t>2024-03-26</t>
        </is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t="inlineStr">
        <is>
          <t>2024-04-01 06:00:00</t>
        </is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T81" t="inlineStr"/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S82" t="inlineStr"/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t="inlineStr">
        <is>
          <t>2024-04-16</t>
        </is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t="inlineStr">
        <is>
          <t>2024-04-26 00:00:00</t>
        </is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P82" t="inlineStr"/>
      <c r="AQ82" t="inlineStr"/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T82" t="inlineStr"/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Y83" t="inlineStr"/>
      <c r="Z83" t="inlineStr"/>
      <c r="AA83" t="inlineStr"/>
      <c r="AB83" t="inlineStr"/>
      <c r="AC83" t="inlineStr">
        <is>
          <t>2024-05-27</t>
        </is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H83" t="inlineStr"/>
      <c r="AI83" t="inlineStr"/>
      <c r="AJ83" t="inlineStr"/>
      <c r="AK83" t="inlineStr"/>
      <c r="AL83" t="inlineStr"/>
      <c r="AM83" t="inlineStr">
        <is>
          <t>2024-05-28 19:00:00</t>
        </is>
      </c>
      <c r="AN83" t="inlineStr">
        <is>
          <t>2024-06-25</t>
        </is>
      </c>
      <c r="AO83" t="n">
        <v>0</v>
      </c>
      <c r="AP83" t="inlineStr"/>
      <c r="AQ83" t="inlineStr"/>
      <c r="AR83" t="inlineStr">
        <is>
          <t>Active</t>
        </is>
      </c>
      <c r="AS83" t="n">
        <v>6</v>
      </c>
      <c r="AT83" t="n">
        <v>16</v>
      </c>
      <c r="AU83" t="n">
        <v>2</v>
      </c>
      <c r="AV83" t="inlineStr"/>
      <c r="AW83" t="inlineStr"/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I83" t="inlineStr"/>
      <c r="BJ83" t="inlineStr"/>
      <c r="BK83" t="n">
        <v>41</v>
      </c>
      <c r="BL83" t="n">
        <v>18</v>
      </c>
      <c r="BM83" t="n">
        <v>0</v>
      </c>
      <c r="BN83" t="n">
        <v>577.7707912757407</v>
      </c>
      <c r="BO83" t="inlineStr"/>
      <c r="BP83" t="inlineStr"/>
      <c r="BQ83" t="inlineStr"/>
      <c r="BR83" t="inlineStr"/>
      <c r="BS83" t="b">
        <v>0</v>
      </c>
      <c r="BT83" t="inlineStr"/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S84" t="inlineStr"/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Y84" t="inlineStr"/>
      <c r="Z84" t="inlineStr"/>
      <c r="AA84" t="inlineStr"/>
      <c r="AB84" t="inlineStr"/>
      <c r="AC84" t="inlineStr">
        <is>
          <t>2024-03-17</t>
        </is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H84" t="inlineStr"/>
      <c r="AI84" t="inlineStr"/>
      <c r="AJ84" t="inlineStr"/>
      <c r="AK84" t="inlineStr"/>
      <c r="AL84" t="inlineStr"/>
      <c r="AM84" t="inlineStr">
        <is>
          <t>2024-03-21 13:00:00</t>
        </is>
      </c>
      <c r="AN84" t="inlineStr">
        <is>
          <t>2024-05-10</t>
        </is>
      </c>
      <c r="AO84" t="n">
        <v>0</v>
      </c>
      <c r="AP84" t="inlineStr"/>
      <c r="AQ84" t="inlineStr"/>
      <c r="AR84" t="inlineStr">
        <is>
          <t>Active</t>
        </is>
      </c>
      <c r="AS84" t="n">
        <v>3</v>
      </c>
      <c r="AT84" t="n">
        <v>14</v>
      </c>
      <c r="AU84" t="n">
        <v>70</v>
      </c>
      <c r="AV84" t="inlineStr"/>
      <c r="AW84" t="inlineStr"/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I84" t="inlineStr"/>
      <c r="BJ84" t="inlineStr"/>
      <c r="BK84" t="n">
        <v>39</v>
      </c>
      <c r="BL84" t="n">
        <v>84</v>
      </c>
      <c r="BM84" t="n">
        <v>0</v>
      </c>
      <c r="BN84" t="n">
        <v>648.7707912758565</v>
      </c>
      <c r="BO84" t="inlineStr"/>
      <c r="BP84" t="inlineStr"/>
      <c r="BQ84" t="inlineStr"/>
      <c r="BR84" t="inlineStr">
        <is>
          <t>TC-9005</t>
        </is>
      </c>
      <c r="BS84" t="b">
        <v>0</v>
      </c>
      <c r="BT84" t="inlineStr"/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S85" t="inlineStr"/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Y85" t="inlineStr"/>
      <c r="Z85" t="inlineStr"/>
      <c r="AA85" t="inlineStr"/>
      <c r="AB85" t="inlineStr"/>
      <c r="AC85" t="inlineStr">
        <is>
          <t>2024-05-19</t>
        </is>
      </c>
      <c r="AD85" t="inlineStr">
        <is>
          <t>2024-05-20 15:00:00</t>
        </is>
      </c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>
        <is>
          <t>2024-05-20 15:00:00</t>
        </is>
      </c>
      <c r="AN85" t="inlineStr">
        <is>
          <t>2024-06-09</t>
        </is>
      </c>
      <c r="AO85" t="n">
        <v>0</v>
      </c>
      <c r="AP85" t="inlineStr"/>
      <c r="AQ85" t="inlineStr"/>
      <c r="AR85" t="inlineStr">
        <is>
          <t>Open</t>
        </is>
      </c>
      <c r="AS85" t="n">
        <v>4</v>
      </c>
      <c r="AT85" t="inlineStr"/>
      <c r="AU85" t="inlineStr"/>
      <c r="AV85" t="inlineStr"/>
      <c r="AW85" t="inlineStr"/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I85" t="inlineStr"/>
      <c r="BJ85" t="inlineStr"/>
      <c r="BK85" t="inlineStr"/>
      <c r="BL85" t="n">
        <v>0</v>
      </c>
      <c r="BM85" t="n">
        <v>0</v>
      </c>
      <c r="BN85" t="n">
        <v>585.7707912759606</v>
      </c>
      <c r="BO85" t="inlineStr"/>
      <c r="BP85" t="inlineStr"/>
      <c r="BQ85" t="inlineStr"/>
      <c r="BR85" t="inlineStr">
        <is>
          <t>TC-6947</t>
        </is>
      </c>
      <c r="BS85" t="b">
        <v>0</v>
      </c>
      <c r="BT85" t="inlineStr"/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S86" t="inlineStr"/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t="inlineStr">
        <is>
          <t>2024-05-04</t>
        </is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L86" t="inlineStr"/>
      <c r="AM86" t="inlineStr">
        <is>
          <t>2024-05-11 02:00:00</t>
        </is>
      </c>
      <c r="AN86" t="inlineStr">
        <is>
          <t>2024-06-01</t>
        </is>
      </c>
      <c r="AO86" t="n">
        <v>0</v>
      </c>
      <c r="AP86" t="inlineStr"/>
      <c r="AQ86" t="inlineStr"/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I86" t="inlineStr"/>
      <c r="BJ86" t="inlineStr"/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Q86" t="inlineStr"/>
      <c r="BR86" t="inlineStr"/>
      <c r="BS86" t="b">
        <v>0</v>
      </c>
      <c r="BT86" t="inlineStr"/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Y87" t="inlineStr"/>
      <c r="Z87" t="inlineStr"/>
      <c r="AA87" t="inlineStr"/>
      <c r="AB87" t="inlineStr"/>
      <c r="AC87" t="inlineStr">
        <is>
          <t>2024-06-20</t>
        </is>
      </c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>
        <is>
          <t>2024-06-20 00:00:00</t>
        </is>
      </c>
      <c r="AN87" t="inlineStr">
        <is>
          <t>2024-08-09</t>
        </is>
      </c>
      <c r="AO87" t="n">
        <v>0</v>
      </c>
      <c r="AP87" t="inlineStr"/>
      <c r="AQ87" t="inlineStr"/>
      <c r="AR87" t="inlineStr"/>
      <c r="AS87" t="n">
        <v>2</v>
      </c>
      <c r="AT87" t="inlineStr"/>
      <c r="AU87" t="inlineStr"/>
      <c r="AV87" t="inlineStr"/>
      <c r="AW87" t="inlineStr"/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I87" t="inlineStr"/>
      <c r="BJ87" t="inlineStr"/>
      <c r="BK87" t="inlineStr"/>
      <c r="BL87" t="n">
        <v>0</v>
      </c>
      <c r="BM87" t="n">
        <v>0</v>
      </c>
      <c r="BN87" t="n">
        <v>553.7707912761805</v>
      </c>
      <c r="BO87" t="inlineStr"/>
      <c r="BP87" t="inlineStr"/>
      <c r="BQ87" t="inlineStr"/>
      <c r="BR87" t="inlineStr"/>
      <c r="BS87" t="b">
        <v>0</v>
      </c>
      <c r="BT87" t="inlineStr"/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S88" t="inlineStr"/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t="inlineStr">
        <is>
          <t>2024-04-13</t>
        </is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J88" t="inlineStr"/>
      <c r="AK88" t="inlineStr"/>
      <c r="AL88" t="inlineStr"/>
      <c r="AM88" t="inlineStr">
        <is>
          <t>2024-04-20 13:00:00</t>
        </is>
      </c>
      <c r="AN88" t="inlineStr">
        <is>
          <t>2024-05-24</t>
        </is>
      </c>
      <c r="AO88" t="n">
        <v>0</v>
      </c>
      <c r="AP88" t="inlineStr"/>
      <c r="AQ88" t="inlineStr"/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I88" t="inlineStr"/>
      <c r="BJ88" t="inlineStr"/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Q88" t="inlineStr"/>
      <c r="BR88" t="inlineStr">
        <is>
          <t>TC-1949</t>
        </is>
      </c>
      <c r="BS88" t="b">
        <v>0</v>
      </c>
      <c r="BT88" t="inlineStr"/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S89" t="inlineStr"/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t="inlineStr">
        <is>
          <t>2024-01-07</t>
        </is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J89" t="inlineStr"/>
      <c r="AK89" t="inlineStr"/>
      <c r="AL89" t="inlineStr"/>
      <c r="AM89" t="inlineStr">
        <is>
          <t>2024-01-11 17:00:00</t>
        </is>
      </c>
      <c r="AN89" t="inlineStr">
        <is>
          <t>2024-02-10</t>
        </is>
      </c>
      <c r="AO89" t="n">
        <v>0</v>
      </c>
      <c r="AP89" t="inlineStr"/>
      <c r="AQ89" t="inlineStr"/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I89" t="inlineStr"/>
      <c r="BJ89" t="inlineStr"/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Q89" t="inlineStr"/>
      <c r="BR89" t="inlineStr">
        <is>
          <t>TC-2290</t>
        </is>
      </c>
      <c r="BS89" t="b">
        <v>0</v>
      </c>
      <c r="BT89" t="inlineStr"/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Y90" t="inlineStr"/>
      <c r="Z90" t="inlineStr"/>
      <c r="AA90" t="inlineStr"/>
      <c r="AB90" t="inlineStr"/>
      <c r="AC90" t="inlineStr">
        <is>
          <t>2024-02-04</t>
        </is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H90" t="inlineStr"/>
      <c r="AI90" t="inlineStr"/>
      <c r="AJ90" t="inlineStr"/>
      <c r="AK90" t="inlineStr"/>
      <c r="AL90" t="inlineStr"/>
      <c r="AM90" t="inlineStr">
        <is>
          <t>2024-02-05 20:00:00</t>
        </is>
      </c>
      <c r="AN90" t="inlineStr">
        <is>
          <t>2024-02-27</t>
        </is>
      </c>
      <c r="AO90" t="n">
        <v>0</v>
      </c>
      <c r="AP90" t="inlineStr"/>
      <c r="AQ90" t="inlineStr"/>
      <c r="AR90" t="inlineStr">
        <is>
          <t>Active</t>
        </is>
      </c>
      <c r="AS90" t="n">
        <v>6</v>
      </c>
      <c r="AT90" t="n">
        <v>6</v>
      </c>
      <c r="AU90" t="n">
        <v>8</v>
      </c>
      <c r="AV90" t="inlineStr"/>
      <c r="AW90" t="inlineStr"/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I90" t="inlineStr"/>
      <c r="BJ90" t="inlineStr"/>
      <c r="BK90" t="n">
        <v>36</v>
      </c>
      <c r="BL90" t="n">
        <v>14</v>
      </c>
      <c r="BM90" t="n">
        <v>0</v>
      </c>
      <c r="BN90" t="n">
        <v>690.7707912765162</v>
      </c>
      <c r="BO90" t="inlineStr"/>
      <c r="BP90" t="inlineStr"/>
      <c r="BQ90" t="inlineStr"/>
      <c r="BR90" t="inlineStr">
        <is>
          <t>TC-8962</t>
        </is>
      </c>
      <c r="BS90" t="b">
        <v>0</v>
      </c>
      <c r="BT90" t="inlineStr"/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t="inlineStr">
        <is>
          <t>2024-04-07</t>
        </is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L91" t="inlineStr"/>
      <c r="AM91" t="inlineStr">
        <is>
          <t>2024-04-14 08:00:00</t>
        </is>
      </c>
      <c r="AN91" t="inlineStr">
        <is>
          <t>2024-05-01</t>
        </is>
      </c>
      <c r="AO91" t="n">
        <v>0</v>
      </c>
      <c r="AP91" t="inlineStr"/>
      <c r="AQ91" t="inlineStr"/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I91" t="inlineStr"/>
      <c r="BJ91" t="inlineStr"/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Q91" t="inlineStr"/>
      <c r="BR91" t="inlineStr"/>
      <c r="BS91" t="b">
        <v>0</v>
      </c>
      <c r="BT91" t="inlineStr"/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Y92" t="inlineStr"/>
      <c r="Z92" t="inlineStr"/>
      <c r="AA92" t="inlineStr"/>
      <c r="AB92" t="inlineStr"/>
      <c r="AC92" t="inlineStr">
        <is>
          <t>2024-04-17</t>
        </is>
      </c>
      <c r="AD92" t="inlineStr"/>
      <c r="AE92" t="inlineStr"/>
      <c r="AF92" t="inlineStr"/>
      <c r="AG92" t="inlineStr"/>
      <c r="AH92" t="inlineStr"/>
      <c r="AI92" t="inlineStr"/>
      <c r="AJ92" t="inlineStr"/>
      <c r="AK92" t="inlineStr"/>
      <c r="AL92" t="inlineStr"/>
      <c r="AM92" t="inlineStr">
        <is>
          <t>2024-04-17 00:00:00</t>
        </is>
      </c>
      <c r="AN92" t="inlineStr">
        <is>
          <t>2024-05-10</t>
        </is>
      </c>
      <c r="AO92" t="n">
        <v>0</v>
      </c>
      <c r="AP92" t="inlineStr"/>
      <c r="AQ92" t="inlineStr"/>
      <c r="AR92" t="inlineStr"/>
      <c r="AS92" t="n">
        <v>3</v>
      </c>
      <c r="AT92" t="inlineStr"/>
      <c r="AU92" t="inlineStr"/>
      <c r="AV92" t="inlineStr"/>
      <c r="AW92" t="inlineStr"/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I92" t="inlineStr"/>
      <c r="BJ92" t="inlineStr"/>
      <c r="BK92" t="inlineStr"/>
      <c r="BL92" t="n">
        <v>0</v>
      </c>
      <c r="BM92" t="n">
        <v>0</v>
      </c>
      <c r="BN92" t="n">
        <v>617.7707912767361</v>
      </c>
      <c r="BO92" t="inlineStr"/>
      <c r="BP92" t="inlineStr"/>
      <c r="BQ92" t="inlineStr"/>
      <c r="BR92" t="inlineStr"/>
      <c r="BS92" t="b">
        <v>0</v>
      </c>
      <c r="BT92" t="inlineStr"/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S93" t="inlineStr"/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Y93" t="inlineStr"/>
      <c r="Z93" t="inlineStr"/>
      <c r="AA93" t="inlineStr"/>
      <c r="AB93" t="inlineStr"/>
      <c r="AC93" t="inlineStr">
        <is>
          <t>2024-01-21</t>
        </is>
      </c>
      <c r="AD93" t="inlineStr"/>
      <c r="AE93" t="inlineStr"/>
      <c r="AF93" t="inlineStr"/>
      <c r="AG93" t="inlineStr"/>
      <c r="AH93" t="inlineStr"/>
      <c r="AI93" t="inlineStr"/>
      <c r="AJ93" t="inlineStr"/>
      <c r="AK93" t="inlineStr"/>
      <c r="AL93" t="inlineStr"/>
      <c r="AM93" t="inlineStr">
        <is>
          <t>2024-01-21 00:00:00</t>
        </is>
      </c>
      <c r="AN93" t="inlineStr">
        <is>
          <t>2024-02-27</t>
        </is>
      </c>
      <c r="AO93" t="n">
        <v>0</v>
      </c>
      <c r="AP93" t="inlineStr"/>
      <c r="AQ93" t="inlineStr"/>
      <c r="AR93" t="inlineStr"/>
      <c r="AS93" t="n">
        <v>3</v>
      </c>
      <c r="AT93" t="inlineStr"/>
      <c r="AU93" t="inlineStr"/>
      <c r="AV93" t="inlineStr"/>
      <c r="AW93" t="inlineStr"/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I93" t="inlineStr"/>
      <c r="BJ93" t="inlineStr"/>
      <c r="BK93" t="inlineStr"/>
      <c r="BL93" t="n">
        <v>0</v>
      </c>
      <c r="BM93" t="n">
        <v>0</v>
      </c>
      <c r="BN93" t="n">
        <v>704.7707912768403</v>
      </c>
      <c r="BO93" t="inlineStr"/>
      <c r="BP93" t="inlineStr"/>
      <c r="BQ93" t="inlineStr"/>
      <c r="BR93" t="inlineStr">
        <is>
          <t>TC-3060</t>
        </is>
      </c>
      <c r="BS93" t="b">
        <v>0</v>
      </c>
      <c r="BT93" t="inlineStr"/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S94" t="inlineStr"/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t="inlineStr">
        <is>
          <t>2024-01-05</t>
        </is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t="inlineStr">
        <is>
          <t>2024-01-13 18:00:00</t>
        </is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P94" t="inlineStr"/>
      <c r="AQ94" t="inlineStr"/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T94" t="inlineStr"/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S95" t="inlineStr"/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Y95" t="inlineStr"/>
      <c r="Z95" t="inlineStr"/>
      <c r="AA95" t="inlineStr"/>
      <c r="AB95" t="inlineStr"/>
      <c r="AC95" t="inlineStr">
        <is>
          <t>2024-03-04</t>
        </is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H95" t="inlineStr"/>
      <c r="AI95" t="inlineStr"/>
      <c r="AJ95" t="inlineStr"/>
      <c r="AK95" t="inlineStr"/>
      <c r="AL95" t="inlineStr"/>
      <c r="AM95" t="inlineStr">
        <is>
          <t>2024-03-05 11:00:00</t>
        </is>
      </c>
      <c r="AN95" t="inlineStr">
        <is>
          <t>2024-03-26</t>
        </is>
      </c>
      <c r="AO95" t="n">
        <v>0</v>
      </c>
      <c r="AP95" t="inlineStr"/>
      <c r="AQ95" t="inlineStr"/>
      <c r="AR95" t="inlineStr">
        <is>
          <t>Active</t>
        </is>
      </c>
      <c r="AS95" t="n">
        <v>4</v>
      </c>
      <c r="AT95" t="n">
        <v>1</v>
      </c>
      <c r="AU95" t="n">
        <v>21</v>
      </c>
      <c r="AV95" t="inlineStr"/>
      <c r="AW95" t="inlineStr"/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I95" t="inlineStr"/>
      <c r="BJ95" t="inlineStr"/>
      <c r="BK95" t="n">
        <v>14</v>
      </c>
      <c r="BL95" t="n">
        <v>22</v>
      </c>
      <c r="BM95" t="n">
        <v>0</v>
      </c>
      <c r="BN95" t="n">
        <v>661.7707912770602</v>
      </c>
      <c r="BO95" t="inlineStr"/>
      <c r="BP95" t="inlineStr"/>
      <c r="BQ95" t="inlineStr"/>
      <c r="BR95" t="inlineStr"/>
      <c r="BS95" t="b">
        <v>0</v>
      </c>
      <c r="BT95" t="inlineStr"/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Y96" t="inlineStr"/>
      <c r="Z96" t="inlineStr"/>
      <c r="AA96" t="inlineStr"/>
      <c r="AB96" t="inlineStr"/>
      <c r="AC96" t="inlineStr">
        <is>
          <t>2024-02-02</t>
        </is>
      </c>
      <c r="AD96" t="inlineStr">
        <is>
          <t>2024-02-03 07:00:00</t>
        </is>
      </c>
      <c r="AE96" t="inlineStr"/>
      <c r="AF96" t="inlineStr"/>
      <c r="AG96" t="inlineStr"/>
      <c r="AH96" t="inlineStr"/>
      <c r="AI96" t="inlineStr"/>
      <c r="AJ96" t="inlineStr"/>
      <c r="AK96" t="inlineStr"/>
      <c r="AL96" t="inlineStr"/>
      <c r="AM96" t="inlineStr">
        <is>
          <t>2024-02-03 07:00:00</t>
        </is>
      </c>
      <c r="AN96" t="inlineStr">
        <is>
          <t>2024-03-22</t>
        </is>
      </c>
      <c r="AO96" t="n">
        <v>0</v>
      </c>
      <c r="AP96" t="inlineStr"/>
      <c r="AQ96" t="inlineStr"/>
      <c r="AR96" t="inlineStr">
        <is>
          <t>Open</t>
        </is>
      </c>
      <c r="AS96" t="n">
        <v>2</v>
      </c>
      <c r="AT96" t="inlineStr"/>
      <c r="AU96" t="inlineStr"/>
      <c r="AV96" t="inlineStr"/>
      <c r="AW96" t="inlineStr"/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I96" t="inlineStr"/>
      <c r="BJ96" t="inlineStr"/>
      <c r="BK96" t="inlineStr"/>
      <c r="BL96" t="n">
        <v>0</v>
      </c>
      <c r="BM96" t="n">
        <v>0</v>
      </c>
      <c r="BN96" t="n">
        <v>692.7707912771643</v>
      </c>
      <c r="BO96" t="inlineStr"/>
      <c r="BP96" t="inlineStr"/>
      <c r="BQ96" t="inlineStr"/>
      <c r="BR96" t="inlineStr">
        <is>
          <t>TC-9645</t>
        </is>
      </c>
      <c r="BS96" t="b">
        <v>0</v>
      </c>
      <c r="BT96" t="inlineStr"/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S97" t="inlineStr"/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t="inlineStr">
        <is>
          <t>2024-01-30</t>
        </is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J97" t="inlineStr"/>
      <c r="AK97" t="inlineStr"/>
      <c r="AL97" t="inlineStr"/>
      <c r="AM97" t="inlineStr">
        <is>
          <t>2024-02-08 06:00:00</t>
        </is>
      </c>
      <c r="AN97" t="inlineStr">
        <is>
          <t>2024-03-26</t>
        </is>
      </c>
      <c r="AO97" t="n">
        <v>0</v>
      </c>
      <c r="AP97" t="inlineStr"/>
      <c r="AQ97" t="inlineStr"/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I97" t="inlineStr"/>
      <c r="BJ97" t="inlineStr"/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Q97" t="inlineStr"/>
      <c r="BR97" t="inlineStr"/>
      <c r="BS97" t="b">
        <v>0</v>
      </c>
      <c r="BT97" t="inlineStr"/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S98" t="inlineStr"/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t="inlineStr">
        <is>
          <t>2024-04-04</t>
        </is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t="inlineStr">
        <is>
          <t>2024-04-13 03:00:00</t>
        </is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S99" t="inlineStr"/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Y99" t="inlineStr"/>
      <c r="Z99" t="inlineStr"/>
      <c r="AA99" t="inlineStr"/>
      <c r="AB99" t="inlineStr"/>
      <c r="AC99" t="inlineStr">
        <is>
          <t>2024-04-06</t>
        </is>
      </c>
      <c r="AD99" t="inlineStr">
        <is>
          <t>2024-04-07 02:00:00</t>
        </is>
      </c>
      <c r="AE99" t="inlineStr">
        <is>
          <t>2024-04-08 01:00:00</t>
        </is>
      </c>
      <c r="AF99" t="inlineStr"/>
      <c r="AG99" t="inlineStr"/>
      <c r="AH99" t="inlineStr"/>
      <c r="AI99" t="inlineStr"/>
      <c r="AJ99" t="inlineStr"/>
      <c r="AK99" t="inlineStr"/>
      <c r="AL99" t="inlineStr"/>
      <c r="AM99" t="inlineStr">
        <is>
          <t>2024-04-08 01:00:00</t>
        </is>
      </c>
      <c r="AN99" t="inlineStr">
        <is>
          <t>2024-04-25</t>
        </is>
      </c>
      <c r="AO99" t="n">
        <v>0</v>
      </c>
      <c r="AP99" t="inlineStr"/>
      <c r="AQ99" t="inlineStr"/>
      <c r="AR99" t="inlineStr">
        <is>
          <t>Triage</t>
        </is>
      </c>
      <c r="AS99" t="n">
        <v>5</v>
      </c>
      <c r="AT99" t="n">
        <v>23</v>
      </c>
      <c r="AU99" t="inlineStr"/>
      <c r="AV99" t="inlineStr"/>
      <c r="AW99" t="inlineStr"/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I99" t="inlineStr"/>
      <c r="BJ99" t="inlineStr"/>
      <c r="BK99" t="n">
        <v>49</v>
      </c>
      <c r="BL99" t="n">
        <v>23</v>
      </c>
      <c r="BM99" t="n">
        <v>0</v>
      </c>
      <c r="BN99" t="n">
        <v>628.7707912774885</v>
      </c>
      <c r="BO99" t="inlineStr"/>
      <c r="BP99" t="inlineStr"/>
      <c r="BQ99" t="inlineStr"/>
      <c r="BR99" t="inlineStr"/>
      <c r="BS99" t="b">
        <v>0</v>
      </c>
      <c r="BT99" t="inlineStr"/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S100" t="inlineStr"/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t="inlineStr">
        <is>
          <t>2024-01-20</t>
        </is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L100" t="inlineStr"/>
      <c r="AM100" t="inlineStr">
        <is>
          <t>2024-01-27 06:00:00</t>
        </is>
      </c>
      <c r="AN100" t="inlineStr">
        <is>
          <t>2024-03-10</t>
        </is>
      </c>
      <c r="AO100" t="n">
        <v>0</v>
      </c>
      <c r="AP100" t="inlineStr"/>
      <c r="AQ100" t="inlineStr"/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I100" t="inlineStr"/>
      <c r="BJ100" t="inlineStr"/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Q100" t="inlineStr"/>
      <c r="BR100" t="inlineStr"/>
      <c r="BS100" t="b">
        <v>0</v>
      </c>
      <c r="BT100" t="inlineStr"/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S101" t="inlineStr"/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Y101" t="inlineStr"/>
      <c r="Z101" t="inlineStr"/>
      <c r="AA101" t="inlineStr"/>
      <c r="AB101" t="inlineStr"/>
      <c r="AC101" t="inlineStr">
        <is>
          <t>2024-06-02</t>
        </is>
      </c>
      <c r="AD101" t="inlineStr">
        <is>
          <t>2024-06-02 08:00:00</t>
        </is>
      </c>
      <c r="AE101" t="inlineStr"/>
      <c r="AF101" t="inlineStr"/>
      <c r="AG101" t="inlineStr"/>
      <c r="AH101" t="inlineStr"/>
      <c r="AI101" t="inlineStr"/>
      <c r="AJ101" t="inlineStr"/>
      <c r="AK101" t="inlineStr"/>
      <c r="AL101" t="inlineStr"/>
      <c r="AM101" t="inlineStr">
        <is>
          <t>2024-06-02 08:00:00</t>
        </is>
      </c>
      <c r="AN101" t="inlineStr">
        <is>
          <t>2024-07-29</t>
        </is>
      </c>
      <c r="AO101" t="n">
        <v>0</v>
      </c>
      <c r="AP101" t="inlineStr"/>
      <c r="AQ101" t="inlineStr"/>
      <c r="AR101" t="inlineStr">
        <is>
          <t>Open</t>
        </is>
      </c>
      <c r="AS101" t="n">
        <v>1</v>
      </c>
      <c r="AT101" t="inlineStr"/>
      <c r="AU101" t="inlineStr"/>
      <c r="AV101" t="inlineStr"/>
      <c r="AW101" t="inlineStr"/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I101" t="inlineStr"/>
      <c r="BJ101" t="inlineStr"/>
      <c r="BK101" t="inlineStr"/>
      <c r="BL101" t="n">
        <v>0</v>
      </c>
      <c r="BM101" t="n">
        <v>0</v>
      </c>
      <c r="BN101" t="n">
        <v>571.7707912777083</v>
      </c>
      <c r="BO101" t="inlineStr"/>
      <c r="BP101" t="inlineStr"/>
      <c r="BQ101" t="inlineStr"/>
      <c r="BR101" t="inlineStr"/>
      <c r="BS101" t="b">
        <v>0</v>
      </c>
      <c r="BT101" t="inlineStr"/>
      <c r="BU101" t="n">
        <v>0</v>
      </c>
      <c r="BV10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2" customWidth="1" min="3" max="3"/>
    <col width="50" customWidth="1" min="4" max="4"/>
    <col width="50" customWidth="1" min="5" max="5"/>
  </cols>
  <sheetData>
    <row r="1">
      <c r="A1" s="5" t="inlineStr">
        <is>
          <t>Code</t>
        </is>
      </c>
      <c r="B1" s="5" t="inlineStr">
        <is>
          <t>Metric_Name</t>
        </is>
      </c>
      <c r="C1" s="5" t="inlineStr">
        <is>
          <t>Value</t>
        </is>
      </c>
      <c r="D1" s="5" t="inlineStr">
        <is>
          <t>Formula_Text</t>
        </is>
      </c>
      <c r="E1" s="5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>
        <f>SUM('Bugs'[BusinessImpact])</f>
        <v/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>
        <f>AVERAGE('Bugs'[BusinessImpact])</f>
        <v/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>
        <f>CALCULATE(COUNTA(raw_data!A:A)-1, 'Bugs'[BusinessImpact] &gt; 10000)</f>
        <v/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>
        <f>SWITCH(TRUE(),
        [V23_Security_Bugs] &gt; 10, "High",
        [V23_Security_Bugs] &gt; 5, "Medium",
        "Low"
    )</f>
        <v/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>
        <f>CALCULATE(COUNTA(raw_data!A:A)-1, 'Bugs'[Category] = "Compliance")</f>
        <v/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>
        <f>CALCULATE(COUNTA(raw_data!A:A)-1, 'Bugs'[Category] = "Data Loss")</f>
        <v/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>
        <f>CALCULATE(
        COUNTA(raw_data!A:A)-1,
        raw_data!D:D = "Critical",
        'Bugs'[BusinessImpact] &gt; 0
    )</f>
        <v/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>
        <f>[J18_Project_Cost_of_Quality]</f>
        <v/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>
        <f>AVERAGEX(
        VALUES(raw_data!D:D),
        CALCULATE(AVERAGE('Bugs'[BusinessImpact]))
    )</f>
        <v/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>
        <f>SUM('Bugs'[BusinessImpact])</f>
        <v/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>
        <f>AVERAGEX(
        VALUES('Bugs'[ModuleName]),
        CALCULATE(SUM('Bugs'[BusinessImpact]))
    )</f>
        <v/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>
        <f>CALCULATE(
        SUM('Bugs'[BusinessImpact]),
        raw_data!D:D IN {"Critical", "High"}
    )</f>
        <v/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>
        <f>CALCULATE(
        SUM('Bugs'[BusinessImpact]),
        'Bugs'[Tags] CONTAINS "Production"
    )</f>
        <v/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>
        <f>CALCULATE(
        SUM('Bugs'[BusinessImpact]),
        raw_data!I:I = TRUE
    )</f>
        <v/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>
        <f>([B15_Total_Business_Impact] * 0.4) +
    ([B19_Escaped_Bug_Impact] * 0.35) +
    ([B17_High_Severity_Impact] * 0.25)</f>
        <v/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>
        <f>AVERAGE('Bugs'[TotalEffortHrs]) * 100</f>
        <v/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>
        <f>CALCULATE(
        SUM('Bugs'[BusinessImpact]),
        'Bugs'[Category] = "Security"
    )</f>
        <v/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>
        <f>CALCULATE(
        SUM('Bugs'[BusinessImpact]),
        'Bugs'[Category] = "Performance"
    )</f>
        <v/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>
        <f>CALCULATE(
        SUM('Bugs'[TotalEffortHrs]),
        'Bugs'[Category] = "Compliance"
    ) * 100</f>
        <v/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>
        <f>CALCULATE(
        SUM('Bugs'[BusinessImpact]),
        ALLEXCEPT('Bugs', raw_data!E:E)
    )</f>
        <v/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>
        <f>[V22_Customer_Reported_Bugs]</f>
        <v/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>
        <f>DIVIDE([C01_Customer_Reported_Bugs], [V01_Total_Bugs], 0)</f>
        <v/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>
        <f>AVERAGEX(
        FILTER('Bugs', raw_data!I:I = TRUE),
        'Bugs'[ResponseTimeHrs]
    )</f>
        <v/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>
        <f>AVERAGEX(
        FILTER('Bugs', raw_data!I:I = TRUE),
        'Bugs'[LeadTimeHrs]
    )</f>
        <v/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>
        <f>CALCULATE(
        COUNTA(raw_data!A:A)-1,
        raw_data!I:I = TRUE,
        raw_data!D:D = "Critical"
    )</f>
        <v/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>
        <f>CALCULATE(
        COUNTA(raw_data!A:A)-1,
        raw_data!I:I = TRUE,
        raw_data!D:D = "High"
    )</f>
        <v/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>
        <f>1 - ([C02_Customer_Bug_Rate] * 0.4 + [Q01_Escape_Rate] * 0.6)</f>
        <v/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>
        <f>([C05_Customer_Critical_Bugs] * 10) +
    ([C06_Customer_High_Bugs] * 5) +
    ([C01_Customer_Reported_Bugs] * 1)</f>
        <v/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>
        <f>Complex formula (see DAX reference)</f>
        <v/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>
        <f>DIVIDE(
        CALCULATE(COUNTA(raw_data!A:A)-1, raw_data!AM:AM &gt; 0, raw_data!I:I = TRUE),
        [C01_Customer_Reported_Bugs],
        0
    )</f>
        <v/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>
        <f>AVERAGEX(
        FILTER('Bugs', raw_data!I:I = TRUE),
        'Bugs'[TotalEffortHrs]
    )</f>
        <v/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>
        <f>DIVIDE(
        CALCULATE(COUNTA(raw_data!A:A)-1, raw_data!E:E = "P0", raw_data!I:I = TRUE),
        [C01_Customer_Reported_Bugs],
        0
    )</f>
        <v/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>
        <f>([C07_Customer_Satisfaction_Index] * 0.4) +
    ((1 - [C10_Customer_Reopen_Rate]) * 0.3) +
    ([C09_SLA_Compliance_Rate] * 0.3)</f>
        <v/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>
        <f>DIVIDE(
        CALCULATE(COUNTA(raw_data!A:A)-1, raw_data!F:F IN {"Resolved", "Done", "Closed"}, raw_data!I:I = TRUE),
        [C01_Customer_Reported_Bugs],
        0
    )</f>
        <v/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>
        <f>CALCULATE(
        COUNTA(raw_data!A:A)-1,
        raw_data!F:F NOT IN {"Resolved", "Done", "Closed"},
        raw_data!I:I = TRUE
    )</f>
        <v/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>
        <f>AVERAGEX(
        FILTER('Bugs', raw_data!I:I = TRUE),
        'Bugs'[WaitTimeHrs]
    )</f>
        <v/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>
        <f>Complex formula (see DAX reference)</f>
        <v/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>
        <f>AVERAGEX(
        FILTER('Bugs', raw_data!I:I = TRUE &amp;&amp; raw_data!E:E = "P0"),
        'Bugs'[ResponseTimeHrs]
    )</f>
        <v/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>
        <f>COUNTIF(raw_data!BR:BR,"By Design")</f>
        <v/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>
        <f>COUNTIF(raw_data!BR:BR,"Cannot Reproduce")</f>
        <v/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>
        <f>COUNTIF(raw_data!BR:BR,"Completed")</f>
        <v/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>
        <f>COUNTIF(raw_data!BR:BR,"Duplicate")</f>
        <v/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>
        <f>COUNTIF(raw_data!BR:BR,"Invalid")</f>
        <v/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>
        <f>COUNTIF(raw_data!BR:BR,"Obsolete")</f>
        <v/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>
        <f>COUNTIF(raw_data!BR:BR,"Won't Fix")</f>
        <v/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>
        <f>DIVIDE(
        COUNTA(raw_data!A:A)-1,
        CALCULATE(COUNTA(raw_data!A:A)-1, ALL('Bugs'[CloseReason])),
        0
    )</f>
        <v/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>
        <f>CR02_Cannot_Reproduce_Count/V09_Closed_Bugs*100</f>
        <v/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>
        <f>CR04_Duplicate_Count/V09_Closed_Bugs*100</f>
        <v/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>
        <f>DIVIDE(
        [CR05_Invalid_Count],
        [V09_Closed_Bugs],
        0
    )</f>
        <v/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>
        <f>CR03_Completed_Count/V09_Closed_Bugs*100</f>
        <v/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>
        <f>DIVIDE(
        [CR01_By_Design_Count],
        [V09_Closed_Bugs],
        0
    )</f>
        <v/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>
        <f>DIVIDE(
        [CR07_Wont_Fix_Count],
        [V09_Closed_Bugs],
        0
    )</f>
        <v/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>
        <f>DIVIDE(
        [CR03_Completed_Count],
        [V09_Closed_Bugs] - [CR04_Duplicate_Count] - [CR05_Invalid_Count],
        0
    )</f>
        <v/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>
        <f>SUM(raw_data!BA:BA)</f>
        <v/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>
        <f>AVERAGE(raw_data!BA:BA)</f>
        <v/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>
        <f>MEDIAN(raw_data!BA:BA)</f>
        <v/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>
        <f>SUM(raw_data!AX:AX)</f>
        <v/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>
        <f>SUM(raw_data!AZ:AZ)</f>
        <v/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>
        <f>SUM(raw_data!AW:AW)</f>
        <v/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>
        <f>SUM(raw_data!AY:AY)</f>
        <v/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>
        <f>SUM('Bugs'[ReopenEffortHrs])</f>
        <v/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>
        <f>AVERAGE(raw_data!AX:AX)</f>
        <v/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>
        <f>AVERAGE(raw_data!AZ:AZ)</f>
        <v/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>
        <f>AVERAGE('Bugs'[AnalysisEffortHrs])</f>
        <v/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>
        <f>AVERAGE('Bugs'[FixEffortHrs])</f>
        <v/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>
        <f>E04_Total_Dev_Effort/E01_Total_Effort*100</f>
        <v/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>
        <f>E05_Total_Test_Effort/E01_Total_Effort*100</f>
        <v/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>
        <f>DIVIDE([E06_Total_Analysis_Effort], [E01_Total_Effort], 0)</f>
        <v/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>
        <f>DIVIDE([E07_Total_Fix_Effort], [E01_Total_Effort], 0)</f>
        <v/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>
        <f>DIVIDE([E08_Total_Reopen_Effort], [E01_Total_Effort], 0)</f>
        <v/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>
        <f>CALCULATE(
        SUM('Bugs'[TotalEffortHrs]),
        raw_data!D:D = "Critical"
    )</f>
        <v/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>
        <f>CALCULATE(
        SUM('Bugs'[TotalEffortHrs]),
        raw_data!D:D = "High"
    )</f>
        <v/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>
        <f>CALCULATE(
        SUM('Bugs'[TotalEffortHrs]),
        raw_data!I:I = TRUE
    )</f>
        <v/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>
        <f>AVERAGEX(
        'Bugs',
        'Bugs'[TotalEffortHrs] - 'Bugs'[EstimatedEffortHrs]
    )</f>
        <v/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>
        <f>DIVIDE(
        [E21_Effort_Variance],
        AVERAGE('Bugs'[EstimatedEffortHrs]),
        0
    )</f>
        <v/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>
        <f>1 - ABS([E22_Effort_Variance_Pct])</f>
        <v/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>
        <f>DIVIDE(
        [E18_Critical_Bugs_Effort],
        CALCULATE(COUNTA(raw_data!A:A)-1, raw_data!D:D = "Critical"),
        0
    )</f>
        <v/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>
        <f>DIVIDE(
        [E19_High_Bugs_Effort],
        CALCULATE(COUNTA(raw_data!A:A)-1, raw_data!D:D = "High"),
        0
    )</f>
        <v/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>
        <f>[E08_Total_Reopen_Effort]</f>
        <v/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>
        <f>V01_Total_Bugs</f>
        <v/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>
        <f>[Q14_Bug_Density]</f>
        <v/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>
        <f>[J02_Project_Bug_Density]</f>
        <v/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>
        <f>[Q15_Critical_Bug_Density]</f>
        <v/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>
        <f>Q01_Escape_Rate</f>
        <v/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>
        <f>[Q03_Reopen_Rate]</f>
        <v/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>
        <f>Q13_Quality_Index</f>
        <v/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>
        <f>T01_Avg_Lead_Time</f>
        <v/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>
        <f>[T03_Avg_Cycle_Time]</f>
        <v/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>
        <f>[E01_Total_Effort]</f>
        <v/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>
        <f>AVERAGEX(
        'Bugs',
        DATEDIFF('Bugs'[DueDate], 'Bugs'[ClosedDate], DAY)
    )</f>
        <v/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>
        <f>[E21_Effort_Variance]</f>
        <v/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>
        <f>Complex formula (see DAX reference)</f>
        <v/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>
        <f>[V12_Escaped_Bugs]</f>
        <v/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>
        <f>[V13_Regression_Bugs]</f>
        <v/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>
        <f>([J07_Project_Quality_Index] * 0.4) +
    ([J13_Project_On_Time_Delivery_Rate] * 0.3) +
    ((1 - [J05_Project_Escape_Rate]) * 0.3)</f>
        <v/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>
        <f>DIVIDE(
        [S02_Sprint_Completed_Bugs],
        [J10_Project_Total_Effort],
        0
    )</f>
        <v/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>
        <f>[E08_Total_Reopen_Effort] + [E20_Escaped_Bugs_Effort]</f>
        <v/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>
        <f>DIVIDE([E08_Total_Reopen_Effort], [E01_Total_Effort], 0)</f>
        <v/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>
        <f>1 - [J19_Project_Rework_Rate]</f>
        <v/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>
        <f>V01_Total_Bugs/COUNTA(UNIQUE(raw_data!W:W))</f>
        <v/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>
        <f>DIVIDE(
        CALCULATE(COUNTA(raw_data!A:A)-1, raw_data!F:F IN {"Resolved", "Done", "Closed"}),
        DISTINCTCOUNT('Bugs'[AssigneeName]),
        0
    )</f>
        <v/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>
        <f>DIVIDE(
        CALCULATE(COUNTA(raw_data!A:A)-1, raw_data!AM:AM &gt; 0),
        COUNTA(raw_data!A:A)-1,
        0
    )</f>
        <v/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>
        <f>AVERAGE('Bugs'[FixEffortHrs])</f>
        <v/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>
        <f>SUM('Bugs'[TotalEffortHrs])</f>
        <v/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>
        <f>DIVIDE(
        CALCULATE(COUNTA(raw_data!A:A)-1, raw_data!F:F IN {"Resolved", "Done", "Closed"}),
        [P05_Developer_Workload_Hours],
        0
    )</f>
        <v/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>
        <f>([P06_Developer_Efficiency] * 0.4) +
    ((1 - [P03_Reopen_Rate_by_Developer]) * 0.3) +
    ([P02_Avg_Resolution_Rate] * 0.3)</f>
        <v/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>
        <f>DIVIDE(
        CALCULATE(COUNTA(raw_data!A:A)-1, 'Bugs'[IsDuplicate] = FALSE &amp;&amp; 'Bugs'[CloseReason] != "Invalid"),
        COUNTA(raw_data!A:A)-1,
        0
    )</f>
        <v/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>
        <f>DIVIDE(
        CALCULATE(COUNTA(raw_data!A:A)-1, 'Bugs'[RetestFailCount] &gt; 0),
        CALCULATE(COUNTA(raw_data!A:A)-1, NOT(ISBLANK('Bugs'[VerifierName]))),
        0
    )</f>
        <v/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>
        <f>V01_Total_Bugs/COUNTA(UNIQUE(raw_data!L:L))</f>
        <v/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>
        <f>[T01_Avg_Lead_Time]</f>
        <v/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>
        <f>([Q05_Fix_Success_Rate] * 0.35) +
    ((1 - [Q01_Escape_Rate]) * 0.35) +
    ([Q12_Testing_Effectiveness] * 0.30)</f>
        <v/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>
        <f>V12_Escaped_Bugs/V01_Total_Bugs*100</f>
        <v/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>
        <f>V13_Regression_Bugs/V01_Total_Bugs*100</f>
        <v/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>
        <f>V10_Reopened_Bugs/V09_Closed_Bugs*100</f>
        <v/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>
        <f>DIVIDE([V11_Multi_Reopened_Bugs], [V09_Closed_Bugs], 0)</f>
        <v/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>
        <f>(1-Q03_Reopen_Rate/100)*100</f>
        <v/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>
        <f>DIVIDE(
        CALCULATE(COUNTA(raw_data!A:A)-1, 'Bugs'[FixAttempts] = 1),
        CALCULATE(COUNTA(raw_data!A:A)-1, NOT(ISBLANK('Bugs'[FixAttempts]))),
        0
    )</f>
        <v/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>
        <f>V35_Duplicate_Bugs/V01_Total_Bugs*100</f>
        <v/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>
        <f>V14_Critical_Bugs/V01_Total_Bugs*100</f>
        <v/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>
        <f>DIVIDE([V15_High_Severity_Bugs], [V01_Total_Bugs], 0)</f>
        <v/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>
        <f>(V01_Total_Bugs-V12_Escaped_Bugs)/V01_Total_Bugs*100</f>
        <v/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>
        <f>[Q10_Defect_Detection_Effectiveness_DDE]</f>
        <v/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>
        <f>DIVIDE(
        CALCULATE(COUNTA(raw_data!A:A)-1, raw_data!F:F IN {"Resolved", "Done", "Closed"}),
        [V01_Total_Bugs],
        0
    )</f>
        <v/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>
        <f>(Q05_Fix_Success_Rate*0.4+Q10_Defect_Detection_Effectiveness_DDE*0.3+(100-Q01_Escape_Rate)*0.3)</f>
        <v/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>
        <f>DIVIDE(
        [V01_Total_Bugs],
        1000,
        0
    )</f>
        <v/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>
        <f>DIVIDE(
        [V14_Critical_Bugs],
        1000,
        0
    )</f>
        <v/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>
        <f>DIVIDE([V23_Security_Bugs], [V01_Total_Bugs], 0)</f>
        <v/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>
        <f>DIVIDE([V24_Performance_Bugs], [V01_Total_Bugs], 0)</f>
        <v/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>
        <f>DIVIDE(
        [V13_Regression_Bugs],
        CALCULATE(COUNTA(raw_data!A:A)-1, raw_data!F:F IN {"Resolved", "Done", "Closed"}),
        0
    )</f>
        <v/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>
        <f>DIVIDE(
        CALCULATE(COUNTA(raw_data!A:A)-1, NOT(ISBLANK('Bugs'[RootCause]))),
        [V01_Total_Bugs],
        0
    )</f>
        <v/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>
        <f>DIVIDE(
        [V12_Escaped_Bugs],
        [V01_Total_Bugs] - [V12_Escaped_Bugs],
        0
    )</f>
        <v/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>
        <f>DIVIDE(
        CALCULATE(COUNTA(raw_data!A:A)-1, NOT(ISBLANK('Bugs'[TestCaseID]))),
        [V01_Total_Bugs],
        0
    )</f>
        <v/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>
        <f>AVERAGE(raw_data!AM:AM)</f>
        <v/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>
        <f>AVERAGE('Bugs'[RiskScore])</f>
        <v/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>
        <f>CALCULATE(COUNTA(raw_data!A:A)-1, 'Bugs'[RiskScore] &gt; 7)</f>
        <v/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>
        <f>CALCULATE(COUNTA(raw_data!A:A)-1, 'Bugs'[RiskScore] &gt;= 4 &amp;&amp; 'Bugs'[RiskScore] &lt;= 7)</f>
        <v/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>
        <f>CALCULATE(COUNTA(raw_data!A:A)-1, 'Bugs'[RiskScore] &lt; 4)</f>
        <v/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>
        <f>DIVIDE(
        COUNTA(raw_data!A:A)-1,
        CALCULATE(COUNTA(raw_data!A:A)-1, ALL('Bugs'[RiskScore])),
        0
    )</f>
        <v/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>
        <f>CALCULATE(
        COUNTA(raw_data!A:A)-1,
        'Bugs'[RiskScore] &gt; 8,
        raw_data!D:D = "Critical"
    )</f>
        <v/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>
        <f>CALCULATE(
        COUNTA(raw_data!A:A)-1,
        'Bugs'[EscapeProbability] &gt; 0.7
    )</f>
        <v/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>
        <f>CALCULATE(
        COUNTA(raw_data!A:A)-1,
        'Bugs'[RecurrenceProbability] &gt; 0.5
    )</f>
        <v/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>
        <f>SUMX(
        FILTER('Bugs', raw_data!F:F = "Open"),
        'Bugs'[RiskScore]
    )</f>
        <v/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>
        <f>VAR ActualEscapes = [V12_Escaped_Bugs]
    VAR PredictedEscapes = [R07_Predicted_Escapes]
    RETURN DIVIDE(ABS(ActualEscapes - PredictedEscapes), ActualEscapes, 0)</f>
        <v/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>
        <f>AVERAGEX(
        VALUES('Bugs'[ModuleName]),
        CALCULATE(AVERAGE('Bugs'[RiskScore]))
    )</f>
        <v/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>
        <f>AVERAGEX(
        VALUES('Bugs'[TeamName]),
        CALCULATE(AVERAGE('Bugs'[RiskScore]))
    )</f>
        <v/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>
        <f>VAR CurrentRisk = [R01_Overall_Risk_Score]
    VAR PreviousRisk = CALCULATE([R01_Overall_Risk_Score], DATEADD('Date'[Date], -1, MONTH))
    RETURN CurrentRisk - PreviousRisk</f>
        <v/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>
        <f>CALCULATE(
        COUNTA(raw_data!A:A)-1,
        'Bugs'[RiskScore] &gt; 7,
        raw_data!D:D = "Critical"
    )</f>
        <v/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>
        <f>DIVIDE(
        [R16_High_Risk_Critical_Bugs],
        [V01_Total_Bugs],
        0
    )</f>
        <v/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>
        <f>Complex formula (see DAX reference)</f>
        <v/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>
        <f>CALCULATE(COUNTA(raw_data!A:A)-1, 'Bugs'[IsAnomaly] = TRUE)</f>
        <v/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>
        <f>([R01_Overall_Risk_Score] * 0.3) +
    ([V14_Critical_Bugs] * 0.25) +
    ([V12_Escaped_Bugs] * 0.25) +
    ([T18_Avg_Age_Days] * 0.20)</f>
        <v/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>
        <f>AVERAGEX(
        FILTER('Bugs', 'Bugs'[RiskScore] &gt; 7),
        'Bugs'[AgeDays]
    )</f>
        <v/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>
        <f>VAR CurrentVelocity = [S01_Sprint_Velocity]
    VAR RiskFactor = [R01_Overall_Risk_Score] / 10
    RETURN CurrentVelocity * (1 - RiskFactor)</f>
        <v/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>
        <f>VAR AvgBugsPerSprint = AVERAGEX(VALUES('Sprint'[SprintID]), [S09_Sprint_Inflow])
    VAR Trend = [TR04_Bug_Trend_7Days]
    RETURN AvgBugsPerSprint * (1 + Trend)</f>
        <v/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>
        <f>DIVIDE(
        [R02_High_Risk_Bugs],
        CALCULATE([R02_High_Risk_Bugs], DATEADD('Date'[Date], -7, DAY)),
        0
    ) - 1</f>
        <v/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>
        <f>CALCULATE(
        SUM('Bugs'[RiskScore]),
        'Bugs'[IsBlocking] = TRUE
    )</f>
        <v/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>
        <f>V01_Total_Bugs/COUNTA(UNIQUE(raw_data!P:P))</f>
        <v/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>
        <f>COUNTIFS(raw_data!F:F,"Done")+COUNTIFS(raw_data!F:F,"Closed")</f>
        <v/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>
        <f>CALCULATE(
        COUNTA(raw_data!A:A)-1,
        raw_data!F:F NOT IN {"Resolved", "Done", "Closed"}
    )</f>
        <v/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>
        <f>DIVIDE([S03_Sprint_Carryover], [S01_Sprint_Velocity], 0)</f>
        <v/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>
        <f>S02_Sprint_Completed_Bugs/V01_Total_Bugs*100</f>
        <v/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>
        <f>[T03_Avg_Cycle_Time]</f>
        <v/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>
        <f>CALCULATE(
        COUNTA(raw_data!A:A)-1,
        'Bugs'[CreatedDate] &gt;= EARLIER('Sprint'[StartDate]) &amp;&amp;
        'Bugs'[CreatedDate] &lt;= EARLIER('Sprint'[EndDate])
    )</f>
        <v/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>
        <f>[S02_Sprint_Completed_Bugs]</f>
        <v/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>
        <f>[S03_Sprint_Carryover]</f>
        <v/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>
        <f>ABS([S09_Sprint_Inflow] - [S01_Sprint_Velocity])</f>
        <v/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>
        <f>DIVIDE(
        [S01_Sprint_Velocity] - [S12_Sprint_Scope_Change],
        [S01_Sprint_Velocity],
        0
    )</f>
        <v/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>
        <f>[S02_Sprint_Completed_Bugs]</f>
        <v/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>
        <f>[T01_Avg_Lead_Time]</f>
        <v/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>
        <f>[S05_Sprint_Completion_Rate]</f>
        <v/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>
        <f>[Q13_Quality_Index]</f>
        <v/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>
        <f>[Q14_Bug_Density]</f>
        <v/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>
        <f>AVERAGE(raw_data!AQ:AQ)</f>
        <v/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>
        <f>MEDIAN(raw_data!AQ:AQ)</f>
        <v/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>
        <f>MAX(raw_data!AQ:AQ)</f>
        <v/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>
        <f>COUNTIFS(raw_data!F:F,"Triage",raw_data!AQ:AQ,"&gt;24")</f>
        <v/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>
        <f>AVERAGE(raw_data!AR:AR)</f>
        <v/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>
        <f>AVERAGE(raw_data!AS:AS)</f>
        <v/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>
        <f>MEDIAN(raw_data!AS:AS)</f>
        <v/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>
        <f>AVERAGE(raw_data!AT:AT)</f>
        <v/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>
        <f>MEDIAN(raw_data!AT:AT)</f>
        <v/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>
        <f>COUNTIFS(raw_data!F:F,"Ready for Retest",raw_data!AT:AT,"&gt;48")</f>
        <v/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>
        <f>AVERAGE(raw_data!AP:AP)</f>
        <v/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>
        <f>COUNTIF(raw_data!AP:AP,"&gt;8")</f>
        <v/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>
        <f>COUNTIF(raw_data!AP:AP,"&lt;=4")</f>
        <v/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>
        <f>COUNTIFS(raw_data!AQ:AQ,"&lt;=4")/COUNTA(raw_data!AQ:AQ)*100</f>
        <v/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>
        <f>COUNTIF(raw_data!BW:BW,0)/V09_Closed_Bugs*100</f>
        <v/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>
        <f>DIVIDE(
        [V45_Completed_Bugs],
        [V45_Completed_Bugs] + CALCULATE(COUNTA(raw_data!A:A)-1, 'Bugs'[RetestFailCount] &gt; 0),
        0
    )</f>
        <v/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>
        <f>DIVIDE(
        CALCULATE(COUNTA(raw_data!A:A)-1, 'Bugs'[PreviousState] &gt; raw_data!F:F),
        COUNTA(raw_data!A:A)-1,
        0
    )</f>
        <v/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>
        <f>AVERAGEX(
        FILTER('Bugs', NOT(ISBLANK('Bugs'[TriageDate]))),
        DATEDIFF('Bugs'[CreatedDate], 'Bugs'[TriageDate], HOUR)
    )</f>
        <v/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>
        <f>AVERAGEX(
        FILTER('Bugs', NOT(ISBLANK('Bugs'[TriageDate])) &amp;&amp; raw_data!F:F != "Triage"),
        DATEDIFF('Bugs'[TriageDate], 'Bugs'[AssignedDate], HOUR)
    )</f>
        <v/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>
        <f>AVERAGEX(
        FILTER('Bugs', NOT(ISBLANK('Bugs'[InProgressDate]))),
        DATEDIFF('Bugs'[AssignedDate], 'Bugs'[InProgressDate], HOUR)
    )</f>
        <v/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>
        <f>AVERAGEX(
        FILTER('Bugs', NOT(ISBLANK('Bugs'[ReadyForRetestDate]))),
        DATEDIFF('Bugs'[InProgressDate], 'Bugs'[ReadyForRetestDate], HOUR)
    )</f>
        <v/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>
        <f>AVERAGEX(
        FILTER('Bugs', NOT(ISBLANK('Bugs'[DoneDate]))),
        DATEDIFF('Bugs'[ReadyForRetestDate], 'Bugs'[DoneDate], HOUR)
    )</f>
        <v/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>
        <f>AVERAGEX(
        FILTER('Bugs', NOT(ISBLANK('Bugs'[ClosedDate])) &amp;&amp; NOT(ISBLANK('Bugs'[DoneDate]))),
        DATEDIFF('Bugs'[DoneDate], 'Bugs'[ClosedDate], HOUR)
    )</f>
        <v/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>
        <f>Complex formula (see DAX reference)</f>
        <v/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>
        <f>DIVIDE(
        [SF06_Avg_InProgress_Duration],
        [SF05_Avg_Active_Duration] + [SF06_Avg_InProgress_Duration] + [SF08_Avg_ReadyForRetest_Duration],
        0
    )</f>
        <v/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>
        <f>DIVIDE(
        SUM('Bugs'[StateTransitionCount]),
        DISTINCTCOUNT('Bugs'[BugID]),
        0
    )</f>
        <v/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>
        <f>CALCULATE(
        COUNTA(raw_data!A:A)-1,
        ALLEXCEPT('Bugs', raw_data!F:F)
    )</f>
        <v/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>
        <f>DIVIDE(
        [SF27_Bugs_by_Current_State],
        [V01_Total_Bugs],
        0
    )</f>
        <v/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>
        <f>CALCULATE(
        COUNTA(raw_data!A:A)-1,
        raw_data!F:F = "Triage",
        raw_data!D:D = "Critical"
    )</f>
        <v/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>
        <f>AVERAGEX(
        FILTER('Bugs', NOT(ISBLANK('Bugs'[InProgressDate]))),
        DATEDIFF('Bugs'[CreatedDate], 'Bugs'[InProgressDate], HOUR)
    )</f>
        <v/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>
        <f>AVERAGE(raw_data!BD:BD)</f>
        <v/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>
        <f>MEDIAN(raw_data!BD:BD)</f>
        <v/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>
        <f>AVERAGE(raw_data!BE:BE)</f>
        <v/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>
        <f>MEDIAN(raw_data!BE:BE)</f>
        <v/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>
        <f>PERCENTILE(raw_data!BE:BE,0.75)</f>
        <v/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>
        <f>PERCENTILEX.INC('Bugs', 'Bugs'[CycleTimeHrs], 0.90)</f>
        <v/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>
        <f>PERCENTILEX.INC('Bugs', 'Bugs'[LeadTimeHrs], 0.95)</f>
        <v/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>
        <f>MAX(raw_data!BD:BD)</f>
        <v/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>
        <f>MAX('Bugs'[CycleTimeHrs])</f>
        <v/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>
        <f>MIN(raw_data!BD:BD)</f>
        <v/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>
        <f>AVERAGEX(
        FILTER('Bugs', NOT(ISBLANK('Bugs'[ResolvedDate]))),
        DATEDIFF('Bugs'[CreatedDate], 'Bugs'[ResolvedDate], HOUR)
    )</f>
        <v/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>
        <f>AVERAGEX(
        FILTER('Bugs', NOT(ISBLANK('Bugs'[ClosedDate]))),
        DATEDIFF('Bugs'[CreatedDate], 'Bugs'[ClosedDate], HOUR)
    )</f>
        <v/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>
        <f>AVERAGE(raw_data!BF:BF)</f>
        <v/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>
        <f>AVERAGE('Bugs'[FixEffortHrs])</f>
        <v/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>
        <f>AVERAGEX(
        FILTER('Bugs', NOT(ISBLANK('Bugs'[VerifiedDate])) &amp;&amp; NOT(ISBLANK('Bugs'[ResolvedDate]))),
        DATEDIFF('Bugs'[ResolvedDate], 'Bugs'[VerifiedDate], HOUR)
    )</f>
        <v/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>
        <f>AVERAGE(raw_data!BG:BG)</f>
        <v/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>
        <f>AVERAGE(raw_data!BH:BH)</f>
        <v/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>
        <f>AVERAGE(raw_data!BI:BI)</f>
        <v/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>
        <f>COUNTIF(raw_data!BI:BI,"&gt;7")</f>
        <v/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>
        <f>COUNTIF(raw_data!BI:BI,"&gt;14")</f>
        <v/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>
        <f>COUNTIF(raw_data!BI:BI,"&gt;30")</f>
        <v/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>
        <f>COUNTIF(raw_data!BI:BI,"&gt;60")</f>
        <v/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>
        <f>CALCULATE(COUNTA(raw_data!A:A)-1, 'Bugs'[AgeDays] &gt; 90)</f>
        <v/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>
        <f>AVERAGEX(
        FILTER('Bugs', raw_data!AM:AM &gt; 0),
        DATEDIFF('Bugs'[ClosedDate], 'Bugs'[FirstReopenDate], HOUR)
    )</f>
        <v/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>
        <f>AVERAGEX(
        FILTER('Bugs', raw_data!F:F = "Open"),
        DATEDIFF('Bugs'[CreatedDate], TODAY(), DAY)
    )</f>
        <v/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>
        <f>T17_Avg_Active_Work_Time/T01_Avg_Lead_Time*100</f>
        <v/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>
        <f>AVERAGEX(
        'Bugs',
        DATEDIFF('Bugs'[LastModifiedDate], TODAY(), DAY)
    )</f>
        <v/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>
        <f>CALCULATE(COUNTA(raw_data!A:A)-1, DATEDIFF('Bugs'[LastModifiedDate], TODAY(), DAY) &gt; 30)</f>
        <v/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>
        <f>CALCULATE(COUNTA(raw_data!A:A)-1, DATEDIFF('Bugs'[LastModifiedDate], TODAY(), DAY) &lt;= 7)</f>
        <v/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>
        <f>0</f>
        <v/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>
        <f>0</f>
        <v/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>
        <f>VAR Current = [Q01_Escape_Rate]
    VAR Previous = CALCULATE([Q01_Escape_Rate], DATEADD('Date'[Date], -1, MONTH))
    RETURN Current - Previous</f>
        <v/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>
        <f>0</f>
        <v/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>
        <f>CALCULATE(
        AVERAGEX(
            DATESINPERIOD('Date'[Date], MAX('Date'[Date]), -7, DAY),
            [V01_Total_Bugs]
        )
    )</f>
        <v/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>
        <f>CALCULATE(
        AVERAGEX(
            DATESINPERIOD('Date'[Date], MAX('Date'[Date]), -30, DAY),
            [V01_Total_Bugs]
        )
    )</f>
        <v/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>
        <f>VAR Current = [V14_Critical_Bugs]
    VAR Previous = CALCULATE([V14_Critical_Bugs], DATEADD('Date'[Date], -1, MONTH))
    RETURN DIVIDE(Current - Previous, Previous, 0)</f>
        <v/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>
        <f>VAR Current = [Q03_Reopen_Rate]
    VAR Previous = CALCULATE([Q03_Reopen_Rate], DATEADD('Date'[Date], -1, MONTH))
    RETURN Current - Previous</f>
        <v/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>
        <f>VAR Current = [T01_Avg_Lead_Time]
    VAR Previous = CALCULATE([T01_Avg_Lead_Time], DATEADD('Date'[Date], -1, MONTH))
    RETURN DIVIDE(Current - Previous, Previous, 0)</f>
        <v/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>
        <f>VAR Current = [S01_Sprint_Velocity]
    VAR Previous = CALCULATE([S01_Sprint_Velocity], DATEADD('Date'[Date], -1, MONTH))
    RETURN DIVIDE(Current - Previous, Previous, 0)</f>
        <v/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>
        <f>VAR Current = [E01_Total_Effort]
    VAR Previous = CALCULATE([E01_Total_Effort], DATEADD('Date'[Date], -1, MONTH))
    RETURN DIVIDE(Current - Previous, Previous, 0)</f>
        <v/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>
        <f>AVERAGEX(
        VALUES('Bugs'[ModuleName]),
        CALCULATE([V01_Total_Bugs])
    )</f>
        <v/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>
        <f>AVERAGEX(
        VALUES('Bugs'[TeamName]),
        CALCULATE([V01_Total_Bugs])
    )</f>
        <v/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>
        <f>Complex formula (see DAX reference)</f>
        <v/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>
        <f>VAR CurrentQuarter = [V01_Total_Bugs]
    VAR PreviousQuarter = CALCULATE([V01_Total_Bugs], DATEADD('Date'[Date], -1, QUARTER))
    RETURN DIVIDE(CurrentQuarter - PreviousQuarter, PreviousQuarter, 0)</f>
        <v/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>
        <f>COUNTA(raw_data!A:A)-1</f>
        <v/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>
        <f>COUNTIFS(raw_data!F:F,"Open",raw_data!F:F,"Triage",raw_data!F:F,"Active",raw_data!F:F,"In Progress",raw_data!F:F,"Ready for Retest")</f>
        <v/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>
        <f>COUNTIF(raw_data!F:F,"Triage")</f>
        <v/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>
        <f>COUNTIF(raw_data!F:F,"Active")</f>
        <v/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>
        <f>COUNTIF(raw_data!F:F,"In Progress")</f>
        <v/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>
        <f>COUNTIF(raw_data!F:F,"Ready for Retest")</f>
        <v/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>
        <f>COUNTIF(raw_data!F:F,"Resolved")</f>
        <v/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>
        <f>COUNTIF(raw_data!F:F,"Done")</f>
        <v/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>
        <f>COUNTIF(raw_data!F:F,"Closed")</f>
        <v/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>
        <f>COUNTIF(raw_data!AM:AM,"&gt;0")</f>
        <v/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>
        <f>COUNTIF(raw_data!AM:AM,"&gt;1")</f>
        <v/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>
        <f>COUNTIF(raw_data!I:I,TRUE)</f>
        <v/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>
        <f>COUNTIF(raw_data!H:H,TRUE)</f>
        <v/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>
        <f>COUNTIF(raw_data!D:D,"Critical")</f>
        <v/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>
        <f>COUNTIF(raw_data!D:D,"High")</f>
        <v/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>
        <f>COUNTIF(raw_data!D:D,"Medium")</f>
        <v/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>
        <f>COUNTIF(raw_data!D:D,"Low")</f>
        <v/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>
        <f>COUNTIF(raw_data!E:E,"P0")</f>
        <v/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>
        <f>COUNTIF(raw_data!E:E,"P1")</f>
        <v/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>
        <f>COUNTIF(raw_data!E:E,"P2")</f>
        <v/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>
        <f>CALCULATE(COUNTA(raw_data!A:A)-1, 'Bugs'[IsBlocking] = TRUE)</f>
        <v/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>
        <f>V12_Escaped_Bugs</f>
        <v/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>
        <f>COUNTIF(raw_data!G:G,"Security")</f>
        <v/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>
        <f>COUNTIF(raw_data!G:G,"Performance")</f>
        <v/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>
        <f>COUNTIF(raw_data!G:G,"UI")</f>
        <v/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>
        <f>CALCULATE(COUNTA(raw_data!A:A)-1, 'Bugs'[Category] = "Functional")</f>
        <v/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>
        <f>CALCULATE(COUNTA(raw_data!A:A)-1, 'Bugs'[Category] = "Data")</f>
        <v/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>
        <f>COUNTA(raw_data!A:A)-1</f>
        <v/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>
        <f>COUNTA(raw_data!A:A)-1</f>
        <v/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>
        <f>COUNTA(raw_data!A:A)-1</f>
        <v/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>
        <f>COUNTA(raw_data!A:A)-1</f>
        <v/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>
        <f>COUNTA(raw_data!A:A)-1</f>
        <v/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>
        <f>COUNTA(raw_data!A:A)-1</f>
        <v/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>
        <f>COUNTA(raw_data!A:A)-1</f>
        <v/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>
        <f>COUNTIF(raw_data!BT:BT,TRUE)</f>
        <v/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>
        <f>COUNTIF(raw_data!BR:BR,"Won't Fix")</f>
        <v/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>
        <f>COUNTIF(raw_data!BR:BR,"Cannot Reproduce")</f>
        <v/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>
        <f>COUNTIF(raw_data!BQ:BQ,"Fixed")</f>
        <v/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>
        <f>CALCULATE(COUNTA(raw_data!A:A)-1, 'Bugs'[Tags] CONTAINS "Production")</f>
        <v/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>
        <f>CALCULATE(COUNTA(raw_data!A:A)-1, 'Bugs'[Tags] CONTAINS "QA")</f>
        <v/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>
        <f>CALCULATE(COUNTA(raw_data!A:A)-1, raw_data!F:F = "Open")</f>
        <v/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>
        <f>[V41_Backlog_Bugs]</f>
        <v/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>
        <f>COUNTIF(raw_data!BR:BR,"Invalid")</f>
        <v/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>
        <f>COUNTIF(raw_data!BR:BR,"Obsolete")</f>
        <v/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>
        <f>COUNTIF(raw_data!BR:BR,"Completed")</f>
        <v/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50" customWidth="1" min="3" max="3"/>
  </cols>
  <sheetData>
    <row r="1">
      <c r="A1" s="6" t="inlineStr">
        <is>
          <t>TOP 20 KEY METRICS</t>
        </is>
      </c>
    </row>
    <row r="2">
      <c r="A2" s="4" t="inlineStr">
        <is>
          <t>Metric</t>
        </is>
      </c>
      <c r="B2" s="4" t="inlineStr">
        <is>
          <t>Value</t>
        </is>
      </c>
      <c r="C2" s="4" t="inlineStr">
        <is>
          <t>Description</t>
        </is>
      </c>
    </row>
    <row r="3">
      <c r="A3" t="inlineStr">
        <is>
          <t>B03_Revenue_at_Risk</t>
        </is>
      </c>
      <c r="B3" t="n">
        <v>0</v>
      </c>
      <c r="C3" t="inlineStr">
        <is>
          <t>Auto-generated from MD: Revenue at Risk</t>
        </is>
      </c>
    </row>
    <row r="4">
      <c r="A4" t="inlineStr">
        <is>
          <t>B04_Avg_Revenue_Impact_per_Bug</t>
        </is>
      </c>
      <c r="B4" t="n">
        <v>0</v>
      </c>
      <c r="C4" t="inlineStr">
        <is>
          <t>Auto-generated from MD: Avg Revenue Impact per Bug</t>
        </is>
      </c>
    </row>
    <row r="5">
      <c r="A5" t="inlineStr">
        <is>
          <t>B05_High_Impact_Bugs</t>
        </is>
      </c>
      <c r="B5" t="n">
        <v>0</v>
      </c>
      <c r="C5" t="inlineStr">
        <is>
          <t>Auto-generated from MD: High Impact Bugs</t>
        </is>
      </c>
    </row>
    <row r="6">
      <c r="A6" t="inlineStr">
        <is>
          <t>B09_Security_Risk_Level</t>
        </is>
      </c>
      <c r="B6" t="n">
        <v>0</v>
      </c>
      <c r="C6" t="inlineStr">
        <is>
          <t>Auto-generated from MD: Security Risk Level</t>
        </is>
      </c>
    </row>
    <row r="7">
      <c r="A7" t="inlineStr">
        <is>
          <t>B10_Compliance_Risk_Bugs</t>
        </is>
      </c>
      <c r="B7" t="n">
        <v>0</v>
      </c>
      <c r="C7" t="inlineStr">
        <is>
          <t>Auto-generated from MD: Compliance Risk Bugs</t>
        </is>
      </c>
    </row>
    <row r="8">
      <c r="A8" t="inlineStr">
        <is>
          <t>B11_Data_Loss_Risk_Bugs</t>
        </is>
      </c>
      <c r="B8" t="n">
        <v>0</v>
      </c>
      <c r="C8" t="inlineStr">
        <is>
          <t>Auto-generated from MD: Data Loss Risk Bugs</t>
        </is>
      </c>
    </row>
    <row r="9">
      <c r="A9" t="inlineStr">
        <is>
          <t>B12_Critical_Business_Impact_Bugs</t>
        </is>
      </c>
      <c r="B9" t="n">
        <v>0</v>
      </c>
      <c r="C9" t="inlineStr">
        <is>
          <t>Auto-generated from MD: Critical Business Impact Bugs</t>
        </is>
      </c>
    </row>
    <row r="10">
      <c r="A10" t="inlineStr">
        <is>
          <t>B13_Cost_of_Poor_Quality</t>
        </is>
      </c>
      <c r="B10" t="n">
        <v>0</v>
      </c>
      <c r="C10" t="inlineStr">
        <is>
          <t>Auto-generated from MD: Cost of Poor Quality</t>
        </is>
      </c>
    </row>
    <row r="11">
      <c r="A11" t="inlineStr">
        <is>
          <t>B14_Avg_Impact_by_Severity</t>
        </is>
      </c>
      <c r="B11" t="n">
        <v>0</v>
      </c>
      <c r="C11" t="inlineStr">
        <is>
          <t>Auto-generated from MD: Avg Impact by Severity</t>
        </is>
      </c>
    </row>
    <row r="12">
      <c r="A12" t="inlineStr">
        <is>
          <t>B15_Total_Business_Impact</t>
        </is>
      </c>
      <c r="B12" t="n">
        <v>0</v>
      </c>
      <c r="C12" t="inlineStr">
        <is>
          <t>Auto-generated from MD: Total Business Impact</t>
        </is>
      </c>
    </row>
    <row r="13">
      <c r="A13" t="inlineStr">
        <is>
          <t>B16_Impact_per_Module</t>
        </is>
      </c>
      <c r="B13" t="n">
        <v>0</v>
      </c>
      <c r="C13" t="inlineStr">
        <is>
          <t>Auto-generated from MD: Impact per Module</t>
        </is>
      </c>
    </row>
    <row r="14">
      <c r="A14" t="inlineStr">
        <is>
          <t>B17_High_Severity_Impact</t>
        </is>
      </c>
      <c r="B14" t="n">
        <v>0</v>
      </c>
      <c r="C14" t="inlineStr">
        <is>
          <t>Auto-generated from MD: High Severity Impact</t>
        </is>
      </c>
    </row>
    <row r="15">
      <c r="A15" t="inlineStr">
        <is>
          <t>B18_Production_Bug_Impact</t>
        </is>
      </c>
      <c r="B15" t="n">
        <v>0</v>
      </c>
      <c r="C15" t="inlineStr">
        <is>
          <t>Auto-generated from MD: Production Bug Impact</t>
        </is>
      </c>
    </row>
    <row r="16">
      <c r="A16" t="inlineStr">
        <is>
          <t>B19_Escaped_Bug_Impact</t>
        </is>
      </c>
      <c r="B16" t="n">
        <v>0</v>
      </c>
      <c r="C16" t="inlineStr">
        <is>
          <t>Auto-generated from MD: Escaped Bug Impact</t>
        </is>
      </c>
    </row>
    <row r="17">
      <c r="A17" t="inlineStr">
        <is>
          <t>B20_Impact_Risk_Score</t>
        </is>
      </c>
      <c r="B17" t="n">
        <v>0</v>
      </c>
      <c r="C17" t="inlineStr">
        <is>
          <t>Auto-generated from MD: Impact Risk Score</t>
        </is>
      </c>
    </row>
    <row r="18">
      <c r="A18" t="inlineStr">
        <is>
          <t>B21_Avg_Resolution_Cost</t>
        </is>
      </c>
      <c r="B18" t="n">
        <v>0</v>
      </c>
      <c r="C18" t="inlineStr">
        <is>
          <t>Auto-generated from MD: Avg Resolution Cost</t>
        </is>
      </c>
    </row>
    <row r="19">
      <c r="A19" t="inlineStr">
        <is>
          <t>B22_Security_Bug_Impact</t>
        </is>
      </c>
      <c r="B19" t="n">
        <v>0</v>
      </c>
      <c r="C19" t="inlineStr">
        <is>
          <t>Auto-generated from MD: Security Bug Impact</t>
        </is>
      </c>
    </row>
    <row r="20">
      <c r="A20" t="inlineStr">
        <is>
          <t>B23_Performance_Bug_Impact</t>
        </is>
      </c>
      <c r="B20" t="n">
        <v>0</v>
      </c>
      <c r="C20" t="inlineStr">
        <is>
          <t>Auto-generated from MD: Performance Bug Impact</t>
        </is>
      </c>
    </row>
    <row r="21">
      <c r="A21" t="inlineStr">
        <is>
          <t>B24_Compliance_Cost</t>
        </is>
      </c>
      <c r="B21" t="n">
        <v>0</v>
      </c>
      <c r="C21" t="inlineStr">
        <is>
          <t>Auto-generated from MD: Compliance Cost</t>
        </is>
      </c>
    </row>
    <row r="22">
      <c r="A22" t="inlineStr">
        <is>
          <t>B25_Revenue_Impact_by_Priority</t>
        </is>
      </c>
      <c r="B22" t="n">
        <v>0</v>
      </c>
      <c r="C22" t="inlineStr">
        <is>
          <t>Auto-generated from MD: Revenue Impact by Priority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2025-12-25T21:11:20Z</dcterms:created>
  <dcterms:modified xsi:type="dcterms:W3CDTF">2025-12-25T21:11:20Z</dcterms:modified>
</cp:coreProperties>
</file>