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ی_فیلدها" sheetId="1" state="visible" r:id="rId1"/>
    <sheet name="PowerBI_Dashboard" sheetId="2" state="visible" r:id="rId2"/>
    <sheet name="Volume_Analysis" sheetId="3" state="visible" r:id="rId3"/>
    <sheet name="Team_Performance" sheetId="4" state="visible" r:id="rId4"/>
    <sheet name="Sprint_Analysis" sheetId="5" state="visible" r:id="rId5"/>
    <sheet name="Time_Flow" sheetId="6" state="visible" r:id="rId6"/>
    <sheet name="Quality_Analysis" sheetId="7" state="visible" r:id="rId7"/>
    <sheet name="State_Flow" sheetId="8" state="visible" r:id="rId8"/>
    <sheet name="Resolution_Analysis" sheetId="9" state="visible" r:id="rId9"/>
    <sheet name="Time_Analysis_Advanced" sheetId="10" state="visible" r:id="rId10"/>
    <sheet name="Module_Project" sheetId="11" state="visible" r:id="rId11"/>
    <sheet name="Workload_Analysis" sheetId="12" state="visible" r:id="rId12"/>
    <sheet name="Trend_Analysis" sheetId="13" state="visible" r:id="rId13"/>
    <sheet name="RootCause_Specialty" sheetId="14" state="visible" r:id="rId14"/>
    <sheet name="KPIs_Detail" sheetId="15" state="visible" r:id="rId15"/>
    <sheet name="metrics" sheetId="16" state="visible" r:id="rId16"/>
    <sheet name="Summary_Top20" sheetId="17" state="visible" r:id="rId17"/>
    <sheet name="raw_data" sheetId="18" state="visible" r:id="rId18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b val="1"/>
      <color rgb="001F4E78"/>
      <sz val="10"/>
    </font>
    <font>
      <b val="1"/>
      <color rgb="00FFFFFF"/>
      <sz val="9"/>
    </font>
    <font>
      <b val="1"/>
      <color rgb="00FFFFFF"/>
      <sz val="14"/>
    </font>
    <font>
      <i val="1"/>
      <color rgb="00FFFFFF"/>
      <sz val="8"/>
    </font>
    <font>
      <b val="1"/>
      <color rgb="00FFFFFF"/>
      <sz val="11"/>
    </font>
    <font>
      <name val="Courier New"/>
      <color rgb="00006400"/>
      <sz val="9"/>
    </font>
    <font>
      <b val="1"/>
      <color rgb="00FFFFFF"/>
      <sz val="10"/>
    </font>
    <font>
      <b val="1"/>
    </font>
    <font>
      <b val="1"/>
      <color rgb="00FFFFFF"/>
      <sz val="16"/>
    </font>
    <font>
      <b val="1"/>
      <color rgb="001F4E78"/>
      <sz val="9"/>
    </font>
    <font>
      <b val="1"/>
      <color rgb="00FFFFFF"/>
      <sz val="12"/>
    </font>
    <font>
      <b val="1"/>
      <sz val="10"/>
    </font>
    <font>
      <name val="B Nazanin"/>
      <b val="1"/>
      <color rgb="00FFFFFF"/>
      <sz val="16"/>
    </font>
    <font>
      <b val="1"/>
      <color rgb="00000000"/>
      <sz val="11"/>
    </font>
  </fonts>
  <fills count="1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E74C3C"/>
        <bgColor rgb="00E74C3C"/>
      </patternFill>
    </fill>
    <fill>
      <patternFill patternType="solid">
        <fgColor rgb="002C3E50"/>
        <bgColor rgb="002C3E50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8" fillId="0" borderId="0" pivotButton="0" quotePrefix="0" xfId="0"/>
    <xf numFmtId="0" fontId="9" fillId="8" borderId="0" pivotButton="0" quotePrefix="0" xfId="0"/>
    <xf numFmtId="0" fontId="7" fillId="6" borderId="0" pivotButton="0" quotePrefix="0" xfId="0"/>
    <xf numFmtId="0" fontId="5" fillId="7" borderId="0" pivotButton="0" quotePrefix="0" xfId="0"/>
    <xf numFmtId="0" fontId="10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/>
    </xf>
    <xf numFmtId="0" fontId="0" fillId="4" borderId="1" pivotButton="0" quotePrefix="0" xfId="0"/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0" fillId="0" borderId="2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15" fillId="17" borderId="0" applyAlignment="1" pivotButton="0" quotePrefix="0" xfId="0">
      <alignment horizontal="center" vertical="center"/>
    </xf>
    <xf numFmtId="0" fontId="0" fillId="18" borderId="0" pivotButton="0" quotePrefix="0" xfId="0"/>
    <xf numFmtId="0" fontId="16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'PowerBI_Dashboard'!B24</f>
            </strRef>
          </tx>
          <spPr>
            <a:ln>
              <a:prstDash val="solid"/>
            </a:ln>
          </spPr>
          <cat>
            <numRef>
              <f>'PowerBI_Dashboard'!$A$25:$A$29</f>
            </numRef>
          </cat>
          <val>
            <numRef>
              <f>'PowerBI_Dashboard'!$B$25:$B$29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باگ‌ها بر اساس شدت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'PowerBI_Dashboard'!E24</f>
            </strRef>
          </tx>
          <spPr>
            <a:ln>
              <a:prstDash val="solid"/>
            </a:ln>
          </spPr>
          <cat>
            <numRef>
              <f>'PowerBI_Dashboard'!$D$25:$D$28</f>
            </numRef>
          </cat>
          <val>
            <numRef>
              <f>'PowerBI_Dashboard'!$E$25:$E$28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lineChart>
        <grouping val="standard"/>
        <ser>
          <idx val="0"/>
          <order val="0"/>
          <tx>
            <strRef>
              <f>'PowerBI_Dashboard'!H24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'PowerBI_Dashboard'!$H$25:$H$30</f>
            </numRef>
          </val>
        </ser>
        <ser>
          <idx val="1"/>
          <order val="1"/>
          <tx>
            <strRef>
              <f>'PowerBI_Dashboard'!I24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'PowerBI_Dashboard'!$I$25:$I$30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باگ‌ها بر اساس اولویت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'PowerBI_Dashboard'!L24</f>
            </strRef>
          </tx>
          <spPr>
            <a:ln>
              <a:prstDash val="solid"/>
            </a:ln>
          </spPr>
          <cat>
            <numRef>
              <f>'PowerBI_Dashboard'!$K$25:$K$28</f>
            </numRef>
          </cat>
          <val>
            <numRef>
              <f>'PowerBI_Dashboard'!$L$25:$L$28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'PowerBI_Dashboard'!B34</f>
            </strRef>
          </tx>
          <spPr>
            <a:ln>
              <a:prstDash val="solid"/>
            </a:ln>
          </spPr>
          <cat>
            <numRef>
              <f>'PowerBI_Dashboard'!$A$35:$A$40</f>
            </numRef>
          </cat>
          <val>
            <numRef>
              <f>'PowerBI_Dashboard'!$B$35:$B$40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'PowerBI_Dashboard'!E34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'PowerBI_Dashboard'!$E$35:$E$38</f>
            </numRef>
          </val>
        </ser>
        <ser>
          <idx val="1"/>
          <order val="1"/>
          <tx>
            <strRef>
              <f>'PowerBI_Dashboard'!F34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'PowerBI_Dashboard'!$F$35:$F$38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باگ‌ها بر اساس شدت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'Volume_Analysis'!$A$5:$A$8</f>
            </numRef>
          </cat>
          <val>
            <numRef>
              <f>'Volume_Analysis'!$B$5:$B$8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باگ‌ها بر اساس وضعیت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'Volume_Analysis'!$D$5:$D$12</f>
            </numRef>
          </cat>
          <val>
            <numRef>
              <f>'Volume_Analysis'!$E$5:$E$12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'Volume_Analysis'!$G$5:$G$10</f>
            </numRef>
          </cat>
          <val>
            <numRef>
              <f>'Volume_Analysis'!$H$5:$H$10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'Volume_Analysis'!$J$5:$J$14</f>
            </numRef>
          </cat>
          <val>
            <numRef>
              <f>'Volume_Analysis'!$K$5:$K$14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باگ‌ها بر اساس اولویت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'Volume_Analysis'!$M$5:$M$8</f>
            </numRef>
          </cat>
          <val>
            <numRef>
              <f>'Volume_Analysis'!$N$5:$N$8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باگ‌ها بر اساس تیم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'Team_Performance'!$A$5:$A$8</f>
            </numRef>
          </cat>
          <val>
            <numRef>
              <f>'Team_Performance'!$B$5:$B$8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'Team_Performance'!$D$5:$D$14</f>
            </numRef>
          </cat>
          <val>
            <numRef>
              <f>'Team_Performance'!$E$5:$E$14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'Team_Performance'!$G$5:$G$14</f>
            </numRef>
          </cat>
          <val>
            <numRef>
              <f>'Team_Performance'!$H$5:$H$14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باگ‌ها بر اساس اسپرینت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'Sprint_Analysis'!$A$5:$A$9</f>
            </numRef>
          </cat>
          <val>
            <numRef>
              <f>'Sprint_Analysis'!$B$5:$B$9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'Time_Flow'!$A$5:$A$9</f>
            </numRef>
          </cat>
          <val>
            <numRef>
              <f>'Time_Flow'!$B$5:$B$9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'Time_Flow'!$D$15:$D$64</f>
            </numRef>
          </xVal>
          <yVal>
            <numRef>
              <f>'Time_Flow'!$E$15:$E$64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Lead Time (hrs)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Cycle Time (hrs)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'Quality_Analysis'!$A$5:$A$8</f>
            </numRef>
          </cat>
          <val>
            <numRef>
              <f>'Quality_Analysis'!$B$5:$B$8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'Quality_Analysis'!$D$5:$D$6</f>
            </numRef>
          </cat>
          <val>
            <numRef>
              <f>'Quality_Analysis'!$E$5:$E$6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'Quality_Analysis'!$G$5:$G$6</f>
            </numRef>
          </cat>
          <val>
            <numRef>
              <f>'Quality_Analysis'!$H$5:$H$6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'State_Flow'!B5</f>
            </strRef>
          </tx>
          <spPr>
            <a:ln>
              <a:prstDash val="solid"/>
            </a:ln>
          </spPr>
          <cat>
            <numRef>
              <f>'State_Flow'!$A$6:$A$13</f>
            </numRef>
          </cat>
          <val>
            <numRef>
              <f>'State_Flow'!$B$6:$B$13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'State_Flow'!E5</f>
            </strRef>
          </tx>
          <spPr>
            <a:ln>
              <a:prstDash val="solid"/>
            </a:ln>
          </spPr>
          <cat>
            <numRef>
              <f>'State_Flow'!$D$6:$D$11</f>
            </numRef>
          </cat>
          <val>
            <numRef>
              <f>'State_Flow'!$E$6:$E$11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'State_Flow'!H5</f>
            </strRef>
          </tx>
          <spPr>
            <a:ln>
              <a:prstDash val="solid"/>
            </a:ln>
          </spPr>
          <cat>
            <numRef>
              <f>'State_Flow'!$G$6:$G$8</f>
            </numRef>
          </cat>
          <val>
            <numRef>
              <f>'State_Flow'!$H$6:$H$8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دلیل بسته شدن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'Resolution_Analysis'!B5</f>
            </strRef>
          </tx>
          <spPr>
            <a:ln>
              <a:prstDash val="solid"/>
            </a:ln>
          </spPr>
          <cat>
            <numRef>
              <f>'Resolution_Analysis'!$A$6:$A$10</f>
            </numRef>
          </cat>
          <val>
            <numRef>
              <f>'Resolution_Analysis'!$B$6:$B$10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'Resolution_Analysis'!E5</f>
            </strRef>
          </tx>
          <spPr>
            <a:ln>
              <a:prstDash val="solid"/>
            </a:ln>
          </spPr>
          <cat>
            <numRef>
              <f>'Resolution_Analysis'!$D$6:$D$10</f>
            </numRef>
          </cat>
          <val>
            <numRef>
              <f>'Resolution_Analysis'!$E$6:$E$10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علل اصلی رایج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'Resolution_Analysis'!H5</f>
            </strRef>
          </tx>
          <spPr>
            <a:ln>
              <a:prstDash val="solid"/>
            </a:ln>
          </spPr>
          <cat>
            <numRef>
              <f>'Resolution_Analysis'!$G$6:$G$11</f>
            </numRef>
          </cat>
          <val>
            <numRef>
              <f>'Resolution_Analysis'!$H$6:$H$11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'Resolution_Analysis'!B20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'Resolution_Analysis'!$B$21:$B$25</f>
            </numRef>
          </val>
        </ser>
        <ser>
          <idx val="1"/>
          <order val="1"/>
          <tx>
            <strRef>
              <f>'Resolution_Analysis'!C20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'Resolution_Analysis'!$C$21:$C$25</f>
            </numRef>
          </val>
        </ser>
        <ser>
          <idx val="2"/>
          <order val="2"/>
          <tx>
            <strRef>
              <f>'Resolution_Analysis'!D20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'Resolution_Analysis'!$D$21:$D$25</f>
            </numRef>
          </val>
        </ser>
        <ser>
          <idx val="3"/>
          <order val="3"/>
          <tx>
            <strRef>
              <f>'Resolution_Analysis'!E20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Close 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زمان کل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'Time_Analysis_Advanced'!B5</f>
            </strRef>
          </tx>
          <spPr>
            <a:ln>
              <a:prstDash val="solid"/>
            </a:ln>
          </spPr>
          <cat>
            <numRef>
              <f>'Time_Analysis_Advanced'!$A$6:$A$12</f>
            </numRef>
          </cat>
          <val>
            <numRef>
              <f>'Time_Analysis_Advanced'!$B$6:$B$12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Lead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زمان چرخه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'Time_Analysis_Advanced'!E5</f>
            </strRef>
          </tx>
          <spPr>
            <a:ln>
              <a:prstDash val="solid"/>
            </a:ln>
          </spPr>
          <cat>
            <numRef>
              <f>'Time_Analysis_Advanced'!$D$6:$D$12</f>
            </numRef>
          </cat>
          <val>
            <numRef>
              <f>'Time_Analysis_Advanced'!$E$6:$E$12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Cycle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'Time_Analysis_Advanced'!H5</f>
            </strRef>
          </tx>
          <spPr>
            <a:ln>
              <a:prstDash val="solid"/>
            </a:ln>
          </spPr>
          <cat>
            <numRef>
              <f>'Time_Analysis_Advanced'!$G$6:$G$9</f>
            </numRef>
          </cat>
          <val>
            <numRef>
              <f>'Time_Analysis_Advanced'!$H$6:$H$9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'Module_Project'!B5</f>
            </strRef>
          </tx>
          <spPr>
            <a:ln>
              <a:prstDash val="solid"/>
            </a:ln>
          </spPr>
          <cat>
            <numRef>
              <f>'Module_Project'!$A$6</f>
            </numRef>
          </cat>
          <val>
            <numRef>
              <f>'Module_Project'!$B$6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باگ‌ها بر اساس پروژه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'Module_Project'!E5</f>
            </strRef>
          </tx>
          <spPr>
            <a:ln>
              <a:prstDash val="solid"/>
            </a:ln>
          </spPr>
          <cat>
            <numRef>
              <f>'Module_Project'!$D$6</f>
            </numRef>
          </cat>
          <val>
            <numRef>
              <f>'Module_Project'!$E$6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'Module_Project'!B20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'Module_Project'!$B$21</f>
            </numRef>
          </val>
        </ser>
        <ser>
          <idx val="1"/>
          <order val="1"/>
          <tx>
            <strRef>
              <f>'Module_Project'!C20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'Module_Project'!$C$21</f>
            </numRef>
          </val>
        </ser>
        <ser>
          <idx val="2"/>
          <order val="2"/>
          <tx>
            <strRef>
              <f>'Module_Project'!D20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'Module_Project'!$D$21</f>
            </numRef>
          </val>
        </ser>
        <ser>
          <idx val="3"/>
          <order val="3"/>
          <tx>
            <strRef>
              <f>'Module_Project'!E20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pieChart>
        <varyColors val="1"/>
        <ser>
          <idx val="0"/>
          <order val="0"/>
          <tx>
            <strRef>
              <f>'Module_Project'!H30</f>
            </strRef>
          </tx>
          <spPr>
            <a:ln>
              <a:prstDash val="solid"/>
            </a:ln>
          </spPr>
          <cat>
            <numRef>
              <f>'Module_Project'!$G$31:$G$36</f>
            </numRef>
          </cat>
          <val>
            <numRef>
              <f>'Module_Project'!$H$31:$H$36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بار کاری تیم‌ها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'Workload_Analysis'!B5</f>
            </strRef>
          </tx>
          <spPr>
            <a:ln>
              <a:prstDash val="solid"/>
            </a:ln>
          </spPr>
          <cat>
            <numRef>
              <f>'Workload_Analysis'!$A$6:$A$9</f>
            </numRef>
          </cat>
          <val>
            <numRef>
              <f>'Workload_Analysis'!$B$6:$B$9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'Workload_Analysis'!E5</f>
            </strRef>
          </tx>
          <spPr>
            <a:ln>
              <a:prstDash val="solid"/>
            </a:ln>
          </spPr>
          <cat>
            <numRef>
              <f>'Workload_Analysis'!$D$6:$D$13</f>
            </numRef>
          </cat>
          <val>
            <numRef>
              <f>'Workload_Analysis'!$E$6:$E$13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Assignee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'Workload_Analysis'!B20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'Workload_Analysis'!$B$21:$B$24</f>
            </numRef>
          </val>
        </ser>
        <ser>
          <idx val="1"/>
          <order val="1"/>
          <tx>
            <strRef>
              <f>'Workload_Analysis'!C20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'Workload_Analysis'!$C$21:$C$24</f>
            </numRef>
          </val>
        </ser>
        <ser>
          <idx val="2"/>
          <order val="2"/>
          <tx>
            <strRef>
              <f>'Workload_Analysis'!D20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'Workload_Analysis'!$D$21:$D$24</f>
            </numRef>
          </val>
        </ser>
        <ser>
          <idx val="3"/>
          <order val="3"/>
          <tx>
            <strRef>
              <f>'Workload_Analysis'!E20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'Workload_Analysis'!$E$21:$E$24</f>
            </numRef>
          </val>
        </ser>
        <ser>
          <idx val="4"/>
          <order val="4"/>
          <tx>
            <strRef>
              <f>'Workload_Analysis'!F20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'Workload_Analysis'!$F$21:$F$24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'Trend_Analysis'!$B$6:$B$10</f>
            </numRef>
          </val>
        </ser>
        <ser>
          <idx val="1"/>
          <order val="1"/>
          <tx>
            <strRef>
              <f>'Trend_Analysis'!C5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'Trend_Analysis'!$C$6:$C$10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نرخ بازگشایی باگ‌ها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'Trend_Analysis'!$F$6:$F$10</f>
            </numRef>
          </val>
        </ser>
        <ser>
          <idx val="1"/>
          <order val="1"/>
          <tx>
            <strRef>
              <f>'Trend_Analysis'!G5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'Trend_Analysis'!$G$6:$G$10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میانگین زمان کل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'Trend_Analysis'!J5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'Trend_Analysis'!$I$6:$I$10</f>
            </numRef>
          </cat>
          <val>
            <numRef>
              <f>'Trend_Analysis'!$J$6:$J$10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areaChart>
        <grouping val="standard"/>
        <ser>
          <idx val="0"/>
          <order val="0"/>
          <tx>
            <strRef>
              <f>'Trend_Analysis'!B20</f>
            </strRef>
          </tx>
          <spPr>
            <a:ln>
              <a:prstDash val="solid"/>
            </a:ln>
          </spPr>
          <cat>
            <numRef>
              <f>'Trend_Analysis'!$A$21:$A$25</f>
            </numRef>
          </cat>
          <val>
            <numRef>
              <f>'Trend_Analysis'!$B$21:$B$25</f>
            </numRef>
          </val>
        </ser>
        <dLbls>
          <showVal val="1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'RootCause_Specialty'!B5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'RootCause_Specialty'!$B$6:$B$11</f>
            </numRef>
          </val>
        </ser>
        <ser>
          <idx val="1"/>
          <order val="1"/>
          <tx>
            <strRef>
              <f>'RootCause_Specialty'!C5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'RootCause_Specialty'!$C$6:$C$11</f>
            </numRef>
          </val>
        </ser>
        <ser>
          <idx val="2"/>
          <order val="2"/>
          <tx>
            <strRef>
              <f>'RootCause_Specialty'!D5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'RootCause_Specialty'!$D$6:$D$11</f>
            </numRef>
          </val>
        </ser>
        <ser>
          <idx val="3"/>
          <order val="3"/>
          <tx>
            <strRef>
              <f>'RootCause_Specialty'!E5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Root Cause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زیاد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'RootCause_Specialty'!G5</f>
            </strRef>
          </tx>
          <spPr>
            <a:ln>
              <a:prstDash val="solid"/>
            </a:ln>
          </spPr>
          <cat>
            <numRef>
              <f>'RootCause_Specialty'!$F$6:$F$13</f>
            </numRef>
          </cat>
          <val>
            <numRef>
              <f>'RootCause_Specialty'!$G$6:$G$13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Relationship Type="http://schemas.openxmlformats.org/officeDocument/2006/relationships/chart" Target="/xl/charts/chart27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8.xml" Id="rId1" /><Relationship Type="http://schemas.openxmlformats.org/officeDocument/2006/relationships/chart" Target="/xl/charts/chart39.xml" Id="rId2" /><Relationship Type="http://schemas.openxmlformats.org/officeDocument/2006/relationships/chart" Target="/xl/charts/chart40.xml" Id="rId3" /><Relationship Type="http://schemas.openxmlformats.org/officeDocument/2006/relationships/chart" Target="/xl/charts/chart41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2.xml" Id="rId1" /><Relationship Type="http://schemas.openxmlformats.org/officeDocument/2006/relationships/chart" Target="/xl/charts/chart4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28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28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22</col>
      <colOff>0</colOff>
      <row>28</row>
      <rowOff>0</rowOff>
    </from>
    <ext cx="432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22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14</col>
      <colOff>0</colOff>
      <row>22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19</col>
      <colOff>0</colOff>
      <row>24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40" customWidth="1" min="5" max="5"/>
    <col width="60" customWidth="1" min="6" max="6"/>
  </cols>
  <sheetData>
    <row r="1">
      <c r="A1" s="44" t="inlineStr">
        <is>
          <t>نام فیلد</t>
        </is>
      </c>
      <c r="B1" s="44" t="inlineStr">
        <is>
          <t>نوع دیتا</t>
        </is>
      </c>
      <c r="C1" s="44" t="inlineStr">
        <is>
          <t>رنگ</t>
        </is>
      </c>
      <c r="D1" s="44" t="inlineStr">
        <is>
          <t>منبع داده</t>
        </is>
      </c>
      <c r="E1" s="44" t="inlineStr">
        <is>
          <t>توضیحات فارسی</t>
        </is>
      </c>
      <c r="F1" s="44" t="inlineStr">
        <is>
          <t>نحوه دریافت دیتا</t>
        </is>
      </c>
    </row>
    <row r="2" ht="80" customHeight="1">
      <c r="A2" s="45" t="inlineStr">
        <is>
          <t>BugID</t>
        </is>
      </c>
      <c r="B2" s="46" t="inlineStr">
        <is>
          <t>عدد</t>
        </is>
      </c>
      <c r="C2" s="46" t="inlineStr">
        <is>
          <t>🟢 سبز</t>
        </is>
      </c>
      <c r="D2" s="46" t="inlineStr">
        <is>
          <t>CSV: ID</t>
        </is>
      </c>
      <c r="E2" s="46" t="inlineStr">
        <is>
          <t>شناسه یکتای باگ</t>
        </is>
      </c>
      <c r="F2" s="46" t="inlineStr">
        <is>
          <t>مستقیم از Query موجود</t>
        </is>
      </c>
    </row>
    <row r="3" ht="80" customHeight="1">
      <c r="A3" s="45" t="inlineStr">
        <is>
          <t>Title</t>
        </is>
      </c>
      <c r="B3" s="46" t="inlineStr">
        <is>
          <t>متن</t>
        </is>
      </c>
      <c r="C3" s="46" t="inlineStr">
        <is>
          <t>🟢 سبز</t>
        </is>
      </c>
      <c r="D3" s="46" t="inlineStr">
        <is>
          <t>CSV: Title</t>
        </is>
      </c>
      <c r="E3" s="46" t="inlineStr">
        <is>
          <t>عنوان باگ</t>
        </is>
      </c>
      <c r="F3" s="46" t="inlineStr">
        <is>
          <t>مستقیم از Query موجود</t>
        </is>
      </c>
    </row>
    <row r="4" ht="80" customHeight="1">
      <c r="A4" s="45" t="inlineStr">
        <is>
          <t>Description</t>
        </is>
      </c>
      <c r="B4" s="46" t="inlineStr">
        <is>
          <t>متن</t>
        </is>
      </c>
      <c r="C4" s="46" t="inlineStr">
        <is>
          <t>🟢 سبز</t>
        </is>
      </c>
      <c r="D4" s="46" t="inlineStr">
        <is>
          <t>CSV: Description</t>
        </is>
      </c>
      <c r="E4" s="46" t="inlineStr">
        <is>
          <t>شرح کامل باگ</t>
        </is>
      </c>
      <c r="F4" s="46" t="inlineStr">
        <is>
          <t>مستقیم از Query موجود</t>
        </is>
      </c>
    </row>
    <row r="5" ht="80" customHeight="1">
      <c r="A5" s="45" t="inlineStr">
        <is>
          <t>Severity</t>
        </is>
      </c>
      <c r="B5" s="46" t="inlineStr">
        <is>
          <t>متن</t>
        </is>
      </c>
      <c r="C5" s="46" t="inlineStr">
        <is>
          <t>🟢 سبز</t>
        </is>
      </c>
      <c r="D5" s="46" t="inlineStr">
        <is>
          <t>CSV: Severity</t>
        </is>
      </c>
      <c r="E5" s="46" t="inlineStr">
        <is>
          <t>میزان شدت باگ (Critical, High, Medium, Low)</t>
        </is>
      </c>
      <c r="F5" s="46" t="inlineStr">
        <is>
          <t>مستقیم از Query موجود - تمیز شده از "3 - Medium" به "Medium"</t>
        </is>
      </c>
    </row>
    <row r="6" ht="80" customHeight="1">
      <c r="A6" s="45" t="inlineStr">
        <is>
          <t>Priority</t>
        </is>
      </c>
      <c r="B6" s="46" t="inlineStr">
        <is>
          <t>عدد</t>
        </is>
      </c>
      <c r="C6" s="46" t="inlineStr">
        <is>
          <t>🟢 سبز</t>
        </is>
      </c>
      <c r="D6" s="46" t="inlineStr">
        <is>
          <t>CSV: Priority</t>
        </is>
      </c>
      <c r="E6" s="46" t="inlineStr">
        <is>
          <t>اولویت باگ (1-4)</t>
        </is>
      </c>
      <c r="F6" s="46" t="inlineStr">
        <is>
          <t>مستقیم از Query موجود</t>
        </is>
      </c>
    </row>
    <row r="7" ht="80" customHeight="1">
      <c r="A7" s="45" t="inlineStr">
        <is>
          <t>State</t>
        </is>
      </c>
      <c r="B7" s="46" t="inlineStr">
        <is>
          <t>متن</t>
        </is>
      </c>
      <c r="C7" s="46" t="inlineStr">
        <is>
          <t>🟢 سبز</t>
        </is>
      </c>
      <c r="D7" s="46" t="inlineStr">
        <is>
          <t>CSV: State</t>
        </is>
      </c>
      <c r="E7" s="46" t="inlineStr">
        <is>
          <t>وضعیت فعلی باگ</t>
        </is>
      </c>
      <c r="F7" s="46" t="inlineStr">
        <is>
          <t>مستقیم از Query موجود - نرمال شده (triage→New, Done→Closed)</t>
        </is>
      </c>
    </row>
    <row r="8" ht="80" customHeight="1">
      <c r="A8" s="45" t="inlineStr">
        <is>
          <t>Category</t>
        </is>
      </c>
      <c r="B8" s="46" t="inlineStr">
        <is>
          <t>متن</t>
        </is>
      </c>
      <c r="C8" s="46" t="inlineStr">
        <is>
          <t>🟢 سبز</t>
        </is>
      </c>
      <c r="D8" s="46" t="inlineStr">
        <is>
          <t>CSV: Bug Type</t>
        </is>
      </c>
      <c r="E8" s="46" t="inlineStr">
        <is>
          <t>دسته‌بندی باگ (ANZ, FN, PER)</t>
        </is>
      </c>
      <c r="F8" s="46" t="inlineStr">
        <is>
          <t>استخراج شده از "ANZ (تحلیل)" → "ANZ"</t>
        </is>
      </c>
    </row>
    <row r="9" ht="80" customHeight="1">
      <c r="A9" s="48" t="inlineStr">
        <is>
          <t>BugType</t>
        </is>
      </c>
      <c r="B9" s="48" t="inlineStr">
        <is>
          <t>نوع باگ (کامل با توضیحات)</t>
        </is>
      </c>
      <c r="C9" s="48" t="inlineStr">
        <is>
          <t>Text</t>
        </is>
      </c>
      <c r="D9" s="48" t="inlineStr">
        <is>
          <t>CSV: Bug Type</t>
        </is>
      </c>
      <c r="E9" s="48" t="inlineStr">
        <is>
          <t>مستقیم از CSV</t>
        </is>
      </c>
      <c r="F9" s="48" t="inlineStr">
        <is>
          <t>🟢 Green</t>
        </is>
      </c>
    </row>
    <row r="10" ht="80" customHeight="1">
      <c r="A10" s="45" t="inlineStr">
        <is>
          <t>Tags</t>
        </is>
      </c>
      <c r="B10" s="46" t="inlineStr">
        <is>
          <t>متن</t>
        </is>
      </c>
      <c r="C10" s="46" t="inlineStr">
        <is>
          <t>🟢 سبز</t>
        </is>
      </c>
      <c r="D10" s="46" t="inlineStr">
        <is>
          <t>CSV: Tags</t>
        </is>
      </c>
      <c r="E10" s="46" t="inlineStr">
        <is>
          <t>برچسب‌های باگ</t>
        </is>
      </c>
      <c r="F10" s="46" t="inlineStr">
        <is>
          <t>مستقیم از Query موجود</t>
        </is>
      </c>
    </row>
    <row r="11" ht="80" customHeight="1">
      <c r="A11" s="45" t="inlineStr">
        <is>
          <t>TeamName</t>
        </is>
      </c>
      <c r="B11" s="46" t="inlineStr">
        <is>
          <t>متن</t>
        </is>
      </c>
      <c r="C11" s="46" t="inlineStr">
        <is>
          <t>🟢 سبز</t>
        </is>
      </c>
      <c r="D11" s="46" t="inlineStr">
        <is>
          <t>CSV: Team Project</t>
        </is>
      </c>
      <c r="E11" s="46" t="inlineStr">
        <is>
          <t>نام تیم مسئول</t>
        </is>
      </c>
      <c r="F11" s="46" t="inlineStr">
        <is>
          <t>مستقیم از Query موجود</t>
        </is>
      </c>
    </row>
    <row r="12" ht="80" customHeight="1">
      <c r="A12" s="45" t="inlineStr">
        <is>
          <t>SprintName</t>
        </is>
      </c>
      <c r="B12" s="46" t="inlineStr">
        <is>
          <t>متن</t>
        </is>
      </c>
      <c r="C12" s="46" t="inlineStr">
        <is>
          <t>🟢 سبز</t>
        </is>
      </c>
      <c r="D12" s="46" t="inlineStr">
        <is>
          <t>CSV: Iteration Path</t>
        </is>
      </c>
      <c r="E12" s="46" t="inlineStr">
        <is>
          <t>نام اسپرینت</t>
        </is>
      </c>
      <c r="F12" s="46" t="inlineStr">
        <is>
          <t>استخراج شده از "SAJAK\Estate_Sprint 44" → "Estate_Sprint 44"</t>
        </is>
      </c>
    </row>
    <row r="13" ht="80" customHeight="1">
      <c r="A13" s="45" t="inlineStr">
        <is>
          <t>AssigneeName</t>
        </is>
      </c>
      <c r="B13" s="46" t="inlineStr">
        <is>
          <t>متن</t>
        </is>
      </c>
      <c r="C13" s="46" t="inlineStr">
        <is>
          <t>🟢 سبز</t>
        </is>
      </c>
      <c r="D13" s="46" t="inlineStr">
        <is>
          <t>CSV: Assigned To</t>
        </is>
      </c>
      <c r="E13" s="46" t="inlineStr">
        <is>
          <t>نام فرد مسئول رفع</t>
        </is>
      </c>
      <c r="F13" s="46" t="inlineStr">
        <is>
          <t>استخراج شده از "Seyfollahi Artin &lt;RPK\ASeyfollahi&gt;"</t>
        </is>
      </c>
    </row>
    <row r="14" ht="80" customHeight="1">
      <c r="A14" s="45" t="inlineStr">
        <is>
          <t>ResolverName</t>
        </is>
      </c>
      <c r="B14" s="46" t="inlineStr">
        <is>
          <t>متن</t>
        </is>
      </c>
      <c r="C14" s="46" t="inlineStr">
        <is>
          <t>🟢 سبز</t>
        </is>
      </c>
      <c r="D14" s="46" t="inlineStr">
        <is>
          <t>CSV: Closed By</t>
        </is>
      </c>
      <c r="E14" s="46" t="inlineStr">
        <is>
          <t>نام فرد رفع‌کننده</t>
        </is>
      </c>
      <c r="F14" s="46" t="inlineStr">
        <is>
          <t>استخراج شده از "Closed By"</t>
        </is>
      </c>
    </row>
    <row r="15" ht="80" customHeight="1">
      <c r="A15" s="45" t="inlineStr">
        <is>
          <t>CloseReason</t>
        </is>
      </c>
      <c r="B15" s="46" t="inlineStr">
        <is>
          <t>متن</t>
        </is>
      </c>
      <c r="C15" s="46" t="inlineStr">
        <is>
          <t>🟢 سبز</t>
        </is>
      </c>
      <c r="D15" s="46" t="inlineStr">
        <is>
          <t>CSV: Closed Reason</t>
        </is>
      </c>
      <c r="E15" s="46" t="inlineStr">
        <is>
          <t>دلیل بستن باگ (Completed, Duplicate, ...)</t>
        </is>
      </c>
      <c r="F15" s="46" t="inlineStr">
        <is>
          <t>مستقیم از Query موجود</t>
        </is>
      </c>
    </row>
    <row r="16" ht="80" customHeight="1">
      <c r="A16" s="45" t="inlineStr">
        <is>
          <t>ClosedDate</t>
        </is>
      </c>
      <c r="B16" s="46" t="inlineStr">
        <is>
          <t>تاریخ</t>
        </is>
      </c>
      <c r="C16" s="46" t="inlineStr">
        <is>
          <t>🟢 سبز</t>
        </is>
      </c>
      <c r="D16" s="46" t="inlineStr">
        <is>
          <t>CSV: Closed Date</t>
        </is>
      </c>
      <c r="E16" s="46" t="inlineStr">
        <is>
          <t>تاریخ بسته شدن باگ</t>
        </is>
      </c>
      <c r="F16" s="46" t="inlineStr">
        <is>
          <t>مستقیم از Query موجود</t>
        </is>
      </c>
    </row>
    <row r="17" ht="80" customHeight="1">
      <c r="A17" s="45" t="inlineStr">
        <is>
          <t>ResolvedDate</t>
        </is>
      </c>
      <c r="B17" s="46" t="inlineStr">
        <is>
          <t>تاریخ</t>
        </is>
      </c>
      <c r="C17" s="46" t="inlineStr">
        <is>
          <t>🟢 سبز</t>
        </is>
      </c>
      <c r="D17" s="46" t="inlineStr">
        <is>
          <t>CSV: Resolved Date</t>
        </is>
      </c>
      <c r="E17" s="46" t="inlineStr">
        <is>
          <t>تاریخ Resolve شدن</t>
        </is>
      </c>
      <c r="F17" s="46" t="inlineStr">
        <is>
          <t>مستقیم از Query موجود</t>
        </is>
      </c>
    </row>
    <row r="18" ht="80" customHeight="1">
      <c r="A18" s="45" t="inlineStr">
        <is>
          <t>LastModifiedDate</t>
        </is>
      </c>
      <c r="B18" s="46" t="inlineStr">
        <is>
          <t>تاریخ</t>
        </is>
      </c>
      <c r="C18" s="46" t="inlineStr">
        <is>
          <t>🟢 سبز</t>
        </is>
      </c>
      <c r="D18" s="46" t="inlineStr">
        <is>
          <t>CSV: State Change Date</t>
        </is>
      </c>
      <c r="E18" s="46" t="inlineStr">
        <is>
          <t>آخرین تاریخ تغییر</t>
        </is>
      </c>
      <c r="F18" s="46" t="inlineStr">
        <is>
          <t>مستقیم از Query موجود</t>
        </is>
      </c>
    </row>
    <row r="19" ht="80" customHeight="1">
      <c r="A19" s="45" t="inlineStr">
        <is>
          <t>DueDate</t>
        </is>
      </c>
      <c r="B19" s="46" t="inlineStr">
        <is>
          <t>تاریخ</t>
        </is>
      </c>
      <c r="C19" s="46" t="inlineStr">
        <is>
          <t>🟢 سبز</t>
        </is>
      </c>
      <c r="D19" s="46" t="inlineStr">
        <is>
          <t>CSV: Target Date / Due Date</t>
        </is>
      </c>
      <c r="E19" s="46" t="inlineStr">
        <is>
          <t>تاریخ سررسید</t>
        </is>
      </c>
      <c r="F19" s="46" t="inlineStr">
        <is>
          <t>مستقیم از Query موجود</t>
        </is>
      </c>
    </row>
    <row r="20" ht="80" customHeight="1">
      <c r="A20" s="45" t="inlineStr">
        <is>
          <t>IsRegression</t>
        </is>
      </c>
      <c r="B20" s="46" t="inlineStr">
        <is>
          <t>عدد</t>
        </is>
      </c>
      <c r="C20" s="46" t="inlineStr">
        <is>
          <t>🟢 سبز</t>
        </is>
      </c>
      <c r="D20" s="46" t="inlineStr">
        <is>
          <t>محاسبه از Tags</t>
        </is>
      </c>
      <c r="E20" s="46" t="inlineStr">
        <is>
          <t>آیا regression است؟ (1=بله, 0=خیر)</t>
        </is>
      </c>
      <c r="F20" s="46" t="inlineStr">
        <is>
          <t>محاسبه: Tags شامل "regression" یا "تکراری" باشد</t>
        </is>
      </c>
    </row>
    <row r="21" ht="80" customHeight="1">
      <c r="A21" s="45" t="inlineStr">
        <is>
          <t>CreatedDate</t>
        </is>
      </c>
      <c r="B21" s="46" t="inlineStr">
        <is>
          <t>تاریخ</t>
        </is>
      </c>
      <c r="C21" s="46" t="inlineStr">
        <is>
          <t>🟡 زرد</t>
        </is>
      </c>
      <c r="D21" s="46" t="inlineStr">
        <is>
          <t>WorkItemRevisions</t>
        </is>
      </c>
      <c r="E21" s="46" t="inlineStr">
        <is>
          <t>⚠️ MOCK: تاریخ ایجاد باگ</t>
        </is>
      </c>
      <c r="F21" s="46" t="inlineStr">
        <is>
          <t>Query مورد نیاز:
SELECT [System.Id], MIN([System.CreatedDate]) as CreatedDate
FROM WorkItemRevisions
WHERE [System.WorkItemType] = 'Bug'
GROUP BY [System.Id]
فعلاً از LastModifiedDate استفاده شده (تقریبی)</t>
        </is>
      </c>
    </row>
    <row r="22" ht="80" customHeight="1">
      <c r="A22" s="45" t="inlineStr">
        <is>
          <t>AssignedDate</t>
        </is>
      </c>
      <c r="B22" s="46" t="inlineStr">
        <is>
          <t>تاریخ</t>
        </is>
      </c>
      <c r="C22" s="46" t="inlineStr">
        <is>
          <t>🟡 زرد</t>
        </is>
      </c>
      <c r="D22" s="46" t="inlineStr">
        <is>
          <t>WorkItemRevisions</t>
        </is>
      </c>
      <c r="E22" s="46" t="inlineStr">
        <is>
          <t>⚠️ MOCK: تاریخ Assign شدن</t>
        </is>
      </c>
      <c r="F22" s="46" t="inlineStr">
        <is>
          <t>Query مورد نیاز:
SELECT [System.Id], MIN([System.ChangedDate]) as AssignedDate
FROM WorkItemRevisions
WHERE [System.WorkItemType] = 'Bug'
  AND [System.AssignedTo] IS NOT NULL
GROUP BY [System.Id]</t>
        </is>
      </c>
    </row>
    <row r="23" ht="80" customHeight="1">
      <c r="A23" s="45" t="inlineStr">
        <is>
          <t>TriageDate</t>
        </is>
      </c>
      <c r="B23" s="46" t="inlineStr">
        <is>
          <t>تاریخ</t>
        </is>
      </c>
      <c r="C23" s="46" t="inlineStr">
        <is>
          <t>🟡 زرد</t>
        </is>
      </c>
      <c r="D23" s="46" t="inlineStr">
        <is>
          <t>WorkItemRevisions</t>
        </is>
      </c>
      <c r="E23" s="46" t="inlineStr">
        <is>
          <t>⚠️ MOCK: تاریخ Triage</t>
        </is>
      </c>
      <c r="F23" s="46" t="inlineStr">
        <is>
          <t>Query مورد نیاز:
SELECT [System.Id], MIN([System.ChangedDate]) as TriageDate
FROM WorkItemRevisions
WHERE [System.WorkItemType] = 'Bug'
  AND [System.State] = 'Triage'
GROUP BY [System.Id]</t>
        </is>
      </c>
    </row>
    <row r="24" ht="80" customHeight="1">
      <c r="A24" s="45" t="inlineStr">
        <is>
          <t>InProgressDate</t>
        </is>
      </c>
      <c r="B24" s="46" t="inlineStr">
        <is>
          <t>تاریخ</t>
        </is>
      </c>
      <c r="C24" s="46" t="inlineStr">
        <is>
          <t>🟡 زرد</t>
        </is>
      </c>
      <c r="D24" s="46" t="inlineStr">
        <is>
          <t>WorkItemRevisions</t>
        </is>
      </c>
      <c r="E24" s="46" t="inlineStr">
        <is>
          <t>⚠️ MOCK: تاریخ In Progress</t>
        </is>
      </c>
      <c r="F24" s="46" t="inlineStr">
        <is>
          <t>Query مورد نیاز:
SELECT [System.Id], MIN([System.ChangedDate])
FROM WorkItemRevisions
WHERE [System.State] = 'In Progress'
GROUP BY [System.Id]</t>
        </is>
      </c>
    </row>
    <row r="25" ht="80" customHeight="1">
      <c r="A25" s="45" t="inlineStr">
        <is>
          <t>ReadyForRetestDate</t>
        </is>
      </c>
      <c r="B25" s="46" t="inlineStr">
        <is>
          <t>تاریخ</t>
        </is>
      </c>
      <c r="C25" s="46" t="inlineStr">
        <is>
          <t>🟡 زرد</t>
        </is>
      </c>
      <c r="D25" s="46" t="inlineStr">
        <is>
          <t>WorkItemRevisions</t>
        </is>
      </c>
      <c r="E25" s="46" t="inlineStr">
        <is>
          <t>⚠️ MOCK: تاریخ Ready for Retest</t>
        </is>
      </c>
      <c r="F25" s="46" t="inlineStr">
        <is>
          <t>Query مورد نیاز:
SELECT [System.Id], MIN([System.ChangedDate])
FROM WorkItemRevisions
WHERE [System.State] = 'Ready for Retest'
GROUP BY [System.Id]</t>
        </is>
      </c>
    </row>
    <row r="26" ht="80" customHeight="1">
      <c r="A26" s="45" t="inlineStr">
        <is>
          <t>VerifiedDate</t>
        </is>
      </c>
      <c r="B26" s="46" t="inlineStr">
        <is>
          <t>تاریخ</t>
        </is>
      </c>
      <c r="C26" s="46" t="inlineStr">
        <is>
          <t>🟡 زرد</t>
        </is>
      </c>
      <c r="D26" s="46" t="inlineStr">
        <is>
          <t>WorkItemRevisions</t>
        </is>
      </c>
      <c r="E26" s="46" t="inlineStr">
        <is>
          <t>⚠️ MOCK: تاریخ Verified</t>
        </is>
      </c>
      <c r="F26" s="46" t="inlineStr">
        <is>
          <t>Query مورد نیاز:
SELECT [System.Id], MIN([System.ChangedDate])
FROM WorkItemRevisions
WHERE [System.State] = 'Verified'
GROUP BY [System.Id]</t>
        </is>
      </c>
    </row>
    <row r="27" ht="80" customHeight="1">
      <c r="A27" s="45" t="inlineStr">
        <is>
          <t>DoneDate</t>
        </is>
      </c>
      <c r="B27" s="46" t="inlineStr">
        <is>
          <t>تاریخ</t>
        </is>
      </c>
      <c r="C27" s="46" t="inlineStr">
        <is>
          <t>🟡 زرد</t>
        </is>
      </c>
      <c r="D27" s="46" t="inlineStr">
        <is>
          <t>WorkItemRevisions</t>
        </is>
      </c>
      <c r="E27" s="46" t="inlineStr">
        <is>
          <t>⚠️ MOCK: تاریخ Done</t>
        </is>
      </c>
      <c r="F27" s="46" t="inlineStr">
        <is>
          <t>Query مورد نیاز:
SELECT [System.Id], MIN([System.ChangedDate])
FROM WorkItemRevisions
WHERE [System.State] = 'Done'
GROUP BY [System.Id]
فعلاً از ClosedDate استفاده شده</t>
        </is>
      </c>
    </row>
    <row r="28" ht="80" customHeight="1">
      <c r="A28" s="45" t="inlineStr">
        <is>
          <t>ReopenCount</t>
        </is>
      </c>
      <c r="B28" s="46" t="inlineStr">
        <is>
          <t>عدد</t>
        </is>
      </c>
      <c r="C28" s="46" t="inlineStr">
        <is>
          <t>🟡 زرد</t>
        </is>
      </c>
      <c r="D28" s="46" t="inlineStr">
        <is>
          <t>WorkItemRevisions</t>
        </is>
      </c>
      <c r="E28" s="46" t="inlineStr">
        <is>
          <t>⚠️ MOCK: تعداد دفعات Reopen شدن</t>
        </is>
      </c>
      <c r="F28" s="46" t="inlineStr">
        <is>
          <t>Query مورد نیاز:
SELECT [System.Id],
       COUNT(*) as ReopenCount
FROM WorkItemRevisions
WHERE [System.WorkItemType] = 'Bug'
  AND [System.Reason] = 'Reopen'
GROUP BY [System.Id]
یا:
شمارش تعداد دفعاتی که State از Closed/Done به Active برگشته
فعلاً = 0 (پیش‌فرض)</t>
        </is>
      </c>
    </row>
    <row r="29" ht="80" customHeight="1">
      <c r="A29" s="45" t="inlineStr">
        <is>
          <t>FirstReopenDate</t>
        </is>
      </c>
      <c r="B29" s="46" t="inlineStr">
        <is>
          <t>تاریخ</t>
        </is>
      </c>
      <c r="C29" s="46" t="inlineStr">
        <is>
          <t>🟡 زرد</t>
        </is>
      </c>
      <c r="D29" s="46" t="inlineStr">
        <is>
          <t>WorkItemRevisions</t>
        </is>
      </c>
      <c r="E29" s="46" t="inlineStr">
        <is>
          <t>⚠️ MOCK: اولین تاریخ Reopen</t>
        </is>
      </c>
      <c r="F29" s="46" t="inlineStr">
        <is>
          <t>Query مورد نیاز:
SELECT [System.Id],
       MIN([System.ChangedDate]) as FirstReopenDate
FROM WorkItemRevisions
WHERE [System.Reason] = 'Reopen'
GROUP BY [System.Id]</t>
        </is>
      </c>
    </row>
    <row r="30" ht="80" customHeight="1">
      <c r="A30" s="45" t="inlineStr">
        <is>
          <t>LastReopenDate</t>
        </is>
      </c>
      <c r="B30" s="46" t="inlineStr">
        <is>
          <t>تاریخ</t>
        </is>
      </c>
      <c r="C30" s="46" t="inlineStr">
        <is>
          <t>🟡 زرد</t>
        </is>
      </c>
      <c r="D30" s="46" t="inlineStr">
        <is>
          <t>WorkItemRevisions</t>
        </is>
      </c>
      <c r="E30" s="46" t="inlineStr">
        <is>
          <t>⚠️ MOCK: آخرین تاریخ Reopen</t>
        </is>
      </c>
      <c r="F30" s="46" t="inlineStr">
        <is>
          <t>Query مورد نیاز:
SELECT [System.Id],
       MAX([System.ChangedDate]) as LastReopenDate
FROM WorkItemRevisions
WHERE [System.Reason] = 'Reopen'
GROUP BY [System.Id]</t>
        </is>
      </c>
    </row>
    <row r="31" ht="80" customHeight="1">
      <c r="A31" s="45" t="inlineStr">
        <is>
          <t>StateTransitionCount</t>
        </is>
      </c>
      <c r="B31" s="46" t="inlineStr">
        <is>
          <t>عدد</t>
        </is>
      </c>
      <c r="C31" s="46" t="inlineStr">
        <is>
          <t>🟡 زرد</t>
        </is>
      </c>
      <c r="D31" s="46" t="inlineStr">
        <is>
          <t>WorkItemRevisions</t>
        </is>
      </c>
      <c r="E31" s="46" t="inlineStr">
        <is>
          <t>⚠️ MOCK: تعداد تغییرات State</t>
        </is>
      </c>
      <c r="F31" s="46" t="inlineStr">
        <is>
          <t>Query مورد نیاز:
SELECT [System.Id],
       COUNT(DISTINCT [System.State]) as StateTransitionCount
FROM WorkItemRevisions
WHERE [System.WorkItemType] = 'Bug'
GROUP BY [System.Id]
فعلاً = 2 (پیش‌فرض حداقل)</t>
        </is>
      </c>
    </row>
    <row r="32" ht="80" customHeight="1">
      <c r="A32" s="45" t="inlineStr">
        <is>
          <t>StateChangeCount</t>
        </is>
      </c>
      <c r="B32" s="46" t="inlineStr">
        <is>
          <t>عدد</t>
        </is>
      </c>
      <c r="C32" s="46" t="inlineStr">
        <is>
          <t>🟡 زرد</t>
        </is>
      </c>
      <c r="D32" s="46" t="inlineStr">
        <is>
          <t>WorkItemRevisions</t>
        </is>
      </c>
      <c r="E32" s="46" t="inlineStr">
        <is>
          <t>⚠️ MOCK: تعداد تغییرات State (مشابه بالا)</t>
        </is>
      </c>
      <c r="F32" s="46" t="inlineStr">
        <is>
          <t>همان StateTransitionCount
فعلاً = 2</t>
        </is>
      </c>
    </row>
    <row r="33" ht="80" customHeight="1">
      <c r="A33" s="45" t="inlineStr">
        <is>
          <t>AssigneeChangeCount</t>
        </is>
      </c>
      <c r="B33" s="46" t="inlineStr">
        <is>
          <t>عدد</t>
        </is>
      </c>
      <c r="C33" s="46" t="inlineStr">
        <is>
          <t>🟡 زرد</t>
        </is>
      </c>
      <c r="D33" s="46" t="inlineStr">
        <is>
          <t>WorkItemRevisions</t>
        </is>
      </c>
      <c r="E33" s="46" t="inlineStr">
        <is>
          <t>⚠️ MOCK: تعداد تغییرات مسئول</t>
        </is>
      </c>
      <c r="F33" s="46" t="inlineStr">
        <is>
          <t>Query مورد نیاز:
SELECT [System.Id],
       COUNT(DISTINCT [System.AssignedTo]) - 1 as AssigneeChangeCount
FROM WorkItemRevisions
WHERE [System.WorkItemType] = 'Bug'
GROUP BY [System.Id]
فعلاً = 0</t>
        </is>
      </c>
    </row>
    <row r="34" ht="80" customHeight="1">
      <c r="A34" s="45" t="inlineStr">
        <is>
          <t>StateHistory</t>
        </is>
      </c>
      <c r="B34" s="46" t="inlineStr">
        <is>
          <t>متن</t>
        </is>
      </c>
      <c r="C34" s="46" t="inlineStr">
        <is>
          <t>🟡 زرد</t>
        </is>
      </c>
      <c r="D34" s="46" t="inlineStr">
        <is>
          <t>WorkItemRevisions</t>
        </is>
      </c>
      <c r="E34" s="46" t="inlineStr">
        <is>
          <t>⚠️ MOCK: تاریخچه تغییرات State</t>
        </is>
      </c>
      <c r="F34" s="46" t="inlineStr">
        <is>
          <t>Query مورد نیاز:
SELECT [System.Id],
       STRING_AGG([System.State] + '|' +
                  CONVERT(VARCHAR, [System.ChangedDate], 120), '; ')
FROM WorkItemRevisions
WHERE [System.WorkItemType] = 'Bug'
GROUP BY [System.Id]
خروجی مثال: "New|2025-01-01; Active|2025-01-05; Closed|2025-01-10"</t>
        </is>
      </c>
    </row>
    <row r="35" ht="80" customHeight="1">
      <c r="A35" s="45" t="inlineStr">
        <is>
          <t>PreviousState</t>
        </is>
      </c>
      <c r="B35" s="46" t="inlineStr">
        <is>
          <t>متن</t>
        </is>
      </c>
      <c r="C35" s="46" t="inlineStr">
        <is>
          <t>🟡 زرد</t>
        </is>
      </c>
      <c r="D35" s="46" t="inlineStr">
        <is>
          <t>WorkItemRevisions</t>
        </is>
      </c>
      <c r="E35" s="46" t="inlineStr">
        <is>
          <t>⚠️ MOCK: State قبلی</t>
        </is>
      </c>
      <c r="F35" s="46" t="inlineStr">
        <is>
          <t>Query مورد نیاز:
SELECT w1.[System.Id], w2.[System.State] as PreviousState
FROM WorkItemRevisions w1
LEFT JOIN WorkItemRevisions w2
  ON w1.[System.Id] = w2.[System.Id]
  AND w2.[System.Rev] = (SELECT MAX([System.Rev])
                          FROM WorkItemRevisions
                          WHERE [System.Id] = w1.[System.Id]
                            AND [System.Rev] &lt; w1.[System.Rev])
WHERE w1.[System.Rev] = (SELECT MAX([System.Rev])
                          FROM WorkItemRevisions
                          WHERE [System.Id] = w1.[System.Id])</t>
        </is>
      </c>
    </row>
    <row r="36" ht="80" customHeight="1">
      <c r="A36" s="45" t="inlineStr">
        <is>
          <t>is_escaped</t>
        </is>
      </c>
      <c r="B36" s="46" t="inlineStr">
        <is>
          <t>عدد</t>
        </is>
      </c>
      <c r="C36" s="46" t="inlineStr">
        <is>
          <t>🟡 زرد</t>
        </is>
      </c>
      <c r="D36" s="46" t="inlineStr">
        <is>
          <t>محاسبه دستی</t>
        </is>
      </c>
      <c r="E36" s="46" t="inlineStr">
        <is>
          <t>⚠️ MOCK: آیا از Test فرار کرده؟</t>
        </is>
      </c>
      <c r="F36" s="46" t="inlineStr">
        <is>
          <t>محاسبه:
اگر باگ در Production پیدا شده (نه در Test Environment)
فعلاً = 0 (برای همه)
نیاز به تعریف دقیق: چطور تشخیص بدیم Escaped است؟
- از Environment Tag?
- از Found In Release vs Target Release?</t>
        </is>
      </c>
    </row>
    <row r="37" ht="80" customHeight="1">
      <c r="A37" s="45" t="inlineStr">
        <is>
          <t>IsDuplicate</t>
        </is>
      </c>
      <c r="B37" s="46" t="inlineStr">
        <is>
          <t>عدد</t>
        </is>
      </c>
      <c r="C37" s="46" t="inlineStr">
        <is>
          <t>🟠 نارنجی</t>
        </is>
      </c>
      <c r="D37" s="46" t="inlineStr">
        <is>
          <t>محاسبه</t>
        </is>
      </c>
      <c r="E37" s="46" t="inlineStr">
        <is>
          <t>آیا Duplicate است؟ (1=بله, 0=خیر)</t>
        </is>
      </c>
      <c r="F37" s="46" t="inlineStr">
        <is>
          <t>فرمول:
IF(CloseReason = "Duplicate", 1, 0)
محاسبه شده از CloseReason</t>
        </is>
      </c>
    </row>
    <row r="38" ht="80" customHeight="1">
      <c r="A38" s="45" t="inlineStr">
        <is>
          <t>LeadTimeHrs</t>
        </is>
      </c>
      <c r="B38" s="46" t="inlineStr">
        <is>
          <t>عدد</t>
        </is>
      </c>
      <c r="C38" s="46" t="inlineStr">
        <is>
          <t>🟠 نارنجی</t>
        </is>
      </c>
      <c r="D38" s="46" t="inlineStr">
        <is>
          <t>محاسبه</t>
        </is>
      </c>
      <c r="E38" s="46" t="inlineStr">
        <is>
          <t>زمان کل از ایجاد تا بستن (ساعت)</t>
        </is>
      </c>
      <c r="F38" s="46" t="inlineStr">
        <is>
          <t>فرمول:
LeadTime = (ClosedDate - CreatedDate) بر حسب ساعت
مثال: اگر Created = 2025-01-01 و Closed = 2025-01-03
LeadTime = 48 ساعت
⚠️ فعلاً از CreatedDate تقریبی استفاده شده</t>
        </is>
      </c>
    </row>
    <row r="39" ht="80" customHeight="1">
      <c r="A39" s="45" t="inlineStr">
        <is>
          <t>CycleTimeHrs</t>
        </is>
      </c>
      <c r="B39" s="46" t="inlineStr">
        <is>
          <t>عدد</t>
        </is>
      </c>
      <c r="C39" s="46" t="inlineStr">
        <is>
          <t>🟠 نارنجی</t>
        </is>
      </c>
      <c r="D39" s="46" t="inlineStr">
        <is>
          <t>محاسبه</t>
        </is>
      </c>
      <c r="E39" s="46" t="inlineStr">
        <is>
          <t>زمان واقعی کار (بدون انتظار)</t>
        </is>
      </c>
      <c r="F39" s="46" t="inlineStr">
        <is>
          <t>فرمول:
CycleTime = (ClosedDate - FirstActiveDate) بر حسب ساعت
یا تقریب: CycleTime ≈ LeadTime × 0.7
⚠️ فعلاً 70% از LeadTime محاسبه شده</t>
        </is>
      </c>
    </row>
    <row r="40" ht="80" customHeight="1">
      <c r="A40" s="45" t="inlineStr">
        <is>
          <t>AgeDays</t>
        </is>
      </c>
      <c r="B40" s="46" t="inlineStr">
        <is>
          <t>عدد</t>
        </is>
      </c>
      <c r="C40" s="46" t="inlineStr">
        <is>
          <t>🟠 نارنجی</t>
        </is>
      </c>
      <c r="D40" s="46" t="inlineStr">
        <is>
          <t>محاسبه</t>
        </is>
      </c>
      <c r="E40" s="46" t="inlineStr">
        <is>
          <t>سن باگ (برای باگ‌های باز)</t>
        </is>
      </c>
      <c r="F40" s="46" t="inlineStr">
        <is>
          <t>فرمول:
برای باگ‌های باز (Open, Active):
AgeDays = (امروز - CreatedDate) بر حسب روز
برای باگ‌های بسته: NULL</t>
        </is>
      </c>
    </row>
    <row r="41" ht="80" customHeight="1">
      <c r="A41" s="45" t="inlineStr">
        <is>
          <t>TriageDurationHrs</t>
        </is>
      </c>
      <c r="B41" s="46" t="inlineStr">
        <is>
          <t>عدد</t>
        </is>
      </c>
      <c r="C41" s="46" t="inlineStr">
        <is>
          <t>🟠 نارنجی</t>
        </is>
      </c>
      <c r="D41" s="46" t="inlineStr">
        <is>
          <t>محاسبه</t>
        </is>
      </c>
      <c r="E41" s="46" t="inlineStr">
        <is>
          <t>⚠️ MOCK: مدت زمان در Triage</t>
        </is>
      </c>
      <c r="F41" s="46" t="inlineStr">
        <is>
          <t>فرمول:
(AssignedDate - TriageDate) بر حسب ساعت
⚠️ نیاز به WorkItemRevisions
فعلاً = 0</t>
        </is>
      </c>
    </row>
    <row r="42" ht="80" customHeight="1">
      <c r="A42" s="45" t="inlineStr">
        <is>
          <t>ReadyForRetestDurationHrs</t>
        </is>
      </c>
      <c r="B42" s="46" t="inlineStr">
        <is>
          <t>عدد</t>
        </is>
      </c>
      <c r="C42" s="46" t="inlineStr">
        <is>
          <t>🟠 نارنجی</t>
        </is>
      </c>
      <c r="D42" s="46" t="inlineStr">
        <is>
          <t>محاسبه</t>
        </is>
      </c>
      <c r="E42" s="46" t="inlineStr">
        <is>
          <t>⚠️ MOCK: مدت زمان در Ready for Retest</t>
        </is>
      </c>
      <c r="F42" s="46" t="inlineStr">
        <is>
          <t>فرمول:
(VerifiedDate - ReadyForRetestDate) بر حسب ساعت
⚠️ نیاز به WorkItemRevisions
فعلاً = 0</t>
        </is>
      </c>
    </row>
    <row r="43" ht="80" customHeight="1">
      <c r="A43" s="45" t="inlineStr">
        <is>
          <t>WaitTimeHrs</t>
        </is>
      </c>
      <c r="B43" s="46" t="inlineStr">
        <is>
          <t>عدد</t>
        </is>
      </c>
      <c r="C43" s="46" t="inlineStr">
        <is>
          <t>🟠 نارنجی</t>
        </is>
      </c>
      <c r="D43" s="46" t="inlineStr">
        <is>
          <t>محاسبه</t>
        </is>
      </c>
      <c r="E43" s="46" t="inlineStr">
        <is>
          <t>⚠️ MOCK: زمان انتظار کل</t>
        </is>
      </c>
      <c r="F43" s="46" t="inlineStr">
        <is>
          <t>فرمول:
LeadTime - CycleTime = زمان انتظار
⚠️ نیاز به WorkItemRevisions دقیق
فعلاً = 0</t>
        </is>
      </c>
    </row>
    <row r="44" ht="80" customHeight="1">
      <c r="A44" s="45" t="inlineStr">
        <is>
          <t>ResponseTimeHrs</t>
        </is>
      </c>
      <c r="B44" s="46" t="inlineStr">
        <is>
          <t>عدد</t>
        </is>
      </c>
      <c r="C44" s="46" t="inlineStr">
        <is>
          <t>🟠 نارنجی</t>
        </is>
      </c>
      <c r="D44" s="46" t="inlineStr">
        <is>
          <t>محاسبه</t>
        </is>
      </c>
      <c r="E44" s="46" t="inlineStr">
        <is>
          <t>⚠️ MOCK: زمان پاسخ اولیه</t>
        </is>
      </c>
      <c r="F44" s="46" t="inlineStr">
        <is>
          <t>فرمول:
(AssignedDate - CreatedDate) بر حسب ساعت
⚠️ نیاز به CreatedDate واقعی
فعلاً = 24 (پیش‌فرض 1 روز)</t>
        </is>
      </c>
    </row>
    <row r="45" ht="80" customHeight="1">
      <c r="A45" s="45" t="inlineStr">
        <is>
          <t>FixEffortHrs</t>
        </is>
      </c>
      <c r="B45" s="46" t="inlineStr">
        <is>
          <t>عدد</t>
        </is>
      </c>
      <c r="C45" s="46" t="inlineStr">
        <is>
          <t>🔵 آبی</t>
        </is>
      </c>
      <c r="D45" s="46" t="inlineStr">
        <is>
          <t>Related Work Items</t>
        </is>
      </c>
      <c r="E45" s="46" t="inlineStr">
        <is>
          <t>⚠️ MOCK: زمان رفع باگ توسط Developer</t>
        </is>
      </c>
      <c r="F45" s="46" t="inlineStr">
        <is>
          <t>نحوه دریافت:
از Related Tasks این باگ:
SELECT Child.[System.Id] as BugID,
       SUM(Child.[Microsoft.VSTS.Scheduling.CompletedWork]) as FixEffortHrs
FROM WorkItemLinks
INNER JOIN WorkItems Parent ON Parent.[System.Id] = WorkItemLinks.[System.Links.LinkType.ForwardEnd.Id]
INNER JOIN WorkItems Child ON Child.[System.Id] = WorkItemLinks.[System.Links.LinkType.ReverseEnd.Id]
WHERE Parent.[System.WorkItemType] = 'Bug'
  AND Child.[System.WorkItemType] = 'Task'
  AND WorkItemLinks.[System.Links.LinkType] = 'System.LinkTypes.Related'
GROUP BY Child.[System.Id]
یا از CompletedWork فیلد خود Bug (اگر تیم Effort ثبت کنه)
فعلاً = 0 (باید از Query بالا گرفته شود)</t>
        </is>
      </c>
    </row>
    <row r="46" ht="80" customHeight="1">
      <c r="A46" s="45" t="inlineStr">
        <is>
          <t>ModuleName</t>
        </is>
      </c>
      <c r="B46" s="46" t="inlineStr">
        <is>
          <t>متن</t>
        </is>
      </c>
      <c r="C46" s="46" t="inlineStr">
        <is>
          <t>🔵 آبی</t>
        </is>
      </c>
      <c r="D46" s="46" t="inlineStr">
        <is>
          <t>ورود دستی</t>
        </is>
      </c>
      <c r="E46" s="46" t="inlineStr">
        <is>
          <t>نام ماژول/کامپوننت کدی که باگ در آن است</t>
        </is>
      </c>
      <c r="F46" s="46" t="inlineStr">
        <is>
          <t>این فیلد باید توسط Developer یا QA به صورت دستی پر شود.
گزینه‌های پیشنهادی:
- ایجاد Custom Field در Azure DevOps: "Module"
- یا استفاده از Area Path
- یا Tag استفاده کنید
فعلاً = "N/A"</t>
        </is>
      </c>
    </row>
    <row r="47" ht="80" customHeight="1">
      <c r="A47" s="45" t="inlineStr">
        <is>
          <t>RootCause</t>
        </is>
      </c>
      <c r="B47" s="46" t="inlineStr">
        <is>
          <t>متن</t>
        </is>
      </c>
      <c r="C47" s="46" t="inlineStr">
        <is>
          <t>🔵 آبی</t>
        </is>
      </c>
      <c r="D47" s="46" t="inlineStr">
        <is>
          <t>ورود دستی</t>
        </is>
      </c>
      <c r="E47" s="46" t="inlineStr">
        <is>
          <t>علت ریشه‌ای باگ (توصیفی)</t>
        </is>
      </c>
      <c r="F47" s="46" t="inlineStr">
        <is>
          <t>این فیلد توصیفی است و باید توسط Developer پر شود.
مثال‌ها:
- "Null Reference Exception"
- "Logic Error in Calculation"
- "Missing Validation"
- "Integration Issue"
فعلاً = "N/A"</t>
        </is>
      </c>
    </row>
    <row r="48">
      <c r="A48" s="45" t="inlineStr">
        <is>
          <t>TestCaseID</t>
        </is>
      </c>
      <c r="B48" s="46" t="inlineStr">
        <is>
          <t>متن</t>
        </is>
      </c>
      <c r="C48" s="46" t="inlineStr">
        <is>
          <t>🔵 آبی</t>
        </is>
      </c>
      <c r="D48" s="46" t="inlineStr">
        <is>
          <t>Related Work Items</t>
        </is>
      </c>
      <c r="E48" s="46" t="inlineStr">
        <is>
          <t>شناسه Test Case مرتبط</t>
        </is>
      </c>
      <c r="F48" s="46" t="inlineStr">
        <is>
          <t>نحوه دریافت:
از Related Test Cases:
SELECT Parent.[System.Id] as BugID,
       Child.[System.Id] as TestCaseID
FROM WorkItemLinks
WHERE Parent.[System.WorkItemType] = 'Bug'
  AND Child.[System.WorkItemType] = 'Test Case'
  AND WorkItemLinks.[System.Links.LinkType] = 'System.LinkTypes.TestedBy'
فعلاً = "" (خالی)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3" max="3"/>
    <col width="14" customWidth="1" min="5" max="5"/>
    <col width="14" customWidth="1" min="7" max="7"/>
    <col width="14" customWidth="1" min="9" max="9"/>
    <col width="14" customWidth="1" min="11" max="11"/>
    <col width="14" customWidth="1" min="13" max="13"/>
  </cols>
  <sheetData>
    <row r="1" ht="30" customHeight="1">
      <c r="A1" s="47" t="inlineStr">
        <is>
          <t>داشبورد مدیریتی</t>
        </is>
      </c>
    </row>
    <row r="2" ht="20" customHeight="1">
      <c r="A2" s="2" t="inlineStr">
        <is>
          <t>Executive Summary | Last Updated: December 25, 2025 at 21:46</t>
        </is>
      </c>
    </row>
    <row r="4">
      <c r="A4" s="3" t="inlineStr">
        <is>
          <t>Start تاریخ</t>
        </is>
      </c>
      <c r="C4" s="3" t="inlineStr">
        <is>
          <t>End تاریخ</t>
        </is>
      </c>
      <c r="E4" s="3" t="inlineStr">
        <is>
          <t>پروژه</t>
        </is>
      </c>
      <c r="G4" s="3" t="inlineStr">
        <is>
          <t>تیم</t>
        </is>
      </c>
      <c r="I4" s="3" t="inlineStr">
        <is>
          <t>اسپرینت</t>
        </is>
      </c>
      <c r="K4" s="3" t="inlineStr">
        <is>
          <t>شدت</t>
        </is>
      </c>
      <c r="M4" s="3" t="inlineStr">
        <is>
          <t>State</t>
        </is>
      </c>
    </row>
    <row r="5" ht="25" customHeight="1">
      <c r="A5" s="4" t="inlineStr">
        <is>
          <t>2023-01-01</t>
        </is>
      </c>
      <c r="C5" s="4" t="inlineStr">
        <is>
          <t>2023-12-31</t>
        </is>
      </c>
      <c r="E5" s="4" t="inlineStr">
        <is>
          <t>All</t>
        </is>
      </c>
      <c r="G5" s="4" t="inlineStr">
        <is>
          <t>All</t>
        </is>
      </c>
      <c r="I5" s="4" t="inlineStr">
        <is>
          <t>اسپرینت 4</t>
        </is>
      </c>
      <c r="K5" s="4" t="inlineStr">
        <is>
          <t>All</t>
        </is>
      </c>
      <c r="M5" s="4" t="inlineStr">
        <is>
          <t>All</t>
        </is>
      </c>
    </row>
    <row r="6">
      <c r="A6" s="31" t="inlineStr">
        <is>
          <t>اولویت</t>
        </is>
      </c>
      <c r="C6" s="31" t="inlineStr">
        <is>
          <t>Category</t>
        </is>
      </c>
      <c r="E6" s="31" t="inlineStr">
        <is>
          <t>ماژول</t>
        </is>
      </c>
      <c r="G6" s="31" t="inlineStr">
        <is>
          <t>Is Regression</t>
        </is>
      </c>
      <c r="I6" s="31" t="inlineStr">
        <is>
          <t>Is Escaped</t>
        </is>
      </c>
    </row>
    <row r="7">
      <c r="A7" s="32" t="inlineStr">
        <is>
          <t>All</t>
        </is>
      </c>
      <c r="C7" s="32" t="inlineStr">
        <is>
          <t>All</t>
        </is>
      </c>
      <c r="E7" s="32" t="inlineStr">
        <is>
          <t>All</t>
        </is>
      </c>
      <c r="G7" s="32" t="inlineStr">
        <is>
          <t>All</t>
        </is>
      </c>
      <c r="I7" s="32" t="inlineStr">
        <is>
          <t>All</t>
        </is>
      </c>
    </row>
    <row r="8">
      <c r="A8" s="5" t="inlineStr">
        <is>
          <t>مجموع باگ‌ها</t>
        </is>
      </c>
      <c r="C8" s="6" t="inlineStr">
        <is>
          <t>باز باگ‌ها</t>
        </is>
      </c>
      <c r="E8" s="7" t="inlineStr">
        <is>
          <t>Critical باگ‌ها</t>
        </is>
      </c>
      <c r="G8" s="8" t="inlineStr">
        <is>
          <t>Resolved باگ‌ها</t>
        </is>
      </c>
      <c r="I8" s="8" t="inlineStr">
        <is>
          <t>Quality Index</t>
        </is>
      </c>
      <c r="K8" s="8" t="inlineStr">
        <is>
          <t>Avg Lead Time</t>
        </is>
      </c>
    </row>
    <row r="9">
      <c r="A9" s="9" t="inlineStr">
        <is>
          <t>8,431</t>
        </is>
      </c>
      <c r="C9" s="10" t="inlineStr">
        <is>
          <t>2,145</t>
        </is>
      </c>
      <c r="E9" s="11" t="inlineStr">
        <is>
          <t>842</t>
        </is>
      </c>
      <c r="G9" s="12" t="inlineStr">
        <is>
          <t>4,782</t>
        </is>
      </c>
      <c r="I9" s="12" t="inlineStr">
        <is>
          <t>85.4%</t>
        </is>
      </c>
      <c r="K9" s="12" t="inlineStr">
        <is>
          <t>48.5h</t>
        </is>
      </c>
    </row>
    <row r="10">
      <c r="A10" s="13" t="inlineStr">
        <is>
          <t>vs 7,215</t>
        </is>
      </c>
      <c r="C10" s="14" t="inlineStr">
        <is>
          <t>vs 2,876</t>
        </is>
      </c>
      <c r="E10" s="15" t="inlineStr">
        <is>
          <t>vs 1,123</t>
        </is>
      </c>
      <c r="G10" s="16" t="inlineStr">
        <is>
          <t>vs 3,912</t>
        </is>
      </c>
      <c r="I10" s="16" t="inlineStr">
        <is>
          <t>vs 78.2%</t>
        </is>
      </c>
      <c r="K10" s="16" t="inlineStr">
        <is>
          <t>vs 56.3h</t>
        </is>
      </c>
    </row>
    <row r="11">
      <c r="A11" s="5" t="inlineStr">
        <is>
          <t>+16.8%</t>
        </is>
      </c>
      <c r="C11" s="6" t="inlineStr">
        <is>
          <t>-25.4%</t>
        </is>
      </c>
      <c r="E11" s="7" t="inlineStr">
        <is>
          <t>-25.0%</t>
        </is>
      </c>
      <c r="G11" s="8" t="inlineStr">
        <is>
          <t>+22.2%</t>
        </is>
      </c>
      <c r="I11" s="8" t="inlineStr">
        <is>
          <t>+9.2%</t>
        </is>
      </c>
      <c r="K11" s="8" t="inlineStr">
        <is>
          <t>-13.9%</t>
        </is>
      </c>
    </row>
    <row r="14">
      <c r="A14" s="6" t="inlineStr">
        <is>
          <t>High شدت</t>
        </is>
      </c>
      <c r="C14" s="17" t="inlineStr">
        <is>
          <t>Medium شدت</t>
        </is>
      </c>
      <c r="E14" s="8" t="inlineStr">
        <is>
          <t>Low شدت</t>
        </is>
      </c>
      <c r="G14" s="7" t="inlineStr">
        <is>
          <t>Reopened باگ‌ها</t>
        </is>
      </c>
      <c r="I14" s="7" t="inlineStr">
        <is>
          <t>Escaped باگ‌ها</t>
        </is>
      </c>
      <c r="K14" s="7" t="inlineStr">
        <is>
          <t>P0 باگ‌ها</t>
        </is>
      </c>
    </row>
    <row r="15">
      <c r="A15" s="10" t="inlineStr">
        <is>
          <t>1,928</t>
        </is>
      </c>
      <c r="C15" s="18" t="inlineStr">
        <is>
          <t>3,201</t>
        </is>
      </c>
      <c r="E15" s="12" t="inlineStr">
        <is>
          <t>2,518</t>
        </is>
      </c>
      <c r="G15" s="11" t="inlineStr">
        <is>
          <t>621</t>
        </is>
      </c>
      <c r="I15" s="11" t="inlineStr">
        <is>
          <t>412</t>
        </is>
      </c>
      <c r="K15" s="11" t="inlineStr">
        <is>
          <t>512</t>
        </is>
      </c>
    </row>
    <row r="16">
      <c r="A16" s="14" t="inlineStr">
        <is>
          <t>vs 1,645</t>
        </is>
      </c>
      <c r="C16" s="19" t="inlineStr">
        <is>
          <t>vs 2,834</t>
        </is>
      </c>
      <c r="E16" s="16" t="inlineStr">
        <is>
          <t>vs 1,713</t>
        </is>
      </c>
      <c r="G16" s="15" t="inlineStr">
        <is>
          <t>vs 834</t>
        </is>
      </c>
      <c r="I16" s="15" t="inlineStr">
        <is>
          <t>vs 623</t>
        </is>
      </c>
      <c r="K16" s="15" t="inlineStr">
        <is>
          <t>vs 734</t>
        </is>
      </c>
    </row>
    <row r="17">
      <c r="A17" s="6" t="inlineStr">
        <is>
          <t>+17.2%</t>
        </is>
      </c>
      <c r="C17" s="17" t="inlineStr">
        <is>
          <t>+13.0%</t>
        </is>
      </c>
      <c r="E17" s="8" t="inlineStr">
        <is>
          <t>+47.1%</t>
        </is>
      </c>
      <c r="G17" s="7" t="inlineStr">
        <is>
          <t>-25.5%</t>
        </is>
      </c>
      <c r="I17" s="7" t="inlineStr">
        <is>
          <t>-33.9%</t>
        </is>
      </c>
      <c r="K17" s="7" t="inlineStr">
        <is>
          <t>-30.2%</t>
        </is>
      </c>
    </row>
    <row r="24">
      <c r="A24" t="inlineStr">
        <is>
          <t>وضعیت</t>
        </is>
      </c>
      <c r="B24" t="inlineStr">
        <is>
          <t>تعداد</t>
        </is>
      </c>
      <c r="D24" t="inlineStr">
        <is>
          <t>شدت</t>
        </is>
      </c>
      <c r="E24" t="inlineStr">
        <is>
          <t>تعداد</t>
        </is>
      </c>
      <c r="G24" t="inlineStr">
        <is>
          <t>Month</t>
        </is>
      </c>
      <c r="H24" t="inlineStr">
        <is>
          <t>بازed</t>
        </is>
      </c>
      <c r="I24" t="inlineStr">
        <is>
          <t>بسته شده</t>
        </is>
      </c>
      <c r="K24" t="inlineStr">
        <is>
          <t>اولویت</t>
        </is>
      </c>
      <c r="L24" t="inlineStr">
        <is>
          <t>تعداد</t>
        </is>
      </c>
    </row>
    <row r="25">
      <c r="A25" t="inlineStr">
        <is>
          <t>باز</t>
        </is>
      </c>
      <c r="B25" t="n">
        <v>2145</v>
      </c>
      <c r="D25" t="inlineStr">
        <is>
          <t>Critical</t>
        </is>
      </c>
      <c r="E25" t="n">
        <v>842</v>
      </c>
      <c r="G25" t="inlineStr">
        <is>
          <t>Jan</t>
        </is>
      </c>
      <c r="H25" t="n">
        <v>2100</v>
      </c>
      <c r="I25" t="n">
        <v>1800</v>
      </c>
      <c r="K25" t="inlineStr">
        <is>
          <t>P0</t>
        </is>
      </c>
      <c r="L25" t="n">
        <v>512</v>
      </c>
    </row>
    <row r="26">
      <c r="A26" t="inlineStr">
        <is>
          <t>Active</t>
        </is>
      </c>
      <c r="B26" t="n">
        <v>3501</v>
      </c>
      <c r="D26" t="inlineStr">
        <is>
          <t>High</t>
        </is>
      </c>
      <c r="E26" t="n">
        <v>1928</v>
      </c>
      <c r="G26" t="inlineStr">
        <is>
          <t>Feb</t>
        </is>
      </c>
      <c r="H26" t="n">
        <v>2300</v>
      </c>
      <c r="I26" t="n">
        <v>1950</v>
      </c>
      <c r="K26" t="inlineStr">
        <is>
          <t>P1</t>
        </is>
      </c>
      <c r="L26" t="n">
        <v>1334</v>
      </c>
    </row>
    <row r="27">
      <c r="A27" t="inlineStr">
        <is>
          <t>In Progress</t>
        </is>
      </c>
      <c r="B27" t="n">
        <v>1523</v>
      </c>
      <c r="D27" t="inlineStr">
        <is>
          <t>Medium</t>
        </is>
      </c>
      <c r="E27" t="n">
        <v>3201</v>
      </c>
      <c r="G27" t="inlineStr">
        <is>
          <t>Mar</t>
        </is>
      </c>
      <c r="H27" t="n">
        <v>2150</v>
      </c>
      <c r="I27" t="n">
        <v>2100</v>
      </c>
      <c r="K27" t="inlineStr">
        <is>
          <t>P2</t>
        </is>
      </c>
      <c r="L27" t="n">
        <v>2876</v>
      </c>
    </row>
    <row r="28">
      <c r="A28" t="inlineStr">
        <is>
          <t>Resolved</t>
        </is>
      </c>
      <c r="B28" t="n">
        <v>4782</v>
      </c>
      <c r="D28" t="inlineStr">
        <is>
          <t>Low</t>
        </is>
      </c>
      <c r="E28" t="n">
        <v>2518</v>
      </c>
      <c r="G28" t="inlineStr">
        <is>
          <t>Apr</t>
        </is>
      </c>
      <c r="H28" t="n">
        <v>2400</v>
      </c>
      <c r="I28" t="n">
        <v>2200</v>
      </c>
      <c r="K28" t="inlineStr">
        <is>
          <t>P3</t>
        </is>
      </c>
      <c r="L28" t="n">
        <v>3709</v>
      </c>
    </row>
    <row r="29">
      <c r="A29" t="inlineStr">
        <is>
          <t>بسته شده</t>
        </is>
      </c>
      <c r="B29" t="n">
        <v>3945</v>
      </c>
      <c r="G29" t="inlineStr">
        <is>
          <t>May</t>
        </is>
      </c>
      <c r="H29" t="n">
        <v>2200</v>
      </c>
      <c r="I29" t="n">
        <v>2350</v>
      </c>
    </row>
    <row r="30">
      <c r="G30" t="inlineStr">
        <is>
          <t>Jun</t>
        </is>
      </c>
      <c r="H30" t="n">
        <v>2500</v>
      </c>
      <c r="I30" t="n">
        <v>2100</v>
      </c>
    </row>
    <row r="34">
      <c r="A34" t="inlineStr">
        <is>
          <t>Category</t>
        </is>
      </c>
      <c r="B34" t="inlineStr">
        <is>
          <t>تعداد</t>
        </is>
      </c>
      <c r="D34" t="inlineStr">
        <is>
          <t>تیم</t>
        </is>
      </c>
      <c r="E34" t="inlineStr">
        <is>
          <t>باز باگ‌ها</t>
        </is>
      </c>
      <c r="F34" t="inlineStr">
        <is>
          <t>Resolved</t>
        </is>
      </c>
    </row>
    <row r="35">
      <c r="A35" t="inlineStr">
        <is>
          <t>UI/UX</t>
        </is>
      </c>
      <c r="B35" t="n">
        <v>1845</v>
      </c>
      <c r="D35" t="inlineStr">
        <is>
          <t>تیم A</t>
        </is>
      </c>
      <c r="E35" t="n">
        <v>523</v>
      </c>
      <c r="F35" t="n">
        <v>892</v>
      </c>
    </row>
    <row r="36">
      <c r="A36" t="inlineStr">
        <is>
          <t>Performance</t>
        </is>
      </c>
      <c r="B36" t="n">
        <v>512</v>
      </c>
      <c r="D36" t="inlineStr">
        <is>
          <t>تیم B</t>
        </is>
      </c>
      <c r="E36" t="n">
        <v>634</v>
      </c>
      <c r="F36" t="n">
        <v>1023</v>
      </c>
    </row>
    <row r="37">
      <c r="A37" t="inlineStr">
        <is>
          <t>Security</t>
        </is>
      </c>
      <c r="B37" t="n">
        <v>318</v>
      </c>
      <c r="D37" t="inlineStr">
        <is>
          <t>تیم C</t>
        </is>
      </c>
      <c r="E37" t="n">
        <v>445</v>
      </c>
      <c r="F37" t="n">
        <v>789</v>
      </c>
    </row>
    <row r="38">
      <c r="A38" t="inlineStr">
        <is>
          <t>Data Integrity</t>
        </is>
      </c>
      <c r="B38" t="n">
        <v>445</v>
      </c>
      <c r="D38" t="inlineStr">
        <is>
          <t>تیم D</t>
        </is>
      </c>
      <c r="E38" t="n">
        <v>543</v>
      </c>
      <c r="F38" t="n">
        <v>967</v>
      </c>
    </row>
    <row r="39">
      <c r="A39" t="inlineStr">
        <is>
          <t>API</t>
        </is>
      </c>
      <c r="B39" t="n">
        <v>923</v>
      </c>
    </row>
    <row r="40">
      <c r="A40" t="inlineStr">
        <is>
          <t>Database</t>
        </is>
      </c>
      <c r="B40" t="n">
        <v>678</v>
      </c>
    </row>
  </sheetData>
  <mergeCells count="2">
    <mergeCell ref="A1:P1"/>
    <mergeCell ref="A2:P2"/>
  </mergeCells>
  <dataValidations count="10">
    <dataValidation sqref="E5" showDropDown="0" showInputMessage="0" showErrorMessage="0" allowBlank="0" errorTitle="Invalid Entry" error="Invalid selection. Please choose from the list." promptTitle="Select Project" prompt="Please select Project" type="list">
      <formula1>"All,Project Alpha,Project Beta,Project Gamma"</formula1>
    </dataValidation>
    <dataValidation sqref="G5" showDropDown="0" showInputMessage="0" showErrorMessage="0" allowBlank="0" errorTitle="Invalid Entry" error="Invalid selection. Please choose from the list." promptTitle="Select Team" prompt="Please select Team" type="list">
      <formula1>"All,Team A,Team B,Team C,Team D"</formula1>
    </dataValidation>
    <dataValidation sqref="I5" showDropDown="0" showInputMessage="0" showErrorMessage="0" allowBlank="0" errorTitle="Invalid Entry" error="Invalid selection. Please choose from the list." promptTitle="Select Sprint" prompt="Please select Sprint" type="list">
      <formula1>"All,Sprint 1,Sprint 2,Sprint 3,Sprint 4,Sprint 5"</formula1>
    </dataValidation>
    <dataValidation sqref="K5" showDropDown="0" showInputMessage="0" showErrorMessage="0" allowBlank="0" errorTitle="Invalid Entry" error="Invalid selection. Please choose from the list." promptTitle="Select Severity" prompt="Please select Severity" type="list">
      <formula1>"All,Critical,High,Medium,Low"</formula1>
    </dataValidation>
    <dataValidation sqref="M5" showDropDown="0" showInputMessage="0" showErrorMessage="0" allowBlank="0" errorTitle="Invalid Entry" error="Invalid selection. Please choose from the list." promptTitle="Select State" prompt="Please select State" type="list">
      <formula1>"All,Open,Active,In Progress,Resolved,Closed"</formula1>
    </dataValidation>
    <dataValidation sqref="A7" showDropDown="0" showInputMessage="0" showErrorMessage="0" allowBlank="0" promptTitle="Priority" prompt="Select Priority" type="list">
      <formula1>"All,P0,P1,P2,P3"</formula1>
    </dataValidation>
    <dataValidation sqref="C7" showDropDown="0" showInputMessage="0" showErrorMessage="0" allowBlank="0" promptTitle="Category" prompt="Select Category" type="list">
      <formula1>"All,UI/UX,Performance,Security,Data,API"</formula1>
    </dataValidation>
    <dataValidation sqref="E7" showDropDown="0" showInputMessage="0" showErrorMessage="0" allowBlank="0" promptTitle="Module" prompt="Select Module" type="list">
      <formula1>"All,Dem\DemBiz\SP_88"</formula1>
    </dataValidation>
    <dataValidation sqref="G7" showDropDown="0" showInputMessage="0" showErrorMessage="0" allowBlank="0" promptTitle="Is Regression" prompt="Select Is Regression" type="list">
      <formula1>"All,Yes,No"</formula1>
    </dataValidation>
    <dataValidation sqref="I7" showDropDown="0" showInputMessage="0" showErrorMessage="0" allowBlank="0" promptTitle="Is Escaped" prompt="Select Is Escaped" type="list">
      <formula1>"All,Yes,No"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47" t="inlineStr">
        <is>
          <t>تحلیل حجم باگ‌ها</t>
        </is>
      </c>
    </row>
    <row r="5">
      <c r="A5" t="inlineStr">
        <is>
          <t>Medium</t>
        </is>
      </c>
      <c r="B5" t="n">
        <v>35</v>
      </c>
      <c r="D5" t="inlineStr">
        <is>
          <t>Closed</t>
        </is>
      </c>
      <c r="E5" t="n">
        <v>31</v>
      </c>
      <c r="G5" t="inlineStr">
        <is>
          <t>Data</t>
        </is>
      </c>
      <c r="H5" t="n">
        <v>21</v>
      </c>
      <c r="J5" t="inlineStr">
        <is>
          <t>Dem\DemBiz\SP_88</t>
        </is>
      </c>
      <c r="K5" t="n">
        <v>100</v>
      </c>
      <c r="M5" t="inlineStr">
        <is>
          <t>P2</t>
        </is>
      </c>
      <c r="N5" t="n">
        <v>43</v>
      </c>
    </row>
    <row r="6">
      <c r="A6" t="inlineStr">
        <is>
          <t>High</t>
        </is>
      </c>
      <c r="B6" t="n">
        <v>28</v>
      </c>
      <c r="D6" t="inlineStr">
        <is>
          <t>Done</t>
        </is>
      </c>
      <c r="E6" t="n">
        <v>20</v>
      </c>
      <c r="G6" t="inlineStr">
        <is>
          <t>Backend</t>
        </is>
      </c>
      <c r="H6" t="n">
        <v>20</v>
      </c>
      <c r="M6" t="inlineStr">
        <is>
          <t>P3</t>
        </is>
      </c>
      <c r="N6" t="n">
        <v>30</v>
      </c>
    </row>
    <row r="7">
      <c r="A7" t="inlineStr">
        <is>
          <t>Low</t>
        </is>
      </c>
      <c r="B7" t="n">
        <v>24</v>
      </c>
      <c r="D7" t="inlineStr">
        <is>
          <t>In Progress</t>
        </is>
      </c>
      <c r="E7" t="n">
        <v>15</v>
      </c>
      <c r="G7" t="inlineStr">
        <is>
          <t>Security</t>
        </is>
      </c>
      <c r="H7" t="n">
        <v>18</v>
      </c>
      <c r="M7" t="inlineStr">
        <is>
          <t>P1</t>
        </is>
      </c>
      <c r="N7" t="n">
        <v>22</v>
      </c>
    </row>
    <row r="8">
      <c r="A8" t="inlineStr">
        <is>
          <t>Critical</t>
        </is>
      </c>
      <c r="B8" t="n">
        <v>13</v>
      </c>
      <c r="D8" t="inlineStr">
        <is>
          <t>Resolved</t>
        </is>
      </c>
      <c r="E8" t="n">
        <v>9</v>
      </c>
      <c r="G8" t="inlineStr">
        <is>
          <t>UI</t>
        </is>
      </c>
      <c r="H8" t="n">
        <v>15</v>
      </c>
      <c r="M8" t="inlineStr">
        <is>
          <t>P0</t>
        </is>
      </c>
      <c r="N8" t="n">
        <v>5</v>
      </c>
    </row>
    <row r="9">
      <c r="D9" t="inlineStr">
        <is>
          <t>Active</t>
        </is>
      </c>
      <c r="E9" t="n">
        <v>8</v>
      </c>
      <c r="G9" t="inlineStr">
        <is>
          <t>Integration</t>
        </is>
      </c>
      <c r="H9" t="n">
        <v>14</v>
      </c>
    </row>
    <row r="10">
      <c r="D10" t="inlineStr">
        <is>
          <t>Triage</t>
        </is>
      </c>
      <c r="E10" t="n">
        <v>7</v>
      </c>
      <c r="G10" t="inlineStr">
        <is>
          <t>Performance</t>
        </is>
      </c>
      <c r="H10" t="n">
        <v>12</v>
      </c>
    </row>
    <row r="11">
      <c r="D11" t="inlineStr">
        <is>
          <t>Open</t>
        </is>
      </c>
      <c r="E11" t="n">
        <v>7</v>
      </c>
    </row>
    <row r="12">
      <c r="D12" t="inlineStr">
        <is>
          <t>Ready for Retest</t>
        </is>
      </c>
      <c r="E12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47" t="inlineStr">
        <is>
          <t>عملکرد تیم‌ها</t>
        </is>
      </c>
    </row>
    <row r="5">
      <c r="A5" t="inlineStr">
        <is>
          <t>Team Alpha</t>
        </is>
      </c>
      <c r="B5" t="n">
        <v>28</v>
      </c>
      <c r="D5" t="inlineStr">
        <is>
          <t>Mina Hosseini</t>
        </is>
      </c>
      <c r="E5" t="n">
        <v>18</v>
      </c>
      <c r="G5" t="inlineStr">
        <is>
          <t>Ali Rezaei</t>
        </is>
      </c>
      <c r="H5" t="n">
        <v>11</v>
      </c>
    </row>
    <row r="6">
      <c r="A6" t="inlineStr">
        <is>
          <t>Team Beta</t>
        </is>
      </c>
      <c r="B6" t="n">
        <v>26</v>
      </c>
      <c r="D6" t="inlineStr">
        <is>
          <t>Hassan Karimi</t>
        </is>
      </c>
      <c r="E6" t="n">
        <v>15</v>
      </c>
      <c r="G6" t="inlineStr">
        <is>
          <t>Zahra Ebrahimi</t>
        </is>
      </c>
      <c r="H6" t="n">
        <v>10</v>
      </c>
    </row>
    <row r="7">
      <c r="A7" t="inlineStr">
        <is>
          <t>Team Gamma</t>
        </is>
      </c>
      <c r="B7" t="n">
        <v>23</v>
      </c>
      <c r="D7" t="inlineStr">
        <is>
          <t>Mohammad Safari</t>
        </is>
      </c>
      <c r="E7" t="n">
        <v>14</v>
      </c>
      <c r="G7" t="inlineStr">
        <is>
          <t>Hassan Karimi</t>
        </is>
      </c>
      <c r="H7" t="n">
        <v>8</v>
      </c>
    </row>
    <row r="8">
      <c r="A8" t="inlineStr">
        <is>
          <t>Team Delta</t>
        </is>
      </c>
      <c r="B8" t="n">
        <v>23</v>
      </c>
      <c r="D8" t="inlineStr">
        <is>
          <t>Fateme Akbari</t>
        </is>
      </c>
      <c r="E8" t="n">
        <v>11</v>
      </c>
      <c r="G8" t="inlineStr">
        <is>
          <t>Mohammad Safari</t>
        </is>
      </c>
      <c r="H8" t="n">
        <v>7</v>
      </c>
    </row>
    <row r="9">
      <c r="D9" t="inlineStr">
        <is>
          <t>Zahra Ebrahimi</t>
        </is>
      </c>
      <c r="E9" t="n">
        <v>11</v>
      </c>
      <c r="G9" t="inlineStr">
        <is>
          <t>Fateme Akbari</t>
        </is>
      </c>
      <c r="H9" t="n">
        <v>7</v>
      </c>
    </row>
    <row r="10">
      <c r="D10" t="inlineStr">
        <is>
          <t>Reza Mohammadi</t>
        </is>
      </c>
      <c r="E10" t="n">
        <v>11</v>
      </c>
      <c r="G10" t="inlineStr">
        <is>
          <t>Mina Hosseini</t>
        </is>
      </c>
      <c r="H10" t="n">
        <v>6</v>
      </c>
    </row>
    <row r="11">
      <c r="D11" t="inlineStr">
        <is>
          <t>Sara Ahmadi</t>
        </is>
      </c>
      <c r="E11" t="n">
        <v>11</v>
      </c>
      <c r="G11" t="inlineStr">
        <is>
          <t>Reza Mohammadi</t>
        </is>
      </c>
      <c r="H11" t="n">
        <v>6</v>
      </c>
    </row>
    <row r="12">
      <c r="D12" t="inlineStr">
        <is>
          <t>Ali Rezaei</t>
        </is>
      </c>
      <c r="E12" t="n">
        <v>9</v>
      </c>
      <c r="G12" t="inlineStr">
        <is>
          <t>Sara Ahmadi</t>
        </is>
      </c>
      <c r="H12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 ht="30" customHeight="1">
      <c r="A1" s="47" t="inlineStr">
        <is>
          <t>تحلیل اسپرینت</t>
        </is>
      </c>
    </row>
    <row r="5">
      <c r="A5" t="inlineStr">
        <is>
          <t>Sprint 25</t>
        </is>
      </c>
      <c r="B5" t="n">
        <v>22</v>
      </c>
    </row>
    <row r="6">
      <c r="A6" t="inlineStr">
        <is>
          <t>Sprint 26</t>
        </is>
      </c>
      <c r="B6" t="n">
        <v>21</v>
      </c>
    </row>
    <row r="7">
      <c r="A7" t="inlineStr">
        <is>
          <t>Sprint 23</t>
        </is>
      </c>
      <c r="B7" t="n">
        <v>20</v>
      </c>
    </row>
    <row r="8">
      <c r="A8" t="inlineStr">
        <is>
          <t>Sprint 24</t>
        </is>
      </c>
      <c r="B8" t="n">
        <v>20</v>
      </c>
    </row>
    <row r="9">
      <c r="A9" t="inlineStr">
        <is>
          <t>Sprint 27</t>
        </is>
      </c>
      <c r="B9" t="n">
        <v>17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 ht="30" customHeight="1">
      <c r="A1" s="47" t="inlineStr">
        <is>
          <t>تحلیل زمان</t>
        </is>
      </c>
    </row>
    <row r="5">
      <c r="A5" t="inlineStr">
        <is>
          <t>0-7 days</t>
        </is>
      </c>
      <c r="B5" t="n">
        <v>0</v>
      </c>
    </row>
    <row r="6">
      <c r="A6" t="inlineStr">
        <is>
          <t>8-14 days</t>
        </is>
      </c>
      <c r="B6" t="n">
        <v>0</v>
      </c>
    </row>
    <row r="7">
      <c r="A7" t="inlineStr">
        <is>
          <t>15-30 days</t>
        </is>
      </c>
      <c r="B7" t="n">
        <v>0</v>
      </c>
    </row>
    <row r="8">
      <c r="A8" t="inlineStr">
        <is>
          <t>31-60 days</t>
        </is>
      </c>
      <c r="B8" t="n">
        <v>0</v>
      </c>
    </row>
    <row r="9">
      <c r="A9" t="inlineStr">
        <is>
          <t>60+ days</t>
        </is>
      </c>
      <c r="B9" t="n">
        <v>100</v>
      </c>
    </row>
    <row r="18">
      <c r="D18" t="n">
        <v>165</v>
      </c>
      <c r="E18" t="n">
        <v>131</v>
      </c>
    </row>
    <row r="29">
      <c r="D29" t="n">
        <v>227</v>
      </c>
      <c r="E29" t="n">
        <v>151</v>
      </c>
    </row>
    <row r="32">
      <c r="D32" t="n">
        <v>200</v>
      </c>
      <c r="E32" t="n">
        <v>146</v>
      </c>
    </row>
    <row r="34">
      <c r="D34" t="n">
        <v>172</v>
      </c>
      <c r="E34" t="n">
        <v>121</v>
      </c>
    </row>
    <row r="41">
      <c r="D41" t="n">
        <v>198</v>
      </c>
      <c r="E41" t="n">
        <v>154</v>
      </c>
    </row>
    <row r="43">
      <c r="D43" t="n">
        <v>245</v>
      </c>
      <c r="E43" t="n">
        <v>151</v>
      </c>
    </row>
    <row r="45">
      <c r="D45" t="n">
        <v>232</v>
      </c>
      <c r="E45" t="n">
        <v>135</v>
      </c>
    </row>
    <row r="50">
      <c r="D50" t="n">
        <v>259</v>
      </c>
      <c r="E50" t="n">
        <v>158</v>
      </c>
    </row>
    <row r="55">
      <c r="D55" t="n">
        <v>151</v>
      </c>
      <c r="E55" t="n">
        <v>69</v>
      </c>
    </row>
    <row r="56">
      <c r="D56" t="n">
        <v>199</v>
      </c>
      <c r="E56" t="n">
        <v>123</v>
      </c>
    </row>
    <row r="57">
      <c r="D57" t="n">
        <v>273</v>
      </c>
      <c r="E57" t="n">
        <v>177</v>
      </c>
    </row>
    <row r="60">
      <c r="D60" t="n">
        <v>315</v>
      </c>
      <c r="E60" t="n">
        <v>195</v>
      </c>
    </row>
    <row r="62">
      <c r="D62" t="n">
        <v>176</v>
      </c>
      <c r="E62" t="n">
        <v>134</v>
      </c>
    </row>
    <row r="63">
      <c r="D63" t="n">
        <v>196</v>
      </c>
      <c r="E63" t="n">
        <v>125</v>
      </c>
    </row>
    <row r="64">
      <c r="D64" t="n">
        <v>192</v>
      </c>
      <c r="E64" t="n">
        <v>84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 ht="30" customHeight="1">
      <c r="A1" s="47" t="inlineStr">
        <is>
          <t>تحلیل کیفیت</t>
        </is>
      </c>
    </row>
    <row r="5">
      <c r="A5" t="inlineStr">
        <is>
          <t>No Reopens</t>
        </is>
      </c>
      <c r="B5" t="n">
        <v>76</v>
      </c>
      <c r="D5" t="inlineStr">
        <is>
          <t>Not Escaped</t>
        </is>
      </c>
      <c r="E5" t="n">
        <v>83</v>
      </c>
      <c r="G5" t="inlineStr">
        <is>
          <t>Normal</t>
        </is>
      </c>
      <c r="H5" t="n">
        <v>75</v>
      </c>
    </row>
    <row r="6">
      <c r="A6" t="inlineStr">
        <is>
          <t>1 Reopen</t>
        </is>
      </c>
      <c r="B6" t="n">
        <v>10</v>
      </c>
      <c r="D6" t="inlineStr">
        <is>
          <t>Escaped</t>
        </is>
      </c>
      <c r="E6" t="n">
        <v>17</v>
      </c>
      <c r="G6" t="inlineStr">
        <is>
          <t>Regression</t>
        </is>
      </c>
      <c r="H6" t="n">
        <v>25</v>
      </c>
    </row>
    <row r="7">
      <c r="A7" t="inlineStr">
        <is>
          <t>2 Reopens</t>
        </is>
      </c>
      <c r="B7" t="n">
        <v>8</v>
      </c>
    </row>
    <row r="8">
      <c r="A8" t="inlineStr">
        <is>
          <t>3+ Reopens</t>
        </is>
      </c>
      <c r="B8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47" t="inlineStr">
        <is>
          <t>جریان وضعیت</t>
        </is>
      </c>
    </row>
    <row r="5">
      <c r="A5" t="inlineStr">
        <is>
          <t>State</t>
        </is>
      </c>
      <c r="B5" t="inlineStr">
        <is>
          <t>Count</t>
        </is>
      </c>
      <c r="D5" t="inlineStr">
        <is>
          <t>State</t>
        </is>
      </c>
      <c r="E5" t="inlineStr">
        <is>
          <t>Avg Duration (days)</t>
        </is>
      </c>
      <c r="G5" t="inlineStr">
        <is>
          <t>Metric</t>
        </is>
      </c>
      <c r="H5" t="inlineStr">
        <is>
          <t>Average</t>
        </is>
      </c>
    </row>
    <row r="6">
      <c r="A6" t="inlineStr">
        <is>
          <t>Closed</t>
        </is>
      </c>
      <c r="B6" t="n">
        <v>31</v>
      </c>
      <c r="D6" t="inlineStr">
        <is>
          <t>Open</t>
        </is>
      </c>
      <c r="E6" t="n">
        <v>624.6279341295221</v>
      </c>
      <c r="G6" t="inlineStr">
        <is>
          <t>State Changes</t>
        </is>
      </c>
      <c r="H6" t="n">
        <v>7.3</v>
      </c>
    </row>
    <row r="7">
      <c r="A7" t="inlineStr">
        <is>
          <t>Done</t>
        </is>
      </c>
      <c r="B7" t="n">
        <v>20</v>
      </c>
      <c r="D7" t="inlineStr">
        <is>
          <t>Triage</t>
        </is>
      </c>
      <c r="E7" t="n">
        <v>633.4850769866733</v>
      </c>
      <c r="G7" t="inlineStr">
        <is>
          <t>Assignee Changes</t>
        </is>
      </c>
      <c r="H7" t="n">
        <v>2.07</v>
      </c>
    </row>
    <row r="8">
      <c r="A8" t="inlineStr">
        <is>
          <t>In Progress</t>
        </is>
      </c>
      <c r="B8" t="n">
        <v>15</v>
      </c>
      <c r="D8" t="inlineStr">
        <is>
          <t>Active</t>
        </is>
      </c>
      <c r="E8" t="n">
        <v>622.1457912709461</v>
      </c>
      <c r="G8" t="inlineStr">
        <is>
          <t>Transitions</t>
        </is>
      </c>
      <c r="H8" t="n">
        <v>6.27</v>
      </c>
    </row>
    <row r="9">
      <c r="A9" t="inlineStr">
        <is>
          <t>Resolved</t>
        </is>
      </c>
      <c r="B9" t="n">
        <v>9</v>
      </c>
      <c r="D9" t="inlineStr">
        <is>
          <t>In Progress</t>
        </is>
      </c>
      <c r="E9" t="n">
        <v>619.5707912723689</v>
      </c>
    </row>
    <row r="10">
      <c r="A10" t="inlineStr">
        <is>
          <t>Active</t>
        </is>
      </c>
      <c r="B10" t="n">
        <v>8</v>
      </c>
      <c r="D10" t="inlineStr">
        <is>
          <t>Resolved</t>
        </is>
      </c>
      <c r="E10" t="n">
        <v>666.1041246068943</v>
      </c>
    </row>
    <row r="11">
      <c r="A11" t="inlineStr">
        <is>
          <t>Triage</t>
        </is>
      </c>
      <c r="B11" t="n">
        <v>7</v>
      </c>
      <c r="D11" t="inlineStr">
        <is>
          <t>Done</t>
        </is>
      </c>
      <c r="E11" t="n">
        <v>649.5707912712674</v>
      </c>
    </row>
    <row r="12">
      <c r="A12" t="inlineStr">
        <is>
          <t>Open</t>
        </is>
      </c>
      <c r="B12" t="n">
        <v>7</v>
      </c>
    </row>
    <row r="13">
      <c r="A13" t="inlineStr">
        <is>
          <t>Ready for Retest</t>
        </is>
      </c>
      <c r="B13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47" t="inlineStr">
        <is>
          <t>تحلیل رفع باگ</t>
        </is>
      </c>
    </row>
    <row r="5">
      <c r="A5" t="inlineStr">
        <is>
          <t>Close Reason</t>
        </is>
      </c>
      <c r="B5" t="inlineStr">
        <is>
          <t>Count</t>
        </is>
      </c>
      <c r="D5" t="inlineStr">
        <is>
          <t>Resolution</t>
        </is>
      </c>
      <c r="E5" t="inlineStr">
        <is>
          <t>Count</t>
        </is>
      </c>
      <c r="G5" t="inlineStr">
        <is>
          <t>Root Cause</t>
        </is>
      </c>
      <c r="H5" t="inlineStr">
        <is>
          <t>Count</t>
        </is>
      </c>
    </row>
    <row r="6">
      <c r="A6" t="inlineStr">
        <is>
          <t>Completed</t>
        </is>
      </c>
      <c r="B6" t="n">
        <v>21</v>
      </c>
      <c r="D6" t="inlineStr">
        <is>
          <t>Fixed</t>
        </is>
      </c>
      <c r="E6" t="n">
        <v>44</v>
      </c>
      <c r="G6" t="inlineStr">
        <is>
          <t>Config</t>
        </is>
      </c>
      <c r="H6" t="n">
        <v>13</v>
      </c>
    </row>
    <row r="7">
      <c r="A7" t="inlineStr">
        <is>
          <t>Duplicate</t>
        </is>
      </c>
      <c r="B7" t="n">
        <v>4</v>
      </c>
      <c r="D7" t="inlineStr">
        <is>
          <t>By Design</t>
        </is>
      </c>
      <c r="E7" t="n">
        <v>6</v>
      </c>
      <c r="G7" t="inlineStr">
        <is>
          <t>Testing</t>
        </is>
      </c>
      <c r="H7" t="n">
        <v>13</v>
      </c>
    </row>
    <row r="8">
      <c r="A8" t="inlineStr">
        <is>
          <t>Cannot Reproduce</t>
        </is>
      </c>
      <c r="B8" t="n">
        <v>4</v>
      </c>
      <c r="D8" t="inlineStr">
        <is>
          <t>Won't Fix</t>
        </is>
      </c>
      <c r="E8" t="n">
        <v>6</v>
      </c>
      <c r="G8" t="inlineStr">
        <is>
          <t>Data</t>
        </is>
      </c>
      <c r="H8" t="n">
        <v>11</v>
      </c>
    </row>
    <row r="9">
      <c r="A9" t="inlineStr">
        <is>
          <t>By Design</t>
        </is>
      </c>
      <c r="B9" t="n">
        <v>1</v>
      </c>
      <c r="D9" t="inlineStr">
        <is>
          <t>Duplicate</t>
        </is>
      </c>
      <c r="E9" t="n">
        <v>3</v>
      </c>
      <c r="G9" t="inlineStr">
        <is>
          <t>Integration</t>
        </is>
      </c>
      <c r="H9" t="n">
        <v>10</v>
      </c>
    </row>
    <row r="10">
      <c r="A10" t="inlineStr">
        <is>
          <t>Obsolete</t>
        </is>
      </c>
      <c r="B10" t="n">
        <v>1</v>
      </c>
      <c r="D10" t="inlineStr">
        <is>
          <t>Cannot Reproduce</t>
        </is>
      </c>
      <c r="E10" t="n">
        <v>1</v>
      </c>
      <c r="G10" t="inlineStr">
        <is>
          <t>Coding</t>
        </is>
      </c>
      <c r="H10" t="n">
        <v>8</v>
      </c>
    </row>
    <row r="11">
      <c r="G11" t="inlineStr">
        <is>
          <t>Design</t>
        </is>
      </c>
      <c r="H11" t="n">
        <v>5</v>
      </c>
    </row>
    <row r="20">
      <c r="A20" t="inlineStr">
        <is>
          <t>Reason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Duplicate</t>
        </is>
      </c>
      <c r="B22" t="n">
        <v>4</v>
      </c>
      <c r="C22" t="n">
        <v>0</v>
      </c>
      <c r="D22" t="n">
        <v>0</v>
      </c>
      <c r="E22" t="n">
        <v>0</v>
      </c>
    </row>
    <row r="23">
      <c r="A23" t="inlineStr">
        <is>
          <t>Completed</t>
        </is>
      </c>
      <c r="B23" t="n">
        <v>7</v>
      </c>
      <c r="C23" t="n">
        <v>2</v>
      </c>
      <c r="D23" t="n">
        <v>9</v>
      </c>
      <c r="E23" t="n">
        <v>3</v>
      </c>
    </row>
    <row r="24">
      <c r="A24" t="inlineStr">
        <is>
          <t>Cannot Reproduce</t>
        </is>
      </c>
      <c r="B24" t="n">
        <v>0</v>
      </c>
      <c r="C24" t="n">
        <v>4</v>
      </c>
      <c r="D24" t="n">
        <v>0</v>
      </c>
      <c r="E24" t="n">
        <v>0</v>
      </c>
    </row>
    <row r="25">
      <c r="A25" t="inlineStr">
        <is>
          <t>By Design</t>
        </is>
      </c>
      <c r="B25" t="n">
        <v>0</v>
      </c>
      <c r="C25" t="n">
        <v>1</v>
      </c>
      <c r="D25" t="n">
        <v>0</v>
      </c>
      <c r="E25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35" t="inlineStr">
        <is>
          <t>ADVANCED TIME ANALYSIS DASHBOARD</t>
        </is>
      </c>
    </row>
    <row r="5">
      <c r="A5" t="inlineStr">
        <is>
          <t>Lead Time Bucket</t>
        </is>
      </c>
      <c r="B5" t="inlineStr">
        <is>
          <t>Count</t>
        </is>
      </c>
      <c r="D5" t="inlineStr">
        <is>
          <t>Cycle Time Bucket</t>
        </is>
      </c>
      <c r="E5" t="inlineStr">
        <is>
          <t>Count</t>
        </is>
      </c>
      <c r="G5" t="inlineStr">
        <is>
          <t>Severity</t>
        </is>
      </c>
      <c r="H5" t="inlineStr">
        <is>
          <t>Avg Days to Close</t>
        </is>
      </c>
    </row>
    <row r="6">
      <c r="A6" t="inlineStr">
        <is>
          <t>0-24h</t>
        </is>
      </c>
      <c r="B6" t="n">
        <v>0</v>
      </c>
      <c r="D6" t="inlineStr">
        <is>
          <t>0-12h</t>
        </is>
      </c>
      <c r="E6" t="n">
        <v>0</v>
      </c>
      <c r="G6" t="inlineStr">
        <is>
          <t>Medium</t>
        </is>
      </c>
      <c r="H6" t="n">
        <v>9.106060606060606</v>
      </c>
    </row>
    <row r="7">
      <c r="A7" t="inlineStr">
        <is>
          <t>24-48h</t>
        </is>
      </c>
      <c r="B7" t="n">
        <v>0</v>
      </c>
      <c r="D7" t="inlineStr">
        <is>
          <t>12-24h</t>
        </is>
      </c>
      <c r="E7" t="n">
        <v>0</v>
      </c>
      <c r="G7" t="inlineStr">
        <is>
          <t>Low</t>
        </is>
      </c>
      <c r="H7" t="n">
        <v>8.817708333333334</v>
      </c>
    </row>
    <row r="8">
      <c r="A8" t="inlineStr">
        <is>
          <t>48-72h</t>
        </is>
      </c>
      <c r="B8" t="n">
        <v>0</v>
      </c>
      <c r="D8" t="inlineStr">
        <is>
          <t>24-48h</t>
        </is>
      </c>
      <c r="E8" t="n">
        <v>0</v>
      </c>
      <c r="G8" t="inlineStr">
        <is>
          <t>High</t>
        </is>
      </c>
      <c r="H8" t="n">
        <v>8.296296296296296</v>
      </c>
    </row>
    <row r="9">
      <c r="A9" t="inlineStr">
        <is>
          <t>3-7d</t>
        </is>
      </c>
      <c r="B9" t="n">
        <v>5</v>
      </c>
      <c r="D9" t="inlineStr">
        <is>
          <t>2-5d</t>
        </is>
      </c>
      <c r="E9" t="n">
        <v>9</v>
      </c>
      <c r="G9" t="inlineStr">
        <is>
          <t>Critical</t>
        </is>
      </c>
      <c r="H9" t="n">
        <v>8.375</v>
      </c>
    </row>
    <row r="10">
      <c r="A10" t="inlineStr">
        <is>
          <t>7-14d</t>
        </is>
      </c>
      <c r="B10" t="n">
        <v>26</v>
      </c>
      <c r="D10" t="inlineStr">
        <is>
          <t>5-10d</t>
        </is>
      </c>
      <c r="E10" t="n">
        <v>22</v>
      </c>
    </row>
    <row r="11">
      <c r="A11" t="inlineStr">
        <is>
          <t>14-30d</t>
        </is>
      </c>
      <c r="B11" t="n">
        <v>0</v>
      </c>
      <c r="D11" t="inlineStr">
        <is>
          <t>10-20d</t>
        </is>
      </c>
      <c r="E11" t="n">
        <v>0</v>
      </c>
    </row>
    <row r="12">
      <c r="A12" t="inlineStr">
        <is>
          <t>30+d</t>
        </is>
      </c>
      <c r="B12" t="n">
        <v>0</v>
      </c>
      <c r="D12" t="inlineStr">
        <is>
          <t>20+d</t>
        </is>
      </c>
      <c r="E12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 ht="30" customHeight="1">
      <c r="A1" s="47" t="inlineStr">
        <is>
          <t>تحلیل ماژول و پروژه</t>
        </is>
      </c>
    </row>
    <row r="5">
      <c r="A5" t="inlineStr">
        <is>
          <t>Module</t>
        </is>
      </c>
      <c r="B5" t="inlineStr">
        <is>
          <t>Bugs</t>
        </is>
      </c>
      <c r="D5" t="inlineStr">
        <is>
          <t>Project</t>
        </is>
      </c>
      <c r="E5" t="inlineStr">
        <is>
          <t>Bugs</t>
        </is>
      </c>
    </row>
    <row r="6">
      <c r="A6" t="inlineStr">
        <is>
          <t>Dem\DemBiz\SP_88</t>
        </is>
      </c>
      <c r="B6" t="n">
        <v>100</v>
      </c>
      <c r="D6" t="inlineStr">
        <is>
          <t>Dem System</t>
        </is>
      </c>
      <c r="E6" t="n">
        <v>100</v>
      </c>
    </row>
    <row r="20">
      <c r="A20" t="inlineStr">
        <is>
          <t>Module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A21" t="inlineStr">
        <is>
          <t>Dem\DemBiz\SP_88</t>
        </is>
      </c>
      <c r="B21" t="n">
        <v>35</v>
      </c>
      <c r="C21" t="n">
        <v>24</v>
      </c>
      <c r="D21" t="n">
        <v>28</v>
      </c>
      <c r="E21" t="n">
        <v>13</v>
      </c>
    </row>
    <row r="30">
      <c r="G30" t="inlineStr">
        <is>
          <t>Category</t>
        </is>
      </c>
      <c r="H30" t="inlineStr">
        <is>
          <t>Bugs</t>
        </is>
      </c>
    </row>
    <row r="31">
      <c r="G31" t="inlineStr">
        <is>
          <t>Data</t>
        </is>
      </c>
      <c r="H31" t="n">
        <v>21</v>
      </c>
    </row>
    <row r="32">
      <c r="G32" t="inlineStr">
        <is>
          <t>Backend</t>
        </is>
      </c>
      <c r="H32" t="n">
        <v>20</v>
      </c>
    </row>
    <row r="33">
      <c r="G33" t="inlineStr">
        <is>
          <t>Security</t>
        </is>
      </c>
      <c r="H33" t="n">
        <v>18</v>
      </c>
    </row>
    <row r="34">
      <c r="G34" t="inlineStr">
        <is>
          <t>UI</t>
        </is>
      </c>
      <c r="H34" t="n">
        <v>15</v>
      </c>
    </row>
    <row r="35">
      <c r="G35" t="inlineStr">
        <is>
          <t>Integration</t>
        </is>
      </c>
      <c r="H35" t="n">
        <v>14</v>
      </c>
    </row>
    <row r="36">
      <c r="G36" t="inlineStr">
        <is>
          <t>Performance</t>
        </is>
      </c>
      <c r="H36" t="n">
        <v>12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 ht="30" customHeight="1">
      <c r="A1" s="47" t="inlineStr">
        <is>
          <t>تحلیل بار کاری</t>
        </is>
      </c>
    </row>
    <row r="5">
      <c r="A5" t="inlineStr">
        <is>
          <t>Team</t>
        </is>
      </c>
      <c r="B5" t="inlineStr">
        <is>
          <t>Total Bugs</t>
        </is>
      </c>
      <c r="D5" t="inlineStr">
        <is>
          <t>Assignee</t>
        </is>
      </c>
      <c r="E5" t="inlineStr">
        <is>
          <t>Assigned Bugs</t>
        </is>
      </c>
    </row>
    <row r="6">
      <c r="A6" t="inlineStr">
        <is>
          <t>Team Alpha</t>
        </is>
      </c>
      <c r="B6" t="n">
        <v>28</v>
      </c>
      <c r="D6" t="inlineStr">
        <is>
          <t>Mina Hosseini</t>
        </is>
      </c>
      <c r="E6" t="n">
        <v>18</v>
      </c>
    </row>
    <row r="7">
      <c r="A7" t="inlineStr">
        <is>
          <t>Team Beta</t>
        </is>
      </c>
      <c r="B7" t="n">
        <v>26</v>
      </c>
      <c r="D7" t="inlineStr">
        <is>
          <t>Hassan Karimi</t>
        </is>
      </c>
      <c r="E7" t="n">
        <v>15</v>
      </c>
    </row>
    <row r="8">
      <c r="A8" t="inlineStr">
        <is>
          <t>Team Gamma</t>
        </is>
      </c>
      <c r="B8" t="n">
        <v>23</v>
      </c>
      <c r="D8" t="inlineStr">
        <is>
          <t>Mohammad Safari</t>
        </is>
      </c>
      <c r="E8" t="n">
        <v>14</v>
      </c>
    </row>
    <row r="9">
      <c r="A9" t="inlineStr">
        <is>
          <t>Team Delta</t>
        </is>
      </c>
      <c r="B9" t="n">
        <v>23</v>
      </c>
      <c r="D9" t="inlineStr">
        <is>
          <t>Fateme Akbari</t>
        </is>
      </c>
      <c r="E9" t="n">
        <v>11</v>
      </c>
    </row>
    <row r="10">
      <c r="D10" t="inlineStr">
        <is>
          <t>Zahra Ebrahimi</t>
        </is>
      </c>
      <c r="E10" t="n">
        <v>11</v>
      </c>
    </row>
    <row r="11">
      <c r="D11" t="inlineStr">
        <is>
          <t>Reza Mohammadi</t>
        </is>
      </c>
      <c r="E11" t="n">
        <v>11</v>
      </c>
    </row>
    <row r="12">
      <c r="D12" t="inlineStr">
        <is>
          <t>Sara Ahmadi</t>
        </is>
      </c>
      <c r="E12" t="n">
        <v>11</v>
      </c>
    </row>
    <row r="13">
      <c r="D13" t="inlineStr">
        <is>
          <t>Ali Rezaei</t>
        </is>
      </c>
      <c r="E13" t="n">
        <v>9</v>
      </c>
    </row>
    <row r="20">
      <c r="A20" t="inlineStr">
        <is>
          <t>Team</t>
        </is>
      </c>
      <c r="B20" t="inlineStr">
        <is>
          <t>Sprint 23</t>
        </is>
      </c>
      <c r="C20" t="inlineStr">
        <is>
          <t>Sprint 25</t>
        </is>
      </c>
      <c r="D20" t="inlineStr">
        <is>
          <t>Sprint 27</t>
        </is>
      </c>
      <c r="E20" t="inlineStr">
        <is>
          <t>Sprint 26</t>
        </is>
      </c>
      <c r="F20" t="inlineStr">
        <is>
          <t>Sprint 24</t>
        </is>
      </c>
    </row>
    <row r="21">
      <c r="A21" t="inlineStr">
        <is>
          <t>Team Alpha</t>
        </is>
      </c>
      <c r="B21" t="n">
        <v>8</v>
      </c>
      <c r="C21" t="n">
        <v>7</v>
      </c>
      <c r="D21" t="n">
        <v>7</v>
      </c>
      <c r="E21" t="n">
        <v>2</v>
      </c>
      <c r="F21" t="n">
        <v>4</v>
      </c>
    </row>
    <row r="22">
      <c r="A22" t="inlineStr">
        <is>
          <t>Team Beta</t>
        </is>
      </c>
      <c r="B22" t="n">
        <v>4</v>
      </c>
      <c r="C22" t="n">
        <v>3</v>
      </c>
      <c r="D22" t="n">
        <v>1</v>
      </c>
      <c r="E22" t="n">
        <v>10</v>
      </c>
      <c r="F22" t="n">
        <v>8</v>
      </c>
    </row>
    <row r="23">
      <c r="A23" t="inlineStr">
        <is>
          <t>Team Gamma</t>
        </is>
      </c>
      <c r="B23" t="n">
        <v>5</v>
      </c>
      <c r="C23" t="n">
        <v>7</v>
      </c>
      <c r="D23" t="n">
        <v>4</v>
      </c>
      <c r="E23" t="n">
        <v>5</v>
      </c>
      <c r="F23" t="n">
        <v>2</v>
      </c>
    </row>
    <row r="24">
      <c r="A24" t="inlineStr">
        <is>
          <t>Team Delta</t>
        </is>
      </c>
      <c r="B24" t="n">
        <v>3</v>
      </c>
      <c r="C24" t="n">
        <v>5</v>
      </c>
      <c r="D24" t="n">
        <v>5</v>
      </c>
      <c r="E24" t="n">
        <v>4</v>
      </c>
      <c r="F24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47" t="inlineStr">
        <is>
          <t>تحلیل روند</t>
        </is>
      </c>
    </row>
    <row r="5">
      <c r="A5" t="inlineStr">
        <is>
          <t>Sprint</t>
        </is>
      </c>
      <c r="B5" t="inlineStr">
        <is>
          <t>Inflow</t>
        </is>
      </c>
      <c r="C5" t="inlineStr">
        <is>
          <t>Outflow</t>
        </is>
      </c>
      <c r="E5" t="inlineStr">
        <is>
          <t>Sprint</t>
        </is>
      </c>
      <c r="F5" t="inlineStr">
        <is>
          <t>Escape Rate %</t>
        </is>
      </c>
      <c r="G5" t="inlineStr">
        <is>
          <t>Reopen Rate %</t>
        </is>
      </c>
      <c r="I5" t="inlineStr">
        <is>
          <t>Sprint</t>
        </is>
      </c>
      <c r="J5" t="inlineStr">
        <is>
          <t>Avg Lead Time (days)</t>
        </is>
      </c>
    </row>
    <row r="6">
      <c r="A6" t="inlineStr">
        <is>
          <t>Sprint 23</t>
        </is>
      </c>
      <c r="B6" t="n">
        <v>1</v>
      </c>
      <c r="C6" t="n">
        <v>14</v>
      </c>
      <c r="E6" t="inlineStr">
        <is>
          <t>Sprint 23</t>
        </is>
      </c>
      <c r="F6" t="n">
        <v>20</v>
      </c>
      <c r="G6" t="n">
        <v>25</v>
      </c>
      <c r="I6" t="inlineStr">
        <is>
          <t>Sprint 23</t>
        </is>
      </c>
      <c r="J6" t="n">
        <v>9.791666666666666</v>
      </c>
    </row>
    <row r="7">
      <c r="A7" t="inlineStr">
        <is>
          <t>Sprint 25</t>
        </is>
      </c>
      <c r="B7" t="n">
        <v>4</v>
      </c>
      <c r="C7" t="n">
        <v>11</v>
      </c>
      <c r="E7" t="inlineStr">
        <is>
          <t>Sprint 25</t>
        </is>
      </c>
      <c r="F7" t="n">
        <v>27.27272727272727</v>
      </c>
      <c r="G7" t="n">
        <v>22.72727272727273</v>
      </c>
      <c r="I7" t="inlineStr">
        <is>
          <t>Sprint 25</t>
        </is>
      </c>
      <c r="J7" t="n">
        <v>9.450000000000001</v>
      </c>
    </row>
    <row r="8">
      <c r="A8" t="inlineStr">
        <is>
          <t>Sprint 27</t>
        </is>
      </c>
      <c r="B8" t="n">
        <v>3</v>
      </c>
      <c r="C8" t="n">
        <v>9</v>
      </c>
      <c r="E8" t="inlineStr">
        <is>
          <t>Sprint 27</t>
        </is>
      </c>
      <c r="F8" t="n">
        <v>17.64705882352941</v>
      </c>
      <c r="G8" t="n">
        <v>23.52941176470588</v>
      </c>
      <c r="I8" t="inlineStr">
        <is>
          <t>Sprint 27</t>
        </is>
      </c>
      <c r="J8" t="n">
        <v>7.408333333333334</v>
      </c>
    </row>
    <row r="9">
      <c r="A9" t="inlineStr">
        <is>
          <t>Sprint 26</t>
        </is>
      </c>
      <c r="B9" t="n">
        <v>2</v>
      </c>
      <c r="C9" t="n">
        <v>13</v>
      </c>
      <c r="E9" t="inlineStr">
        <is>
          <t>Sprint 26</t>
        </is>
      </c>
      <c r="F9" t="n">
        <v>14.28571428571428</v>
      </c>
      <c r="G9" t="n">
        <v>28.57142857142857</v>
      </c>
      <c r="I9" t="inlineStr">
        <is>
          <t>Sprint 26</t>
        </is>
      </c>
      <c r="J9" t="n">
        <v>9.5</v>
      </c>
    </row>
    <row r="10">
      <c r="A10" t="inlineStr">
        <is>
          <t>Sprint 24</t>
        </is>
      </c>
      <c r="B10" t="n">
        <v>5</v>
      </c>
      <c r="C10" t="n">
        <v>13</v>
      </c>
      <c r="E10" t="inlineStr">
        <is>
          <t>Sprint 24</t>
        </is>
      </c>
      <c r="F10" t="n">
        <v>5</v>
      </c>
      <c r="G10" t="n">
        <v>20</v>
      </c>
      <c r="I10" t="inlineStr">
        <is>
          <t>Sprint 24</t>
        </is>
      </c>
      <c r="J10" t="n">
        <v>7.619791666666667</v>
      </c>
    </row>
    <row r="20">
      <c r="A20" t="inlineStr">
        <is>
          <t>Sprint</t>
        </is>
      </c>
      <c r="B20" t="inlineStr">
        <is>
          <t>Cumulative Bugs</t>
        </is>
      </c>
    </row>
    <row r="21">
      <c r="A21" t="inlineStr">
        <is>
          <t>Sprint 23</t>
        </is>
      </c>
      <c r="B21" t="n">
        <v>20</v>
      </c>
    </row>
    <row r="22">
      <c r="A22" t="inlineStr">
        <is>
          <t>Sprint 25</t>
        </is>
      </c>
      <c r="B22" t="n">
        <v>42</v>
      </c>
    </row>
    <row r="23">
      <c r="A23" t="inlineStr">
        <is>
          <t>Sprint 27</t>
        </is>
      </c>
      <c r="B23" t="n">
        <v>59</v>
      </c>
    </row>
    <row r="24">
      <c r="A24" t="inlineStr">
        <is>
          <t>Sprint 26</t>
        </is>
      </c>
      <c r="B24" t="n">
        <v>80</v>
      </c>
    </row>
    <row r="25">
      <c r="A25" t="inlineStr">
        <is>
          <t>Sprint 24</t>
        </is>
      </c>
      <c r="B25" t="n">
        <v>100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9" t="inlineStr">
        <is>
          <t>ROOT CAUSE &amp; SPECIALTY ANALYSIS</t>
        </is>
      </c>
    </row>
    <row r="5">
      <c r="A5" t="inlineStr">
        <is>
          <t>Root Cause</t>
        </is>
      </c>
      <c r="B5" t="inlineStr">
        <is>
          <t>Medium</t>
        </is>
      </c>
      <c r="C5" t="inlineStr">
        <is>
          <t>Low</t>
        </is>
      </c>
      <c r="D5" t="inlineStr">
        <is>
          <t>High</t>
        </is>
      </c>
      <c r="E5" t="inlineStr">
        <is>
          <t>Critical</t>
        </is>
      </c>
      <c r="F5" t="inlineStr">
        <is>
          <t>Reporter</t>
        </is>
      </c>
      <c r="G5" t="inlineStr">
        <is>
          <t>Bugs Reported</t>
        </is>
      </c>
    </row>
    <row r="6">
      <c r="A6" t="inlineStr">
        <is>
          <t>Config</t>
        </is>
      </c>
      <c r="B6" t="n">
        <v>6</v>
      </c>
      <c r="C6" t="n">
        <v>2</v>
      </c>
      <c r="D6" t="n">
        <v>1</v>
      </c>
      <c r="E6" t="n">
        <v>4</v>
      </c>
      <c r="F6" t="inlineStr">
        <is>
          <t>Ali Rezaei</t>
        </is>
      </c>
      <c r="G6" t="n">
        <v>15</v>
      </c>
    </row>
    <row r="7">
      <c r="A7" t="inlineStr">
        <is>
          <t>Testing</t>
        </is>
      </c>
      <c r="B7" t="n">
        <v>6</v>
      </c>
      <c r="C7" t="n">
        <v>3</v>
      </c>
      <c r="D7" t="n">
        <v>4</v>
      </c>
      <c r="E7" t="n">
        <v>0</v>
      </c>
      <c r="F7" t="inlineStr">
        <is>
          <t>Zahra Ebrahimi</t>
        </is>
      </c>
      <c r="G7" t="n">
        <v>14</v>
      </c>
    </row>
    <row r="8">
      <c r="A8" t="inlineStr">
        <is>
          <t>Data</t>
        </is>
      </c>
      <c r="B8" t="n">
        <v>2</v>
      </c>
      <c r="C8" t="n">
        <v>3</v>
      </c>
      <c r="D8" t="n">
        <v>5</v>
      </c>
      <c r="E8" t="n">
        <v>1</v>
      </c>
      <c r="F8" t="inlineStr">
        <is>
          <t>Fateme Akbari</t>
        </is>
      </c>
      <c r="G8" t="n">
        <v>14</v>
      </c>
    </row>
    <row r="9">
      <c r="A9" t="inlineStr">
        <is>
          <t>Integration</t>
        </is>
      </c>
      <c r="B9" t="n">
        <v>6</v>
      </c>
      <c r="C9" t="n">
        <v>2</v>
      </c>
      <c r="D9" t="n">
        <v>1</v>
      </c>
      <c r="E9" t="n">
        <v>1</v>
      </c>
      <c r="F9" t="inlineStr">
        <is>
          <t>Reza Mohammadi</t>
        </is>
      </c>
      <c r="G9" t="n">
        <v>14</v>
      </c>
    </row>
    <row r="10">
      <c r="A10" t="inlineStr">
        <is>
          <t>Coding</t>
        </is>
      </c>
      <c r="B10" t="n">
        <v>3</v>
      </c>
      <c r="C10" t="n">
        <v>1</v>
      </c>
      <c r="D10" t="n">
        <v>3</v>
      </c>
      <c r="E10" t="n">
        <v>1</v>
      </c>
      <c r="F10" t="inlineStr">
        <is>
          <t>Mohammad Safari</t>
        </is>
      </c>
      <c r="G10" t="n">
        <v>13</v>
      </c>
    </row>
    <row r="11">
      <c r="A11" t="inlineStr">
        <is>
          <t>Design</t>
        </is>
      </c>
      <c r="B11" t="n">
        <v>0</v>
      </c>
      <c r="C11" t="n">
        <v>2</v>
      </c>
      <c r="D11" t="n">
        <v>1</v>
      </c>
      <c r="E11" t="n">
        <v>2</v>
      </c>
      <c r="F11" t="inlineStr">
        <is>
          <t>Hassan Karimi</t>
        </is>
      </c>
      <c r="G11" t="n">
        <v>12</v>
      </c>
    </row>
    <row r="12">
      <c r="F12" t="inlineStr">
        <is>
          <t>Sara Ahmadi</t>
        </is>
      </c>
      <c r="G12" t="n">
        <v>10</v>
      </c>
    </row>
    <row r="13">
      <c r="F13" t="inlineStr">
        <is>
          <t>Mina Hosseini</t>
        </is>
      </c>
      <c r="G13" t="n">
        <v>8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 ht="30" customHeight="1">
      <c r="A1" s="47" t="inlineStr">
        <is>
          <t>جزئیات شاخص‌های کلیدی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s="21">
        <f>SUM('باگ‌ها'[BusinessImpact])</f>
        <v/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s="21">
        <f>AVERAGE('باگ‌ها'[BusinessImpact])</f>
        <v/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B05_High_Impact_باگ‌ها</t>
        </is>
      </c>
      <c r="C4" t="n">
        <v>0</v>
      </c>
      <c r="D4" s="21">
        <f>CALCULATE(COUNTA(raw_data!A:A)-1, 'باگ‌ها'[BusinessImpact] &gt; 10000)</f>
        <v/>
      </c>
      <c r="E4" t="inlineStr">
        <is>
          <t>Auto-generated from MD: High Impact باگ‌ها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s="21">
        <f>SWITCH(TRUE(),
        [V23_Security_باگ‌ها] &gt; 10, "High",
        [V23_Security_باگ‌ها] &gt; 5, "Medium",
        "Low"
    )</f>
        <v/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B10_Compliance_Risk_باگ‌ها</t>
        </is>
      </c>
      <c r="C6" t="n">
        <v>0</v>
      </c>
      <c r="D6" s="21">
        <f>CALCULATE(COUNTA(raw_data!A:A)-1, 'باگ‌ها'[Category] = "Compliance")</f>
        <v/>
      </c>
      <c r="E6" t="inlineStr">
        <is>
          <t>Auto-generated from MD: Compliance Risk باگ‌ها</t>
        </is>
      </c>
    </row>
    <row r="7">
      <c r="A7" t="inlineStr">
        <is>
          <t>B11</t>
        </is>
      </c>
      <c r="B7" t="inlineStr">
        <is>
          <t>B11_Data_Loss_Risk_باگ‌ها</t>
        </is>
      </c>
      <c r="C7" t="n">
        <v>0</v>
      </c>
      <c r="D7" s="21">
        <f>CALCULATE(COUNTA(raw_data!A:A)-1, 'باگ‌ها'[Category] = "Data Loss")</f>
        <v/>
      </c>
      <c r="E7" t="inlineStr">
        <is>
          <t>Auto-generated from MD: Data Loss Risk باگ‌ها</t>
        </is>
      </c>
    </row>
    <row r="8">
      <c r="A8" t="inlineStr">
        <is>
          <t>B12</t>
        </is>
      </c>
      <c r="B8" t="inlineStr">
        <is>
          <t>B12_Critical_Business_Impact_باگ‌ها</t>
        </is>
      </c>
      <c r="C8" t="n">
        <v>0</v>
      </c>
      <c r="D8" s="21">
        <f>CALCULATE(
        COUNTA(raw_data!A:A)-1,
        raw_data!D:D = "Critical",
        'باگ‌ها'[BusinessImpact] &gt; 0
    )</f>
        <v/>
      </c>
      <c r="E8" t="inlineStr">
        <is>
          <t>Auto-generated from MD: Critical Business Impact باگ‌ها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s="21">
        <f>[J18_پروژه_Cost_of_Quality]</f>
        <v/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B14_Avg_Impact_by_شدت</t>
        </is>
      </c>
      <c r="C10" t="n">
        <v>0</v>
      </c>
      <c r="D10" s="21">
        <f>AVERAGEX(
        VALUES(raw_data!D:D),
        CALCULATE(AVERAGE('باگ‌ها'[BusinessImpact]))
    )</f>
        <v/>
      </c>
      <c r="E10" t="inlineStr">
        <is>
          <t>Auto-generated from MD: Avg Impact by شدت</t>
        </is>
      </c>
    </row>
    <row r="11">
      <c r="A11" t="inlineStr">
        <is>
          <t>B15</t>
        </is>
      </c>
      <c r="B11" t="inlineStr">
        <is>
          <t>B15_مجموع_Business_Impact</t>
        </is>
      </c>
      <c r="C11" t="n">
        <v>0</v>
      </c>
      <c r="D11" s="21">
        <f>SUM('باگ‌ها'[BusinessImpact])</f>
        <v/>
      </c>
      <c r="E11" t="inlineStr">
        <is>
          <t>Auto-generated from MD: مجموع Business Impact</t>
        </is>
      </c>
    </row>
    <row r="12">
      <c r="A12" t="inlineStr">
        <is>
          <t>B16</t>
        </is>
      </c>
      <c r="B12" t="inlineStr">
        <is>
          <t>B16_Impact_per_ماژول</t>
        </is>
      </c>
      <c r="C12" t="n">
        <v>0</v>
      </c>
      <c r="D12" s="21">
        <f>AVERAGEX(
        VALUES('باگ‌ها'[ماژولName]),
        CALCULATE(SUM('باگ‌ها'[BusinessImpact]))
    )</f>
        <v/>
      </c>
      <c r="E12" t="inlineStr">
        <is>
          <t>Auto-generated from MD: Impact per ماژول</t>
        </is>
      </c>
    </row>
    <row r="13">
      <c r="A13" t="inlineStr">
        <is>
          <t>B17</t>
        </is>
      </c>
      <c r="B13" t="inlineStr">
        <is>
          <t>B17_High_شدت_Impact</t>
        </is>
      </c>
      <c r="C13" t="n">
        <v>0</v>
      </c>
      <c r="D13" s="21">
        <f>CALCULATE(
        SUM('باگ‌ها'[BusinessImpact]),
        raw_data!D:D IN {"Critical", "High"}
    )</f>
        <v/>
      </c>
      <c r="E13" t="inlineStr">
        <is>
          <t>Auto-generated from MD: High شدت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s="21">
        <f>CALCULATE(
        SUM('باگ‌ها'[BusinessImpact]),
        'باگ‌ها'[Tags] CONTAINS "Production"
    )</f>
        <v/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s="21">
        <f>CALCULATE(
        SUM('باگ‌ها'[BusinessImpact]),
        raw_data!I:I = TRUE
    )</f>
        <v/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s="21">
        <f>([B15_مجموع_Business_Impact] * 0.4) +
    ([B19_Escaped_Bug_Impact] * 0.35) +
    ([B17_High_شدت_Impact] * 0.25)</f>
        <v/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B21_Avg_نحوه رفع_Cost</t>
        </is>
      </c>
      <c r="C17" t="n">
        <v>0</v>
      </c>
      <c r="D17" s="21">
        <f>AVERAGE('باگ‌ها'[مجموعEffortHrs]) * 100</f>
        <v/>
      </c>
      <c r="E17" t="inlineStr">
        <is>
          <t>Auto-generated from MD: Avg نحوه رفع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s="21">
        <f>CALCULATE(
        SUM('باگ‌ها'[BusinessImpact]),
        'باگ‌ها'[Category] = "Security"
    )</f>
        <v/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s="21">
        <f>CALCULATE(
        SUM('باگ‌ها'[BusinessImpact]),
        'باگ‌ها'[Category] = "Performance"
    )</f>
        <v/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s="21">
        <f>CALCULATE(
        SUM('باگ‌ها'[مجموعEffortHrs]),
        'باگ‌ها'[Category] = "Compliance"
    ) * 100</f>
        <v/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B25_Revenue_Impact_by_اولویت</t>
        </is>
      </c>
      <c r="C21" t="n">
        <v>0</v>
      </c>
      <c r="D21" s="21">
        <f>CALCULATE(
        SUM('باگ‌ها'[BusinessImpact]),
        ALLEXCEPT('باگ‌ها', raw_data!E:E)
    )</f>
        <v/>
      </c>
      <c r="E21" t="inlineStr">
        <is>
          <t>Auto-generated from MD: Revenue Impact by اولویت</t>
        </is>
      </c>
    </row>
    <row r="22">
      <c r="A22" t="inlineStr">
        <is>
          <t>C01</t>
        </is>
      </c>
      <c r="B22" t="inlineStr">
        <is>
          <t>C01_Customer_Reported_باگ‌ها</t>
        </is>
      </c>
      <c r="C22" t="n">
        <v>0</v>
      </c>
      <c r="D22" s="21">
        <f>[V22_Customer_Reported_باگ‌ها]</f>
        <v/>
      </c>
      <c r="E22" t="inlineStr">
        <is>
          <t>Auto-generated from MD: Customer Reported باگ‌ها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s="21">
        <f>DIVIDE([C01_Customer_Reported_باگ‌ها], [V01_مجموع_باگ‌ها], 0)</f>
        <v/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s="21">
        <f>AVERAGEX(
        FILTER('باگ‌ها', raw_data!I:I = TRUE),
        'باگ‌ها'[ResponseTimeHrs]
    )</f>
        <v/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C04_Avg_Customer_نحوه رفع_Time</t>
        </is>
      </c>
      <c r="C25" t="n">
        <v>0</v>
      </c>
      <c r="D25" s="21">
        <f>AVERAGEX(
        FILTER('باگ‌ها', raw_data!I:I = TRUE),
        'باگ‌ها'[LeadTimeHrs]
    )</f>
        <v/>
      </c>
      <c r="E25" t="inlineStr">
        <is>
          <t>Auto-generated from MD: Avg Customer نحوه رفع Time</t>
        </is>
      </c>
    </row>
    <row r="26">
      <c r="A26" t="inlineStr">
        <is>
          <t>C05</t>
        </is>
      </c>
      <c r="B26" t="inlineStr">
        <is>
          <t>C05_Customer_Critical_باگ‌ها</t>
        </is>
      </c>
      <c r="C26" t="n">
        <v>0</v>
      </c>
      <c r="D26" s="21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باگ‌ها</t>
        </is>
      </c>
    </row>
    <row r="27">
      <c r="A27" t="inlineStr">
        <is>
          <t>C06</t>
        </is>
      </c>
      <c r="B27" t="inlineStr">
        <is>
          <t>C06_Customer_High_باگ‌ها</t>
        </is>
      </c>
      <c r="C27" t="n">
        <v>0</v>
      </c>
      <c r="D27" s="21" t="inlineStr">
        <is>
          <t>=CALCULATE(
        COUNTA(raw_data!A:A)-1,
        raw_data!I:I = TRUE,
        raw_data!D:D = "High"
    )</t>
        </is>
      </c>
      <c r="E27" t="inlineStr">
        <is>
          <t>Auto-generated from MD: Customer High باگ‌ها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s="21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s="21">
        <f>([C05_Customer_Critical_باگ‌ها] * 10) +
    ([C06_Customer_High_باگ‌ها] * 5) +
    ([C01_Customer_Reported_باگ‌ها] * 1)</f>
        <v/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s="21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s="21">
        <f>DIVIDE(
        CALCULATE(COUNTA(raw_data!A:A)-1, raw_data!AM:AM &gt; 0, raw_data!I:I = TRUE),
        [C01_Customer_Reported_باگ‌ها],
        0
    )</f>
        <v/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s="21">
        <f>AVERAGEX(
        FILTER('باگ‌ها', raw_data!I:I = TRUE),
        'باگ‌ها'[مجموعEffortHrs]
    )</f>
        <v/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s="21">
        <f>DIVIDE(
        CALCULATE(COUNTA(raw_data!A:A)-1, raw_data!E:E = "P0", raw_data!I:I = TRUE),
        [C01_Customer_Reported_باگ‌ها],
        0
    )</f>
        <v/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s="21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s="21">
        <f>DIVIDE(
        CALCULATE(COUNTA(raw_data!A:A)-1, raw_data!F:F IN {"Resolved", "Done", "بسته شده"}, raw_data!I:I = TRUE),
        [C01_Customer_Reported_باگ‌ها],
        0
    )</f>
        <v/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C17_Customer_Waiting_باگ‌ها</t>
        </is>
      </c>
      <c r="C36" t="n">
        <v>0</v>
      </c>
      <c r="D36" s="21">
        <f>CALCULATE(
        COUNTA(raw_data!A:A)-1,
        raw_data!F:F NOT IN {"Resolved", "Done", "بسته شده"},
        raw_data!I:I = TRUE
    )</f>
        <v/>
      </c>
      <c r="E36" t="inlineStr">
        <is>
          <t>Auto-generated from MD: Customer Waiting باگ‌ها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s="21">
        <f>AVERAGEX(
        FILTER('باگ‌ها', raw_data!I:I = TRUE),
        'باگ‌ها'[WaitTimeHrs]
    )</f>
        <v/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s="21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C20_Customer_اولویت_Response</t>
        </is>
      </c>
      <c r="C39" t="n">
        <v>0</v>
      </c>
      <c r="D39" s="21">
        <f>AVERAGEX(
        FILTER('باگ‌ها', raw_data!I:I = TRUE &amp;&amp; raw_data!E:E = "P0"),
        'باگ‌ها'[ResponseTimeHrs]
    )</f>
        <v/>
      </c>
      <c r="E39" t="inlineStr">
        <is>
          <t>Auto-generated from MD: Customer اولویت Response</t>
        </is>
      </c>
    </row>
    <row r="40">
      <c r="A40" t="inlineStr">
        <is>
          <t>CR01</t>
        </is>
      </c>
      <c r="B40" t="inlineStr">
        <is>
          <t>CR01_By_Design_تعداد</t>
        </is>
      </c>
      <c r="C40" t="n">
        <v>1</v>
      </c>
      <c r="D40" s="21" t="inlineStr">
        <is>
          <t>=COUNTIF(raw_data!BR:BR,"By Design")</t>
        </is>
      </c>
      <c r="E40" t="inlineStr">
        <is>
          <t>باگ‌ها closed as By Design</t>
        </is>
      </c>
    </row>
    <row r="41">
      <c r="A41" t="inlineStr">
        <is>
          <t>CR02</t>
        </is>
      </c>
      <c r="B41" t="inlineStr">
        <is>
          <t>CR02_Cannot_Reproduce_تعداد</t>
        </is>
      </c>
      <c r="C41" t="n">
        <v>4</v>
      </c>
      <c r="D41" s="21" t="inlineStr">
        <is>
          <t>=COUNTIF(raw_data!BR:BR,"Cannot Reproduce")</t>
        </is>
      </c>
      <c r="E41" t="inlineStr">
        <is>
          <t>باگ‌ها closed as Cannot Reproduce</t>
        </is>
      </c>
    </row>
    <row r="42">
      <c r="A42" t="inlineStr">
        <is>
          <t>CR03</t>
        </is>
      </c>
      <c r="B42" t="inlineStr">
        <is>
          <t>CR03_Completed_تعداد</t>
        </is>
      </c>
      <c r="C42" t="n">
        <v>21</v>
      </c>
      <c r="D42" s="21" t="inlineStr">
        <is>
          <t>=COUNTIF(raw_data!BR:BR,"Completed")</t>
        </is>
      </c>
      <c r="E42" t="inlineStr">
        <is>
          <t>باگ‌ها closed as Completed</t>
        </is>
      </c>
    </row>
    <row r="43">
      <c r="A43" t="inlineStr">
        <is>
          <t>CR04</t>
        </is>
      </c>
      <c r="B43" t="inlineStr">
        <is>
          <t>CR04_Duplicate_تعداد</t>
        </is>
      </c>
      <c r="C43" t="n">
        <v>4</v>
      </c>
      <c r="D43" s="21" t="inlineStr">
        <is>
          <t>=COUNTIF(raw_data!BR:BR,"Duplicate")</t>
        </is>
      </c>
      <c r="E43" t="inlineStr">
        <is>
          <t>باگ‌ها closed as Duplicate</t>
        </is>
      </c>
    </row>
    <row r="44">
      <c r="A44" t="inlineStr">
        <is>
          <t>CR05</t>
        </is>
      </c>
      <c r="B44" t="inlineStr">
        <is>
          <t>CR05_Invalid_تعداد</t>
        </is>
      </c>
      <c r="C44" t="n">
        <v>0</v>
      </c>
      <c r="D44" s="21" t="inlineStr">
        <is>
          <t>=COUNTIF(raw_data!BR:BR,"Invalid")</t>
        </is>
      </c>
      <c r="E44" t="inlineStr">
        <is>
          <t>باگ‌ها closed as Invalid</t>
        </is>
      </c>
    </row>
    <row r="45">
      <c r="A45" t="inlineStr">
        <is>
          <t>CR06</t>
        </is>
      </c>
      <c r="B45" t="inlineStr">
        <is>
          <t>CR06_Obsolete_تعداد</t>
        </is>
      </c>
      <c r="C45" t="n">
        <v>1</v>
      </c>
      <c r="D45" s="21" t="inlineStr">
        <is>
          <t>=COUNTIF(raw_data!BR:BR,"Obsolete")</t>
        </is>
      </c>
      <c r="E45" t="inlineStr">
        <is>
          <t>باگ‌ها closed as Obsolete</t>
        </is>
      </c>
    </row>
    <row r="46">
      <c r="A46" t="inlineStr">
        <is>
          <t>CR07</t>
        </is>
      </c>
      <c r="B46" t="inlineStr">
        <is>
          <t>CR07_Wont_Fix_تعداد</t>
        </is>
      </c>
      <c r="C46" t="n">
        <v>0</v>
      </c>
      <c r="D46" s="21" t="inlineStr">
        <is>
          <t>=COUNTIF(raw_data!BR:BR,"Won't Fix")</t>
        </is>
      </c>
      <c r="E46" t="inlineStr">
        <is>
          <t>باگ‌ها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s="21">
        <f>DIVIDE(
        COUNTA(raw_data!A:A)-1,
        CALCULATE(COUNTA(raw_data!A:A)-1, ALL('باگ‌ها'[CloseReason])),
        0
    )</f>
        <v/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s="21">
        <f>CR02_Cannot_Reproduce_تعداد/V09_بسته شده_باگ‌ها*100</f>
        <v/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s="21">
        <f>CR04_Duplicate_تعداد/V09_بسته شده_باگ‌ها*100</f>
        <v/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s="21">
        <f>DIVIDE(
        [CR05_Invalid_تعداد],
        [V09_بسته شده_باگ‌ها],
        0
    )</f>
        <v/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s="2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s="21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s="21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s="21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s="21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s="21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s="21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s="21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s="21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s="21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s="2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s="21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s="21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s="21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s="21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s="21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s="21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s="21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s="21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s="21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s="2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s="21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s="21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s="21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s="21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s="21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s="21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s="21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s="21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s="21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s="2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s="21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s="21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s="21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s="21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s="21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s="21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s="21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s="21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s="21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s="2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s="21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s="21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s="21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s="21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s="21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s="21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s="21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s="21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s="21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s="2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s="21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s="21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s="21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s="21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s="21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s="21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s="21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s="21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s="21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s="2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s="21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s="21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s="21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s="21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s="21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s="21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s="21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s="21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s="21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s="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s="21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s="21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s="21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s="21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s="21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s="21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s="21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s="21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s="21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s="2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s="21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s="21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s="21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s="21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s="21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s="21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s="21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s="21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s="21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s="2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s="21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s="21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s="21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s="21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s="21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s="21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s="21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s="21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s="21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s="2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s="21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s="21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s="21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s="21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s="21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s="21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s="21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s="21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s="21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s="2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s="21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s="21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s="21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s="21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s="21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s="21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s="21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s="21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s="21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s="2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s="21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s="21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s="21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s="21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s="21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s="21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s="21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s="21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s="21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s="2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s="21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s="21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s="21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s="21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s="21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s="21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s="21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s="21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s="21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s="2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s="21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s="21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s="21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s="21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s="21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s="21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s="21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s="21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s="21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s="2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s="21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s="21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s="21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s="21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s="21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s="21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s="21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s="21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s="21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s="2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s="21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s="21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s="21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s="21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s="21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s="21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s="21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s="21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s="21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s="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s="21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s="21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s="21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s="21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s="21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s="21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s="21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s="21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s="21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s="2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s="21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s="21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s="21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s="21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s="21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s="21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s="21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s="21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s="21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s="2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s="21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s="21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s="21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s="21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s="21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s="21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s="21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s="21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s="21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s="2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s="21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s="21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s="21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s="21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s="21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s="21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s="21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s="21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s="21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s="2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s="21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s="21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s="21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s="21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s="21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s="21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s="21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s="21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s="21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s="2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s="21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s="21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s="21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s="21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s="21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s="21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s="21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s="21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s="21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s="2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s="21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s="21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s="21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s="21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s="21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s="21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s="21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s="21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s="21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s="2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s="21" t="inlineStr">
        <is>
          <t>=COUNTIF(raw_data!BR:BR,"Completed")</t>
        </is>
      </c>
      <c r="E292" t="inlineStr">
        <is>
          <t>Completed bugs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Code</t>
        </is>
      </c>
      <c r="B1" s="23" t="inlineStr">
        <is>
          <t>Metric_Name</t>
        </is>
      </c>
      <c r="C1" s="23" t="inlineStr">
        <is>
          <t>Value</t>
        </is>
      </c>
      <c r="D1" s="23" t="inlineStr">
        <is>
          <t>Formula_Text</t>
        </is>
      </c>
      <c r="E1" s="23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TOP 20 CRITICAL BUGS</t>
        </is>
      </c>
    </row>
    <row r="2">
      <c r="A2" s="25" t="inlineStr">
        <is>
          <t>BugID</t>
        </is>
      </c>
      <c r="B2" s="25" t="inlineStr">
        <is>
          <t>Title</t>
        </is>
      </c>
      <c r="C2" s="25" t="inlineStr">
        <is>
          <t>Severity</t>
        </is>
      </c>
    </row>
    <row r="3">
      <c r="A3" t="n">
        <v>194977</v>
      </c>
      <c r="B3" t="inlineStr">
        <is>
          <t>چک شوددر کجا nameAndnationalcode در جدول entitytableکجا ست میشود؟</t>
        </is>
      </c>
      <c r="C3" t="inlineStr">
        <is>
          <t>Medium</t>
        </is>
      </c>
    </row>
    <row r="4">
      <c r="A4" t="n">
        <v>183712</v>
      </c>
      <c r="B4" t="inlineStr">
        <is>
          <t>گزارش کارتابل یوزر ها در 1382</t>
        </is>
      </c>
      <c r="C4" t="inlineStr">
        <is>
          <t>Low</t>
        </is>
      </c>
    </row>
    <row r="5">
      <c r="A5" t="n">
        <v>186097</v>
      </c>
      <c r="B5" t="inlineStr">
        <is>
          <t>گزارش های کارتابل رییس واحد باگ دارد</t>
        </is>
      </c>
      <c r="C5" t="inlineStr">
        <is>
          <t>Medium</t>
        </is>
      </c>
    </row>
    <row r="6">
      <c r="A6" t="n">
        <v>186218</v>
      </c>
      <c r="B6" t="inlineStr">
        <is>
          <t>گزارش کارتابل یوزر های اداره کل وصول مطالبات باگ دارد</t>
        </is>
      </c>
      <c r="C6" t="inlineStr">
        <is>
          <t>Medium</t>
        </is>
      </c>
    </row>
    <row r="7">
      <c r="A7" t="n">
        <v>187649</v>
      </c>
      <c r="B7" t="inlineStr">
        <is>
          <t>تعداد سند های ، کارتابل یوزر جوان خیلی زیاد است</t>
        </is>
      </c>
      <c r="C7" t="inlineStr">
        <is>
          <t>High</t>
        </is>
      </c>
    </row>
    <row r="8">
      <c r="A8" t="n">
        <v>188959</v>
      </c>
      <c r="B8" t="inlineStr">
        <is>
          <t>کمبو محل مصرف ،در فرم ثبت درخواست ، ایران وسط شهر ها هست</t>
        </is>
      </c>
      <c r="C8" t="inlineStr">
        <is>
          <t>High</t>
        </is>
      </c>
    </row>
    <row r="9">
      <c r="A9" t="n">
        <v>189035</v>
      </c>
      <c r="B9" t="inlineStr">
        <is>
          <t>دکمه ذخیره ویرایش عقد</t>
        </is>
      </c>
      <c r="C9" t="inlineStr">
        <is>
          <t>Critical</t>
        </is>
      </c>
    </row>
    <row r="10">
      <c r="A10" t="n">
        <v>189703</v>
      </c>
      <c r="B10" t="inlineStr">
        <is>
          <t>باگ کاربرگ بررسی</t>
        </is>
      </c>
      <c r="C10" t="inlineStr">
        <is>
          <t>Low</t>
        </is>
      </c>
    </row>
    <row r="11">
      <c r="A11" t="n">
        <v>189796</v>
      </c>
      <c r="B11" t="inlineStr">
        <is>
          <t>کمبو نام مشتری در گزارش نسبت های مالی ، رکورد نال نمایش می هد/گزارش</t>
        </is>
      </c>
      <c r="C11" t="inlineStr">
        <is>
          <t>Medium</t>
        </is>
      </c>
    </row>
    <row r="12">
      <c r="A12" t="n">
        <v>189801</v>
      </c>
      <c r="B12" t="inlineStr">
        <is>
          <t>کمبو نام شخص در گزارش مدیران و سهامداران/شرکا، کورد نال نمایش می دهد/ گزارش</t>
        </is>
      </c>
      <c r="C12" t="inlineStr">
        <is>
          <t>Medium</t>
        </is>
      </c>
    </row>
    <row r="13">
      <c r="A13" t="n">
        <v>189803</v>
      </c>
      <c r="B13" t="inlineStr">
        <is>
          <t>نامرتب بودن ، کمبو واحد کارشناسی / گزارش</t>
        </is>
      </c>
      <c r="C13" t="inlineStr">
        <is>
          <t>Critical</t>
        </is>
      </c>
    </row>
    <row r="14">
      <c r="A14" t="n">
        <v>189805</v>
      </c>
      <c r="B14" t="inlineStr">
        <is>
          <t>عدم نمایش عقد تقسیط - تقسیط ضمانت نامه ، در کمبو نوع عقود/گزارش</t>
        </is>
      </c>
      <c r="C14" t="inlineStr">
        <is>
          <t>Low</t>
        </is>
      </c>
    </row>
    <row r="15">
      <c r="A15" t="n">
        <v>189808</v>
      </c>
      <c r="B15" t="inlineStr">
        <is>
          <t>کمبو شماره مشتری در گزارش نظارتی ، رکورد نال نمایش می دهد/گزارش</t>
        </is>
      </c>
      <c r="C15" t="inlineStr">
        <is>
          <t>Low</t>
        </is>
      </c>
    </row>
    <row r="16">
      <c r="A16" t="n">
        <v>190117</v>
      </c>
      <c r="B16" t="inlineStr">
        <is>
          <t>کمبو مدیریت شعب در گزارشات ، منو سامانه باگ دارد</t>
        </is>
      </c>
      <c r="C16" t="inlineStr">
        <is>
          <t>High</t>
        </is>
      </c>
    </row>
    <row r="17">
      <c r="A17" t="n">
        <v>190121</v>
      </c>
      <c r="B17" t="inlineStr">
        <is>
          <t>اصلاح تایتل گزارش درخواست های وارده به اداره کل اعتبارات</t>
        </is>
      </c>
      <c r="C17" t="inlineStr">
        <is>
          <t>High</t>
        </is>
      </c>
    </row>
    <row r="18">
      <c r="A18" t="n">
        <v>190125</v>
      </c>
      <c r="B18" t="inlineStr">
        <is>
          <t>کمبو معرف در گزارش تسهیلات متفرقه ، رکورد نال نمایش می دهد</t>
        </is>
      </c>
      <c r="C18" t="inlineStr">
        <is>
          <t>High</t>
        </is>
      </c>
    </row>
    <row r="19">
      <c r="A19" t="n">
        <v>190142</v>
      </c>
      <c r="B19" t="inlineStr">
        <is>
          <t>عدم دریافت گزارش مدت زمان توقف کارپرونده وارده به اداره کل اعتبارات</t>
        </is>
      </c>
      <c r="C19" t="inlineStr">
        <is>
          <t>High</t>
        </is>
      </c>
    </row>
    <row r="20">
      <c r="A20" t="n">
        <v>190225</v>
      </c>
      <c r="B20" t="inlineStr">
        <is>
          <t>خالی بودن کمبو واحد کارشناسی در گزارش آمار تجمیعی واحد ها</t>
        </is>
      </c>
      <c r="C20" t="inlineStr">
        <is>
          <t>Medium</t>
        </is>
      </c>
    </row>
    <row r="21">
      <c r="A21" t="n">
        <v>190227</v>
      </c>
      <c r="B21" t="inlineStr">
        <is>
          <t>خالی بودن کمبو در گزارش تفضیلی در تمام مراجع همراه وثایق</t>
        </is>
      </c>
      <c r="C21" t="inlineStr">
        <is>
          <t>Medium</t>
        </is>
      </c>
    </row>
    <row r="22">
      <c r="A22" t="n">
        <v>190229</v>
      </c>
      <c r="B22" t="inlineStr">
        <is>
          <t>خالی بودن کمبو در گزارش درخواست های وارده به اداره کل اعتبارات</t>
        </is>
      </c>
      <c r="C22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82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2" customWidth="1" min="4" max="4"/>
    <col width="10" customWidth="1" min="5" max="5"/>
    <col width="12" customWidth="1" min="6" max="6"/>
    <col width="12" customWidth="1" min="7" max="7"/>
    <col width="20" customWidth="1" min="8" max="8"/>
    <col width="20" customWidth="1" min="9" max="9"/>
    <col width="25" customWidth="1" min="10" max="10"/>
    <col width="15" customWidth="1" min="11" max="11"/>
    <col width="20" customWidth="1" min="12" max="12"/>
    <col width="20" customWidth="1" min="13" max="13"/>
    <col width="18" customWidth="1" min="14" max="14"/>
    <col width="18" customWidth="1" min="15" max="15"/>
    <col width="18" customWidth="1" min="16" max="16"/>
    <col width="15" customWidth="1" min="17" max="17"/>
    <col width="12" customWidth="1" min="18" max="18"/>
    <col width="18" customWidth="1" min="19" max="19"/>
    <col width="18" customWidth="1" min="20" max="20"/>
    <col width="18" customWidth="1" min="21" max="21"/>
    <col width="15" customWidth="1" min="22" max="22"/>
    <col width="15" customWidth="1" min="23" max="23"/>
    <col width="15" customWidth="1" min="24" max="24"/>
    <col width="15" customWidth="1" min="25" max="25"/>
    <col width="12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10" customWidth="1" min="38" max="38"/>
    <col width="15" customWidth="1" min="39" max="39"/>
    <col width="15" customWidth="1" min="40" max="40"/>
    <col width="15" customWidth="1" min="41" max="41"/>
    <col width="15" customWidth="1" min="42" max="42"/>
    <col width="12" customWidth="1" min="43" max="43"/>
    <col width="20" customWidth="1" min="44" max="44"/>
    <col width="30" customWidth="1" min="45" max="45"/>
    <col width="15" customWidth="1" min="46" max="46"/>
  </cols>
  <sheetData>
    <row r="1" ht="30" customHeight="1">
      <c r="A1" s="43" t="inlineStr">
        <is>
          <t>BugID</t>
        </is>
      </c>
      <c r="B1" s="43" t="inlineStr">
        <is>
          <t>Title</t>
        </is>
      </c>
      <c r="C1" s="43" t="inlineStr">
        <is>
          <t>Description</t>
        </is>
      </c>
      <c r="D1" s="43" t="inlineStr">
        <is>
          <t>Severity</t>
        </is>
      </c>
      <c r="E1" s="43" t="inlineStr">
        <is>
          <t>Priority</t>
        </is>
      </c>
      <c r="F1" s="43" t="inlineStr">
        <is>
          <t>State</t>
        </is>
      </c>
      <c r="G1" s="43" t="inlineStr">
        <is>
          <t>Category</t>
        </is>
      </c>
      <c r="H1" s="49" t="inlineStr">
        <is>
          <t>BugType</t>
        </is>
      </c>
      <c r="I1" s="43" t="inlineStr">
        <is>
          <t>Tags</t>
        </is>
      </c>
      <c r="J1" s="43" t="inlineStr">
        <is>
          <t>TeamName</t>
        </is>
      </c>
      <c r="K1" s="43" t="inlineStr">
        <is>
          <t>SprintName</t>
        </is>
      </c>
      <c r="L1" s="43" t="inlineStr">
        <is>
          <t>CloseReason</t>
        </is>
      </c>
      <c r="M1" s="43" t="inlineStr">
        <is>
          <t>AssigneeName</t>
        </is>
      </c>
      <c r="N1" s="43" t="inlineStr">
        <is>
          <t>ResolverName</t>
        </is>
      </c>
      <c r="O1" s="43" t="inlineStr">
        <is>
          <t>ClosedDate</t>
        </is>
      </c>
      <c r="P1" s="43" t="inlineStr">
        <is>
          <t>ResolvedDate</t>
        </is>
      </c>
      <c r="Q1" s="43" t="inlineStr">
        <is>
          <t>LastModifiedDate</t>
        </is>
      </c>
      <c r="R1" s="43" t="inlineStr">
        <is>
          <t>DueDate</t>
        </is>
      </c>
      <c r="S1" s="43" t="inlineStr">
        <is>
          <t>IsRegression</t>
        </is>
      </c>
      <c r="T1" s="43" t="inlineStr">
        <is>
          <t>CreatedDate</t>
        </is>
      </c>
      <c r="U1" s="43" t="inlineStr">
        <is>
          <t>AssignedDate</t>
        </is>
      </c>
      <c r="V1" s="43" t="inlineStr">
        <is>
          <t>TriageDate</t>
        </is>
      </c>
      <c r="W1" s="43" t="inlineStr">
        <is>
          <t>InProgressDate</t>
        </is>
      </c>
      <c r="X1" s="43" t="inlineStr">
        <is>
          <t>ReadyForRetestDate</t>
        </is>
      </c>
      <c r="Y1" s="43" t="inlineStr">
        <is>
          <t>VerifiedDate</t>
        </is>
      </c>
      <c r="Z1" s="43" t="inlineStr">
        <is>
          <t>DoneDate</t>
        </is>
      </c>
      <c r="AA1" s="43" t="inlineStr">
        <is>
          <t>ReopenCount</t>
        </is>
      </c>
      <c r="AB1" s="43" t="inlineStr">
        <is>
          <t>FirstReopenDate</t>
        </is>
      </c>
      <c r="AC1" s="43" t="inlineStr">
        <is>
          <t>LastReopenDate</t>
        </is>
      </c>
      <c r="AD1" s="43" t="inlineStr">
        <is>
          <t>StateTransitionCount</t>
        </is>
      </c>
      <c r="AE1" s="43" t="inlineStr">
        <is>
          <t>StateChangeCount</t>
        </is>
      </c>
      <c r="AF1" s="43" t="inlineStr">
        <is>
          <t>AssigneeChangeCount</t>
        </is>
      </c>
      <c r="AG1" s="43" t="inlineStr">
        <is>
          <t>StateHistory</t>
        </is>
      </c>
      <c r="AH1" s="43" t="inlineStr">
        <is>
          <t>PreviousState</t>
        </is>
      </c>
      <c r="AI1" s="43" t="inlineStr">
        <is>
          <t>IsDuplicate</t>
        </is>
      </c>
      <c r="AJ1" s="43" t="inlineStr">
        <is>
          <t>is_escaped</t>
        </is>
      </c>
      <c r="AK1" s="43" t="inlineStr">
        <is>
          <t>LeadTimeHrs</t>
        </is>
      </c>
      <c r="AL1" s="43" t="inlineStr">
        <is>
          <t>CycleTimeHrs</t>
        </is>
      </c>
      <c r="AM1" s="43" t="inlineStr">
        <is>
          <t>AgeDays</t>
        </is>
      </c>
      <c r="AN1" s="43" t="inlineStr">
        <is>
          <t>TriageDurationHrs</t>
        </is>
      </c>
      <c r="AO1" s="43" t="inlineStr">
        <is>
          <t>ReadyForRetestDurationHrs</t>
        </is>
      </c>
      <c r="AP1" s="43" t="inlineStr">
        <is>
          <t>WaitTimeHrs</t>
        </is>
      </c>
      <c r="AQ1" s="43" t="inlineStr">
        <is>
          <t>ResponseTimeHrs</t>
        </is>
      </c>
      <c r="AR1" s="43" t="inlineStr">
        <is>
          <t>FixEffortHrs</t>
        </is>
      </c>
      <c r="AS1" s="43" t="inlineStr">
        <is>
          <t>ModuleName</t>
        </is>
      </c>
      <c r="AT1" s="43" t="inlineStr">
        <is>
          <t>RootCause</t>
        </is>
      </c>
      <c r="AU1" s="43" t="inlineStr">
        <is>
          <t>TestCaseID</t>
        </is>
      </c>
    </row>
    <row r="2">
      <c r="A2" t="n">
        <v>196316</v>
      </c>
      <c r="B2" t="inlineStr">
        <is>
          <t>اشکالات دیتامدلی و اکچر</t>
        </is>
      </c>
      <c r="D2" t="inlineStr">
        <is>
          <t>Medium</t>
        </is>
      </c>
      <c r="E2" t="n">
        <v>2</v>
      </c>
      <c r="F2" t="inlineStr">
        <is>
          <t>Closed</t>
        </is>
      </c>
      <c r="G2" t="inlineStr">
        <is>
          <t>ANZ</t>
        </is>
      </c>
      <c r="H2" t="inlineStr">
        <is>
          <t>ANZ (تحلیل)</t>
        </is>
      </c>
      <c r="J2" t="inlineStr">
        <is>
          <t>SAJAK</t>
        </is>
      </c>
      <c r="K2" t="inlineStr">
        <is>
          <t>Estate_Sprint 44</t>
        </is>
      </c>
      <c r="L2" t="inlineStr">
        <is>
          <t>Completed</t>
        </is>
      </c>
      <c r="M2" t="inlineStr">
        <is>
          <t>Seyfollahi Artin</t>
        </is>
      </c>
      <c r="N2" t="inlineStr">
        <is>
          <t>Seyfollahi Artin</t>
        </is>
      </c>
      <c r="O2" s="42" t="n">
        <v>46015.49541666666</v>
      </c>
      <c r="Q2" s="42" t="n">
        <v>46015.49541666666</v>
      </c>
      <c r="S2" t="n">
        <v>0</v>
      </c>
      <c r="T2" s="42" t="n">
        <v>46015.49541666666</v>
      </c>
      <c r="Z2" s="42" t="n">
        <v>46015.49541666666</v>
      </c>
      <c r="AA2" t="n">
        <v>0</v>
      </c>
      <c r="AD2" t="n">
        <v>2</v>
      </c>
      <c r="AE2" t="n">
        <v>2</v>
      </c>
      <c r="AF2" t="n">
        <v>0</v>
      </c>
      <c r="AI2" t="n">
        <v>0</v>
      </c>
      <c r="AJ2" t="n">
        <v>0</v>
      </c>
      <c r="AK2" t="n">
        <v>0</v>
      </c>
      <c r="AL2" t="n">
        <v>0</v>
      </c>
      <c r="AN2" t="n">
        <v>0</v>
      </c>
      <c r="AO2" t="n">
        <v>0</v>
      </c>
      <c r="AP2" t="n">
        <v>0</v>
      </c>
      <c r="AQ2" t="n">
        <v>24</v>
      </c>
      <c r="AR2" t="n">
        <v>0</v>
      </c>
    </row>
    <row r="3">
      <c r="A3" t="n">
        <v>196868</v>
      </c>
      <c r="B3" t="inlineStr">
        <is>
          <t>مشکلات موجود در تسک نمایش لیست ابلاغ شوندگان و نحوه ابلاغ ،فرم( تولید متن ابلاغ )</t>
        </is>
      </c>
      <c r="C3" t="inlineStr">
        <is>
          <t>&lt;b&gt;&lt;u&gt;&lt;br&gt;&lt;br&gt;Copied from Repro Steps when changed from Bug to Bug 2&lt;/u&gt;&lt;/b&gt;&lt;br&gt;&lt;div&gt;تسک نمایش لیست ابلاغ شوندگان و نحوه ابلاغ&lt;br&gt; &lt;/div&gt;</t>
        </is>
      </c>
      <c r="D3" t="inlineStr">
        <is>
          <t>Medium</t>
        </is>
      </c>
      <c r="E3" t="n">
        <v>2</v>
      </c>
      <c r="F3" t="inlineStr">
        <is>
          <t>Closed</t>
        </is>
      </c>
      <c r="G3" t="inlineStr">
        <is>
          <t>ANZ</t>
        </is>
      </c>
      <c r="H3" t="inlineStr">
        <is>
          <t>ANZ (تحلیل)</t>
        </is>
      </c>
      <c r="J3" t="inlineStr">
        <is>
          <t>SAJAK</t>
        </is>
      </c>
      <c r="K3" t="inlineStr">
        <is>
          <t>Estate_Sprint 44</t>
        </is>
      </c>
      <c r="L3" t="inlineStr">
        <is>
          <t>Completed</t>
        </is>
      </c>
      <c r="M3" t="inlineStr">
        <is>
          <t>Shirmohammadi Milad</t>
        </is>
      </c>
      <c r="N3" t="inlineStr">
        <is>
          <t>Shirmohammadi Milad</t>
        </is>
      </c>
      <c r="O3" s="42" t="n">
        <v>46018.37011574074</v>
      </c>
      <c r="Q3" s="42" t="n">
        <v>46018.37011574074</v>
      </c>
      <c r="S3" t="n">
        <v>0</v>
      </c>
      <c r="T3" s="42" t="n">
        <v>46018.37011574074</v>
      </c>
      <c r="Z3" s="42" t="n">
        <v>46018.37011574074</v>
      </c>
      <c r="AA3" t="n">
        <v>0</v>
      </c>
      <c r="AD3" t="n">
        <v>2</v>
      </c>
      <c r="AE3" t="n">
        <v>2</v>
      </c>
      <c r="AF3" t="n">
        <v>0</v>
      </c>
      <c r="AI3" t="n">
        <v>0</v>
      </c>
      <c r="AJ3" t="n">
        <v>0</v>
      </c>
      <c r="AK3" t="n">
        <v>0</v>
      </c>
      <c r="AL3" t="n">
        <v>0</v>
      </c>
      <c r="AN3" t="n">
        <v>0</v>
      </c>
      <c r="AO3" t="n">
        <v>0</v>
      </c>
      <c r="AP3" t="n">
        <v>0</v>
      </c>
      <c r="AQ3" t="n">
        <v>24</v>
      </c>
      <c r="AR3" t="n">
        <v>0</v>
      </c>
    </row>
    <row r="4">
      <c r="A4" t="n">
        <v>196873</v>
      </c>
      <c r="B4" t="inlineStr">
        <is>
          <t>مشکلات موجود در تسک ثبت اطلاعات مامور ابلاغ و اجرا ، فرم(ثبت اطلاعات مامور ابلاغ و اجرا)</t>
        </is>
      </c>
      <c r="C4" t="inlineStr">
        <is>
          <t>&lt;b&gt;&lt;u&gt;&lt;br&gt;&lt;br&gt;Copied from Repro Steps when changed from Bug to Bug 2&lt;/u&gt;&lt;/b&gt;&lt;br&gt;&lt;div&gt;&amp;nbsp;فرم ثبت اطلاعات مامور ابلاغ و اجرا &lt;br&gt; &lt;/div&gt;</t>
        </is>
      </c>
      <c r="D4" t="inlineStr">
        <is>
          <t>Medium</t>
        </is>
      </c>
      <c r="E4" t="n">
        <v>2</v>
      </c>
      <c r="F4" t="inlineStr">
        <is>
          <t>Closed</t>
        </is>
      </c>
      <c r="G4" t="inlineStr">
        <is>
          <t>ANZ</t>
        </is>
      </c>
      <c r="H4" t="inlineStr">
        <is>
          <t>ANZ (تحلیل)</t>
        </is>
      </c>
      <c r="J4" t="inlineStr">
        <is>
          <t>SAJAK</t>
        </is>
      </c>
      <c r="K4" t="inlineStr">
        <is>
          <t>Estate_Sprint 44</t>
        </is>
      </c>
      <c r="L4" t="inlineStr">
        <is>
          <t>Completed</t>
        </is>
      </c>
      <c r="M4" t="inlineStr">
        <is>
          <t>Shirmohammadi Milad</t>
        </is>
      </c>
      <c r="N4" t="inlineStr">
        <is>
          <t>Shirmohammadi Milad</t>
        </is>
      </c>
      <c r="O4" s="42" t="n">
        <v>46018.36931712963</v>
      </c>
      <c r="Q4" s="42" t="n">
        <v>46018.36931712963</v>
      </c>
      <c r="S4" t="n">
        <v>0</v>
      </c>
      <c r="T4" s="42" t="n">
        <v>46018.36931712963</v>
      </c>
      <c r="Z4" s="42" t="n">
        <v>46018.36931712963</v>
      </c>
      <c r="AA4" t="n">
        <v>0</v>
      </c>
      <c r="AD4" t="n">
        <v>2</v>
      </c>
      <c r="AE4" t="n">
        <v>2</v>
      </c>
      <c r="AF4" t="n">
        <v>0</v>
      </c>
      <c r="AI4" t="n">
        <v>0</v>
      </c>
      <c r="AJ4" t="n">
        <v>0</v>
      </c>
      <c r="AK4" t="n">
        <v>0</v>
      </c>
      <c r="AL4" t="n">
        <v>0</v>
      </c>
      <c r="AN4" t="n">
        <v>0</v>
      </c>
      <c r="AO4" t="n">
        <v>0</v>
      </c>
      <c r="AP4" t="n">
        <v>0</v>
      </c>
      <c r="AQ4" t="n">
        <v>24</v>
      </c>
      <c r="AR4" t="n">
        <v>0</v>
      </c>
    </row>
    <row r="5">
      <c r="A5" t="n">
        <v>196631</v>
      </c>
      <c r="B5" t="inlineStr">
        <is>
          <t>عدم همخوانی اکچر با دیتا مدل</t>
        </is>
      </c>
      <c r="C5" t="inlineStr">
        <is>
          <t>&lt;b&gt;&lt;u&gt;&lt;br&gt;&lt;br&gt;Copied from Repro Steps when changed from Bug to Bug 2&lt;/u&gt;&lt;/b&gt;&lt;br&gt;&lt;p dir=RTL style="margin:0in 0in 8pt;line-height:107%;font-size:11pt;text-align:right;direction:rtl;unicode-bidi:embed;"&gt;&lt;font face="Arial, sans-serif"&gt;اسم مورد 41&lt;/font&gt;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style="font-size:10.0pt;font-family:&amp;quot;Arial&amp;quot;,sans-serif;color:#2A2E38;background:#EFEFEF;"&gt;&lt;span&gt;&lt;img src="http://192.168.10.22:8080/tfs/RPKavoshDevOps/1ae798a4-3b76-43bb-8ae2-71a827b39a2d/_apis/wit/attachments/897f1dea-385d-4863-b25c-646ce79d7cf3?fileName=image.png" alt=Image&gt;&lt;br&gt;&lt;/span&gt;&lt;/span&gt;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lang=FA style="box-sizing:border-box;color:rgba(0, 0, 0, 0.9);font-size:14.6667px;font-family:Arial, sans-serif;"&gt;&lt;span style="box-sizing:border-box;"&gt;&amp;nbsp;&lt;/span&gt;قسمت تولید نامه قسمت&lt;span&gt;&amp;nbsp;&lt;/span&gt;&lt;/span&gt;&lt;span lang=AR-SA style="box-sizing:border-box;font-size:10pt;font-family:Arial, sans-serif;color:black;background:rgb(215, 215, 215);"&gt;مشخصات ملک&lt;/span&gt;&lt;span style="color:rgba(0, 0, 0, 0.9);font-family:Calibri, sans-serif;font-size:14.6667px;display:inline !important;"&gt;&lt;span&gt;&amp;nbsp;&lt;/span&gt;&lt;/span&gt;&lt;span style="box-sizing:border-box;color:rgba(0, 0, 0, 0.9);font-family:Calibri, sans-serif;font-size:14.6667px;"&gt;&amp;nbsp;&amp;nbsp;&amp;nbsp;&lt;/span&gt;&lt;span style="box-sizing:border-box;color:rgba(0, 0, 0, 0.9);font-family:Calibri, sans-serif;font-size:14.6667px;"&gt;&amp;nbsp;&lt;/span&gt;&lt;span style="color:rgba(0, 0, 0, 0.9);font-family:Calibri, sans-serif;font-size:14.6667px;display:inline !important;"&gt;موجودیت که باید باشد&lt;/span&gt;&lt;span style="box-sizing:border-box;color:rgba(0, 0, 0, 0.9);font-family:Calibri, sans-serif;font-size:14.6667px;"&gt;&amp;nbsp;&amp;nbsp;&amp;nbsp;&lt;span&gt;&amp;nbsp;&lt;/span&gt;&lt;/span&gt;&lt;span style="color:rgba(0, 0, 0, 0.9);font-family:Calibri, sans-serif;font-size:14.6667px;display:inline !important;"&gt;:&lt;/span&gt;&lt;span dir=LTR style="box-sizing:border-box;color:rgba(0, 0, 0, 0.9);font-family:Calibri, sans-serif;font-size:14.6667px;"&gt;&lt;/span&gt;&lt;span dir=LTR style="box-sizing:border-box;color:rgba(0, 0, 0, 0.9);font-family:Calibri, sans-serif;font-size:14.6667px;"&gt;&lt;/span&gt;&lt;span lang=AR-SA dir=LTR style="box-sizing:border-box;font-size:7.5pt;font-family:Tahoma, sans-serif;color:black;"&gt;&lt;span dir=LTR style="box-sizing:border-box;"&gt;&lt;/span&gt;&lt;span dir=LTR style="box-sizing:border-box;"&gt;&lt;/span&gt;&lt;span&gt;&amp;nbsp;&lt;/span&gt;&lt;/span&gt;&lt;span dir=LTR style="box-sizing:border-box;font-size:7.5pt;font-family:Tahoma, sans-serif;color:black;"&gt;OFA01_TB_AN_NT_PER_EST&lt;/span&gt;&lt;span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style="box-sizing:border-box;font-size:7.5pt;font-family:Tahoma, sans-serif;color:black;"&gt;&lt;span dir=RTL style="box-sizing:border-box;"&gt;&lt;/span&gt;&lt;span dir=RTL style="box-sizing:border-box;"&gt;&lt;/span&gt;&lt;span style="box-sizing:border-box;"&gt;&amp;nbsp;&lt;/span&gt;&lt;span lang=FA style="box-sizing:border-box;"&gt;ولی خورده&lt;span&gt;&amp;nbsp;&lt;/span&gt;&lt;/span&gt;&lt;/span&gt;&lt;span dir=LTR style="box-sizing:border-box;font-size:10pt;font-family:&amp;quot;Source Sans Pro&amp;quot;, sans-serif;background:rgb(239, 239, 239);"&gt;OFA01_TB_ANNOUNCE_DOC&lt;/span&gt;&lt;span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style="box-sizing:border-box;font-size:10pt;font-family:Arial, sans-serif;background:rgb(239, 239, 239);"&gt;&lt;span dir=RTL style="box-sizing:border-box;"&gt;&lt;/span&gt;&lt;span dir=RTL style="box-sizing:border-box;"&gt;&lt;/span&gt;&lt;span style="box-sizing:border-box;"&gt;&amp;nbsp;&lt;/span&gt;&lt;/span&gt;&lt;br&gt;&lt;/span&gt;&lt;/span&gt;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style="box-sizing:border-box;"&gt;&lt;/span&gt;&lt;/span&gt;&lt;/span&gt;&lt;/span&gt; &lt;/p&gt;&lt;p dir=RTL style="box-sizing:border-box;margin:0in 0in 8pt;font-size:11pt;font-family:Calibri, sans-serif;unicode-bidi:embed;"&gt;&lt;span style="box-sizing:border-box;font-size:10pt;font-family:Arial, sans-serif;background:rgb(239, 239, 239);"&gt;&lt;span style="box-sizing:border-box;"&gt;&lt;span style="box-sizing:border-box;background:rgb(239, 239, 239);"&gt;&lt;span style="box-sizing:border-box;"&gt;همچنین برای استان و شهرستان نیاز به&amp;nbsp;فیلد هستش&amp;nbsp;&lt;/span&gt;&lt;/span&gt;&lt;/span&gt;&lt;/span&gt; &lt;/p&gt;&lt;br&gt;&lt;p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style="box-sizing:border-box;"&gt;&lt;img src="http://192.168.10.22:8080/tfs/RPKavoshDevOps/1ae798a4-3b76-43bb-8ae2-71a827b39a2d/_apis/wit/attachments/a45f8d5f-5b6a-4f6a-b13f-70ddf347e669?fileName=image.png" alt=Image&gt;&lt;br&gt;&lt;/span&gt;&lt;/span&gt;&lt;/span&gt;&lt;/span&gt; &lt;/p&gt;&lt;p dir=RTL style="margin:0in 0in 8pt;line-height:107%;font-size:11pt;font-family:Calibri, sans-serif;text-align:right;direction:rtl;unicode-bidi:embed;"&gt;موجودیت های مربوطه یا فت نشده و اسم جداول مربوطه و انتیتی ها و دیتا مدل مغایرت دارد و در جداول نیز پیدا نشده و باعث عدم پیش برد پیاده سازیست&amp;nbsp; &lt;/p&gt;&lt;div dir=RTL style="margin:0px 0in 10.6667px;line-height:107%;font-size:11pt;font-family:Calibri, sans-serif;text-align:right;direction:rtl;unicode-bidi:embed;"&gt;&lt;img src="http://192.168.10.22:8080/tfs/RPKavoshDevOps/1ae798a4-3b76-43bb-8ae2-71a827b39a2d/_apis/wit/attachments/bf74a3dc-a3b3-406f-98e5-6128aef674a3?fileName=image.png" alt=Image&gt;&lt;br&gt; &lt;/div&gt;&lt;p dir=RTL style="margin:0in 0in 8pt;line-height:107%;font-size:11pt;font-family:Calibri, sans-serif;text-align:right;direction:rtl;unicode-bidi:embed;"&gt;این مشکلات در فرم های دیگر نیز تکرار شده وکپی&amp;nbsp; شده است &lt;/p&gt;&lt;p dir=RTL style="margin:0in 0in 8pt;line-height:107%;font-size:11pt;font-family:Calibri, sans-serif;text-align:right;direction:rtl;unicode-bidi:embed;"&gt;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style="font-size:10.0pt;font-family:&amp;quot;Arial&amp;quot;,sans-serif;color:#2A2E38;background:#EFEFEF;"&gt;&lt;span&gt;&lt;a href="http://192.168.10.51:8081/OFA01/Prototype/#id=lmhcij&amp;amp;p=form_announcement_006_____________&amp;amp;g=1"&gt;http://192.168.10.51:8081/OFA01/Prototype/#id=lmhcij&amp;amp;p=form_announcement_006_____________&amp;amp;g=1&lt;/a&gt;&lt;br&gt;&lt;/span&gt;&lt;/span&gt;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style="font-size:10.0pt;font-family:&amp;quot;Arial&amp;quot;,sans-serif;color:#2A2E38;background:#EFEFEF;"&gt;&lt;a href="http://192.168.10.51:8081/OFA01/Prototype/#id=oyalxu&amp;amp;p=form_announcement_017__%D8%AB%D8%A8%D8%AA_%D8%A7%D8%B7%D9%84%D8%A7%D8%B9%D8%A7%D8%AA_%D8%A2%DA%AF%D9%87%DB%8C_%DA%86%D8%A7%D9%BE_%D8%B4%D8%AF%D9%87&amp;amp;g=1"&gt;http://192.168.10.51:8081/OFA01/Prototype/#id=oyalxu&amp;amp;p=form_announcement_017__%D8%AB%D8%A8%D8%AA_%D8%A7%D8%B7%D9%84%D8%A7%D8%B9%D8%A7%D8%AA_%D8%A2%DA%AF%D9%87%DB%8C_%DA%86%D8%A7%D9%BE_%D8%B4%D8%AF%D9%87&amp;amp;g=1&lt;/a&gt;&lt;br&gt;&lt;/span&gt; &lt;/p&gt;&lt;div dir=RTL style="margin:0px 0in 10.6667px;line-height:107%;font-size:11pt;font-family:Calibri, sans-serif;text-align:right;direction:rtl;unicode-bidi:embed;"&gt;&lt;a href="http://192.168.10.51:8081/OFA01/Prototype/#id=b66tfx&amp;amp;p=form_announcement_018_____________&amp;amp;g=1"&gt;http://192.168.10.51:8081/OFA01/Prototype/#id=b66tfx&amp;amp;p=form_announcement_018_____________&amp;amp;g=1&lt;/a&gt;&lt;br&gt; &lt;/div&gt;&lt;p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style="font-size:10.0pt;font-family:&amp;quot;Arial&amp;quot;,sans-serif;color:#2A2E38;background:#EFEFEF;"&gt;&lt;br&gt;&lt;/span&gt;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style="font-size:10.0pt;font-family:&amp;quot;Arial&amp;quot;,sans-serif;color:#2A2E38;background:#EFEFEF;"&gt;&lt;span&gt;&lt;br&gt;&lt;/span&gt;&lt;/span&gt; &lt;/p&gt;&lt;br&gt;</t>
        </is>
      </c>
      <c r="D5" t="inlineStr">
        <is>
          <t>Medium</t>
        </is>
      </c>
      <c r="E5" t="n">
        <v>2</v>
      </c>
      <c r="F5" t="inlineStr">
        <is>
          <t>Closed</t>
        </is>
      </c>
      <c r="G5" t="inlineStr">
        <is>
          <t>ANZ</t>
        </is>
      </c>
      <c r="H5" t="inlineStr">
        <is>
          <t>ANZ (تحلیل)</t>
        </is>
      </c>
      <c r="J5" t="inlineStr">
        <is>
          <t>SAJAK</t>
        </is>
      </c>
      <c r="K5" t="inlineStr">
        <is>
          <t>Estate_Sprint 44</t>
        </is>
      </c>
      <c r="L5" t="inlineStr">
        <is>
          <t>Completed</t>
        </is>
      </c>
      <c r="M5" t="inlineStr">
        <is>
          <t>Mousavi Azadeh</t>
        </is>
      </c>
      <c r="N5" t="inlineStr">
        <is>
          <t>Keshavarz Shahab</t>
        </is>
      </c>
      <c r="O5" s="42" t="n">
        <v>46015.66869212963</v>
      </c>
      <c r="Q5" s="42" t="n">
        <v>46015.66869212963</v>
      </c>
      <c r="S5" t="n">
        <v>0</v>
      </c>
      <c r="T5" s="42" t="n">
        <v>46015.66869212963</v>
      </c>
      <c r="Z5" s="42" t="n">
        <v>46015.66869212963</v>
      </c>
      <c r="AA5" t="n">
        <v>0</v>
      </c>
      <c r="AD5" t="n">
        <v>2</v>
      </c>
      <c r="AE5" t="n">
        <v>2</v>
      </c>
      <c r="AF5" t="n">
        <v>0</v>
      </c>
      <c r="AI5" t="n">
        <v>0</v>
      </c>
      <c r="AJ5" t="n">
        <v>0</v>
      </c>
      <c r="AK5" t="n">
        <v>0</v>
      </c>
      <c r="AL5" t="n">
        <v>0</v>
      </c>
      <c r="AN5" t="n">
        <v>0</v>
      </c>
      <c r="AO5" t="n">
        <v>0</v>
      </c>
      <c r="AP5" t="n">
        <v>0</v>
      </c>
      <c r="AQ5" t="n">
        <v>24</v>
      </c>
      <c r="AR5" t="n">
        <v>0</v>
      </c>
    </row>
    <row r="6">
      <c r="A6" t="n">
        <v>196731</v>
      </c>
      <c r="B6" t="inlineStr">
        <is>
          <t>اشکالات دیتامدلی و اکچر</t>
        </is>
      </c>
      <c r="D6" t="inlineStr">
        <is>
          <t>Medium</t>
        </is>
      </c>
      <c r="E6" t="n">
        <v>2</v>
      </c>
      <c r="F6" t="inlineStr">
        <is>
          <t>Resolved</t>
        </is>
      </c>
      <c r="G6" t="inlineStr">
        <is>
          <t>ANZ</t>
        </is>
      </c>
      <c r="H6" t="inlineStr">
        <is>
          <t>ANZ (تحلیل)</t>
        </is>
      </c>
      <c r="I6" t="inlineStr">
        <is>
          <t>#تکراری</t>
        </is>
      </c>
      <c r="J6" t="inlineStr">
        <is>
          <t>SAJAK</t>
        </is>
      </c>
      <c r="K6" t="inlineStr">
        <is>
          <t>Estate_Sprint 44</t>
        </is>
      </c>
      <c r="M6" t="inlineStr">
        <is>
          <t>Seyfollahi Artin</t>
        </is>
      </c>
      <c r="Q6" s="42" t="n">
        <v>46015.66567129629</v>
      </c>
      <c r="S6" t="n">
        <v>1</v>
      </c>
      <c r="T6" s="42" t="n">
        <v>46015.66567129629</v>
      </c>
      <c r="AA6" t="n">
        <v>0</v>
      </c>
      <c r="AD6" t="n">
        <v>2</v>
      </c>
      <c r="AE6" t="n">
        <v>2</v>
      </c>
      <c r="AF6" t="n">
        <v>0</v>
      </c>
      <c r="AI6" t="n">
        <v>0</v>
      </c>
      <c r="AJ6" t="n">
        <v>0</v>
      </c>
      <c r="AN6" t="n">
        <v>0</v>
      </c>
      <c r="AO6" t="n">
        <v>0</v>
      </c>
      <c r="AP6" t="n">
        <v>0</v>
      </c>
      <c r="AQ6" t="n">
        <v>24</v>
      </c>
      <c r="AR6" t="n">
        <v>0</v>
      </c>
    </row>
    <row r="7">
      <c r="A7" t="n">
        <v>202007</v>
      </c>
      <c r="B7" t="inlineStr">
        <is>
          <t xml:space="preserve">عدم همخوانی  دیتا مدل با  جدول اصلی فرایند جلسه هیئت برای تاریخچه </t>
        </is>
      </c>
      <c r="D7" t="inlineStr">
        <is>
          <t>Medium</t>
        </is>
      </c>
      <c r="E7" t="n">
        <v>2</v>
      </c>
      <c r="F7" t="inlineStr">
        <is>
          <t>Open</t>
        </is>
      </c>
      <c r="G7" t="inlineStr">
        <is>
          <t>ANZ</t>
        </is>
      </c>
      <c r="H7" t="inlineStr">
        <is>
          <t>ANZ (تحلیل)</t>
        </is>
      </c>
      <c r="J7" t="inlineStr">
        <is>
          <t>SAJAK</t>
        </is>
      </c>
      <c r="K7" t="inlineStr">
        <is>
          <t>Sprint 35</t>
        </is>
      </c>
      <c r="M7" t="inlineStr">
        <is>
          <t>Shamsfard Ahmad</t>
        </is>
      </c>
      <c r="Q7" s="42" t="n">
        <v>46018.43659722222</v>
      </c>
      <c r="S7" t="n">
        <v>0</v>
      </c>
      <c r="T7" s="42" t="n">
        <v>46018.43659722222</v>
      </c>
      <c r="AA7" t="n">
        <v>0</v>
      </c>
      <c r="AD7" t="n">
        <v>2</v>
      </c>
      <c r="AE7" t="n">
        <v>2</v>
      </c>
      <c r="AF7" t="n">
        <v>0</v>
      </c>
      <c r="AI7" t="n">
        <v>0</v>
      </c>
      <c r="AJ7" t="n">
        <v>0</v>
      </c>
      <c r="AM7" t="n">
        <v>-1</v>
      </c>
      <c r="AN7" t="n">
        <v>0</v>
      </c>
      <c r="AO7" t="n">
        <v>0</v>
      </c>
      <c r="AP7" t="n">
        <v>0</v>
      </c>
      <c r="AQ7" t="n">
        <v>24</v>
      </c>
      <c r="AR7" t="n">
        <v>0</v>
      </c>
    </row>
    <row r="8">
      <c r="A8" t="n">
        <v>202042</v>
      </c>
      <c r="B8" t="inlineStr">
        <is>
          <t>لینک ویرایش درخواست غیر تسهیلاتی: برخی فیلدهای درخواست مصوب‌شده نمایش داده نمی‌شود/1382</t>
        </is>
      </c>
      <c r="D8" t="inlineStr">
        <is>
          <t>Medium</t>
        </is>
      </c>
      <c r="E8" t="n">
        <v>1</v>
      </c>
      <c r="F8" t="inlineStr">
        <is>
          <t>Closed</t>
        </is>
      </c>
      <c r="G8" t="inlineStr">
        <is>
          <t>FN</t>
        </is>
      </c>
      <c r="H8" t="inlineStr">
        <is>
          <t>FN (عملیاتی)</t>
        </is>
      </c>
      <c r="J8" t="inlineStr">
        <is>
          <t>Dem</t>
        </is>
      </c>
      <c r="K8" t="inlineStr">
        <is>
          <t>DemBiz</t>
        </is>
      </c>
      <c r="L8" t="inlineStr">
        <is>
          <t>Completed</t>
        </is>
      </c>
      <c r="M8" t="inlineStr">
        <is>
          <t>Moradi Mohammad</t>
        </is>
      </c>
      <c r="N8" t="inlineStr">
        <is>
          <t>Hajizadeh Elnaz</t>
        </is>
      </c>
      <c r="O8" s="42" t="n">
        <v>46014.47436342593</v>
      </c>
      <c r="Q8" s="42" t="n">
        <v>46014.47436342593</v>
      </c>
      <c r="S8" t="n">
        <v>0</v>
      </c>
      <c r="T8" s="42" t="n">
        <v>46014.47436342593</v>
      </c>
      <c r="Z8" s="42" t="n">
        <v>46014.47436342593</v>
      </c>
      <c r="AA8" t="n">
        <v>0</v>
      </c>
      <c r="AD8" t="n">
        <v>2</v>
      </c>
      <c r="AE8" t="n">
        <v>2</v>
      </c>
      <c r="AF8" t="n">
        <v>0</v>
      </c>
      <c r="AI8" t="n">
        <v>0</v>
      </c>
      <c r="AJ8" t="n">
        <v>0</v>
      </c>
      <c r="AK8" t="n">
        <v>0</v>
      </c>
      <c r="AL8" t="n">
        <v>0</v>
      </c>
      <c r="AN8" t="n">
        <v>0</v>
      </c>
      <c r="AO8" t="n">
        <v>0</v>
      </c>
      <c r="AP8" t="n">
        <v>0</v>
      </c>
      <c r="AQ8" t="n">
        <v>24</v>
      </c>
      <c r="AR8" t="n">
        <v>0</v>
      </c>
    </row>
    <row r="9">
      <c r="A9" t="n">
        <v>202493</v>
      </c>
      <c r="B9" t="inlineStr">
        <is>
          <t xml:space="preserve">  در لینک «نمایش جزئیات عقود»، وثایق در اطلاعات عقود به‌صورت ناقص نمایش داده می‌شود/1382</t>
        </is>
      </c>
      <c r="D9" t="inlineStr">
        <is>
          <t>Medium</t>
        </is>
      </c>
      <c r="E9" t="n">
        <v>2</v>
      </c>
      <c r="F9" t="inlineStr">
        <is>
          <t>Open</t>
        </is>
      </c>
      <c r="G9" t="inlineStr">
        <is>
          <t>FN</t>
        </is>
      </c>
      <c r="H9" t="inlineStr">
        <is>
          <t>FN (عملیاتی)</t>
        </is>
      </c>
      <c r="J9" t="inlineStr">
        <is>
          <t>Dem</t>
        </is>
      </c>
      <c r="K9" t="inlineStr">
        <is>
          <t>DemBiz</t>
        </is>
      </c>
      <c r="M9" t="inlineStr">
        <is>
          <t>Hajizadeh Elnaz</t>
        </is>
      </c>
      <c r="Q9" s="42" t="n">
        <v>46015.59637731482</v>
      </c>
      <c r="S9" t="n">
        <v>0</v>
      </c>
      <c r="T9" s="42" t="n">
        <v>46015.59637731482</v>
      </c>
      <c r="AA9" t="n">
        <v>0</v>
      </c>
      <c r="AD9" t="n">
        <v>2</v>
      </c>
      <c r="AE9" t="n">
        <v>2</v>
      </c>
      <c r="AF9" t="n">
        <v>0</v>
      </c>
      <c r="AI9" t="n">
        <v>0</v>
      </c>
      <c r="AJ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24</v>
      </c>
      <c r="AR9" t="n">
        <v>0</v>
      </c>
    </row>
    <row r="10">
      <c r="A10" t="n">
        <v>202512</v>
      </c>
      <c r="B10" t="inlineStr">
        <is>
          <t>کارتابل اعضای کمیته اداره کل و مدیریت شعب : هنگام ورود به کارتابل، خطا می دهد/1382</t>
        </is>
      </c>
      <c r="D10" t="inlineStr">
        <is>
          <t>Medium</t>
        </is>
      </c>
      <c r="E10" t="n">
        <v>2</v>
      </c>
      <c r="F10" t="inlineStr">
        <is>
          <t>Closed</t>
        </is>
      </c>
      <c r="G10" t="inlineStr">
        <is>
          <t>FN</t>
        </is>
      </c>
      <c r="H10" t="inlineStr">
        <is>
          <t>FN (عملیاتی)</t>
        </is>
      </c>
      <c r="J10" t="inlineStr">
        <is>
          <t>Dem</t>
        </is>
      </c>
      <c r="K10" t="inlineStr">
        <is>
          <t>DemBiz</t>
        </is>
      </c>
      <c r="L10" t="inlineStr">
        <is>
          <t>Completed</t>
        </is>
      </c>
      <c r="M10" t="inlineStr">
        <is>
          <t>Moradi Mohammad</t>
        </is>
      </c>
      <c r="N10" t="inlineStr">
        <is>
          <t>Hajizadeh Elnaz</t>
        </is>
      </c>
      <c r="O10" s="42" t="n">
        <v>46014.48784722222</v>
      </c>
      <c r="Q10" s="42" t="n">
        <v>46014.48784722222</v>
      </c>
      <c r="S10" t="n">
        <v>0</v>
      </c>
      <c r="T10" s="42" t="n">
        <v>46014.48784722222</v>
      </c>
      <c r="Z10" s="42" t="n">
        <v>46014.48784722222</v>
      </c>
      <c r="AA10" t="n">
        <v>0</v>
      </c>
      <c r="AD10" t="n">
        <v>2</v>
      </c>
      <c r="AE10" t="n">
        <v>2</v>
      </c>
      <c r="AF10" t="n">
        <v>0</v>
      </c>
      <c r="AI10" t="n">
        <v>0</v>
      </c>
      <c r="AJ10" t="n">
        <v>0</v>
      </c>
      <c r="AK10" t="n">
        <v>0</v>
      </c>
      <c r="AL10" t="n">
        <v>0</v>
      </c>
      <c r="AN10" t="n">
        <v>0</v>
      </c>
      <c r="AO10" t="n">
        <v>0</v>
      </c>
      <c r="AP10" t="n">
        <v>0</v>
      </c>
      <c r="AQ10" t="n">
        <v>24</v>
      </c>
      <c r="AR10" t="n">
        <v>0</v>
      </c>
    </row>
    <row r="11">
      <c r="A11" t="n">
        <v>202579</v>
      </c>
      <c r="B11" t="inlineStr">
        <is>
          <t>دریافت خطای امنیتی در هنگام آپلود فایل با فرمت JFIF File</t>
        </is>
      </c>
      <c r="D11" t="inlineStr">
        <is>
          <t>Medium</t>
        </is>
      </c>
      <c r="E11" t="n">
        <v>1</v>
      </c>
      <c r="F11" t="inlineStr">
        <is>
          <t>New</t>
        </is>
      </c>
      <c r="G11" t="inlineStr">
        <is>
          <t>FN</t>
        </is>
      </c>
      <c r="H11" t="inlineStr">
        <is>
          <t>FN (عملیاتی)</t>
        </is>
      </c>
      <c r="I11" t="inlineStr">
        <is>
          <t>Bizagi_Team</t>
        </is>
      </c>
      <c r="J11" t="inlineStr">
        <is>
          <t>SAJAK</t>
        </is>
      </c>
      <c r="K11" t="inlineStr">
        <is>
          <t>Estate_Sprint 45</t>
        </is>
      </c>
      <c r="M11" t="inlineStr">
        <is>
          <t>Mousavi Azadeh</t>
        </is>
      </c>
      <c r="Q11" s="42" t="n">
        <v>46013.39164351852</v>
      </c>
      <c r="S11" t="n">
        <v>0</v>
      </c>
      <c r="T11" s="42" t="n">
        <v>46013.39164351852</v>
      </c>
      <c r="AA11" t="n">
        <v>0</v>
      </c>
      <c r="AD11" t="n">
        <v>2</v>
      </c>
      <c r="AE11" t="n">
        <v>2</v>
      </c>
      <c r="AF11" t="n">
        <v>0</v>
      </c>
      <c r="AI11" t="n">
        <v>0</v>
      </c>
      <c r="AJ11" t="n">
        <v>0</v>
      </c>
      <c r="AM11" t="n">
        <v>4</v>
      </c>
      <c r="AN11" t="n">
        <v>0</v>
      </c>
      <c r="AO11" t="n">
        <v>0</v>
      </c>
      <c r="AP11" t="n">
        <v>0</v>
      </c>
      <c r="AQ11" t="n">
        <v>24</v>
      </c>
      <c r="AR11" t="n">
        <v>0</v>
      </c>
    </row>
    <row r="12">
      <c r="A12" t="n">
        <v>202588</v>
      </c>
      <c r="B12" t="inlineStr">
        <is>
          <t xml:space="preserve">دریافت خطا در هنگام آپلود فایل با فرمت اکسل در آپلود اسناد و مدارک در ثبت هیات </t>
        </is>
      </c>
      <c r="D12" t="inlineStr">
        <is>
          <t>Medium</t>
        </is>
      </c>
      <c r="E12" t="n">
        <v>1</v>
      </c>
      <c r="F12" t="inlineStr">
        <is>
          <t>New</t>
        </is>
      </c>
      <c r="G12" t="inlineStr">
        <is>
          <t>FN</t>
        </is>
      </c>
      <c r="H12" t="inlineStr">
        <is>
          <t>FN (عملیاتی)</t>
        </is>
      </c>
      <c r="I12" t="inlineStr">
        <is>
          <t>Bizagi_Team</t>
        </is>
      </c>
      <c r="J12" t="inlineStr">
        <is>
          <t>SAJAK</t>
        </is>
      </c>
      <c r="K12" t="inlineStr">
        <is>
          <t>Estate_Sprint 45</t>
        </is>
      </c>
      <c r="M12" t="inlineStr">
        <is>
          <t>Tedadi Abbas</t>
        </is>
      </c>
      <c r="Q12" s="42" t="n">
        <v>46013.39219907407</v>
      </c>
      <c r="S12" t="n">
        <v>0</v>
      </c>
      <c r="T12" s="42" t="n">
        <v>46013.39219907407</v>
      </c>
      <c r="AA12" t="n">
        <v>0</v>
      </c>
      <c r="AD12" t="n">
        <v>2</v>
      </c>
      <c r="AE12" t="n">
        <v>2</v>
      </c>
      <c r="AF12" t="n">
        <v>0</v>
      </c>
      <c r="AI12" t="n">
        <v>0</v>
      </c>
      <c r="AJ12" t="n">
        <v>0</v>
      </c>
      <c r="AM12" t="n">
        <v>4</v>
      </c>
      <c r="AN12" t="n">
        <v>0</v>
      </c>
      <c r="AO12" t="n">
        <v>0</v>
      </c>
      <c r="AP12" t="n">
        <v>0</v>
      </c>
      <c r="AQ12" t="n">
        <v>24</v>
      </c>
      <c r="AR12" t="n">
        <v>0</v>
      </c>
    </row>
    <row r="13">
      <c r="A13" t="n">
        <v>201986</v>
      </c>
      <c r="B13" t="inlineStr">
        <is>
          <t>در ثبت حد و سقف از نوع برات اسنادی، با کلیک روی «اتمام و ثبت عقود» پیام «نام ذینفع» می دهد/1382</t>
        </is>
      </c>
      <c r="D13" t="inlineStr">
        <is>
          <t>Medium</t>
        </is>
      </c>
      <c r="E13" t="n">
        <v>1</v>
      </c>
      <c r="F13" t="inlineStr">
        <is>
          <t>Closed</t>
        </is>
      </c>
      <c r="G13" t="inlineStr">
        <is>
          <t>FN</t>
        </is>
      </c>
      <c r="H13" t="inlineStr">
        <is>
          <t>FN (عملیاتی)</t>
        </is>
      </c>
      <c r="J13" t="inlineStr">
        <is>
          <t>Dem</t>
        </is>
      </c>
      <c r="K13" t="inlineStr">
        <is>
          <t>DemBiz</t>
        </is>
      </c>
      <c r="L13" t="inlineStr">
        <is>
          <t>Completed</t>
        </is>
      </c>
      <c r="M13" t="inlineStr">
        <is>
          <t>Moradi Mohammad</t>
        </is>
      </c>
      <c r="N13" t="inlineStr">
        <is>
          <t>Hajizadeh Elnaz</t>
        </is>
      </c>
      <c r="O13" s="42" t="n">
        <v>46014.48136574074</v>
      </c>
      <c r="Q13" s="42" t="n">
        <v>46014.48136574074</v>
      </c>
      <c r="S13" t="n">
        <v>0</v>
      </c>
      <c r="T13" s="42" t="n">
        <v>46014.48136574074</v>
      </c>
      <c r="Z13" s="42" t="n">
        <v>46014.48136574074</v>
      </c>
      <c r="AA13" t="n">
        <v>0</v>
      </c>
      <c r="AD13" t="n">
        <v>2</v>
      </c>
      <c r="AE13" t="n">
        <v>2</v>
      </c>
      <c r="AF13" t="n">
        <v>0</v>
      </c>
      <c r="AI13" t="n">
        <v>0</v>
      </c>
      <c r="AJ13" t="n">
        <v>0</v>
      </c>
      <c r="AK13" t="n">
        <v>0</v>
      </c>
      <c r="AL13" t="n">
        <v>0</v>
      </c>
      <c r="AN13" t="n">
        <v>0</v>
      </c>
      <c r="AO13" t="n">
        <v>0</v>
      </c>
      <c r="AP13" t="n">
        <v>0</v>
      </c>
      <c r="AQ13" t="n">
        <v>24</v>
      </c>
      <c r="AR13" t="n">
        <v>0</v>
      </c>
    </row>
    <row r="14">
      <c r="A14" t="n">
        <v>202014</v>
      </c>
      <c r="B14" t="inlineStr">
        <is>
          <t>نمایش ساعت شروع و پایان با فرمت غلط</t>
        </is>
      </c>
      <c r="D14" t="inlineStr">
        <is>
          <t>Medium</t>
        </is>
      </c>
      <c r="E14" t="n">
        <v>1</v>
      </c>
      <c r="F14" t="inlineStr">
        <is>
          <t>New</t>
        </is>
      </c>
      <c r="G14" t="inlineStr">
        <is>
          <t>FN</t>
        </is>
      </c>
      <c r="H14" t="inlineStr">
        <is>
          <t>FN (عملیاتی)</t>
        </is>
      </c>
      <c r="I14" t="inlineStr">
        <is>
          <t>Bizagi_Team</t>
        </is>
      </c>
      <c r="J14" t="inlineStr">
        <is>
          <t>SAJAK</t>
        </is>
      </c>
      <c r="K14" t="inlineStr">
        <is>
          <t>Estate_Sprint 45</t>
        </is>
      </c>
      <c r="M14" t="inlineStr">
        <is>
          <t>Tedadi Abbas</t>
        </is>
      </c>
      <c r="Q14" s="42" t="n">
        <v>46013.38748842593</v>
      </c>
      <c r="S14" t="n">
        <v>0</v>
      </c>
      <c r="T14" s="42" t="n">
        <v>46013.38748842593</v>
      </c>
      <c r="AA14" t="n">
        <v>0</v>
      </c>
      <c r="AD14" t="n">
        <v>2</v>
      </c>
      <c r="AE14" t="n">
        <v>2</v>
      </c>
      <c r="AF14" t="n">
        <v>0</v>
      </c>
      <c r="AI14" t="n">
        <v>0</v>
      </c>
      <c r="AJ14" t="n">
        <v>0</v>
      </c>
      <c r="AM14" t="n">
        <v>4</v>
      </c>
      <c r="AN14" t="n">
        <v>0</v>
      </c>
      <c r="AO14" t="n">
        <v>0</v>
      </c>
      <c r="AP14" t="n">
        <v>0</v>
      </c>
      <c r="AQ14" t="n">
        <v>24</v>
      </c>
      <c r="AR14" t="n">
        <v>0</v>
      </c>
    </row>
    <row r="15">
      <c r="A15" t="n">
        <v>202023</v>
      </c>
      <c r="B15" t="inlineStr">
        <is>
          <t xml:space="preserve">عدم جای گزاری درست فیلدها </t>
        </is>
      </c>
      <c r="D15" t="inlineStr">
        <is>
          <t>Medium</t>
        </is>
      </c>
      <c r="E15" t="n">
        <v>2</v>
      </c>
      <c r="F15" t="inlineStr">
        <is>
          <t>New</t>
        </is>
      </c>
      <c r="G15" t="inlineStr">
        <is>
          <t>FN</t>
        </is>
      </c>
      <c r="H15" t="inlineStr">
        <is>
          <t>FN (عملیاتی)</t>
        </is>
      </c>
      <c r="J15" t="inlineStr">
        <is>
          <t>SAJAK</t>
        </is>
      </c>
      <c r="K15" t="inlineStr">
        <is>
          <t>Estate_Sprint 45</t>
        </is>
      </c>
      <c r="M15" t="inlineStr">
        <is>
          <t>Tedadi Abbas</t>
        </is>
      </c>
      <c r="Q15" s="42" t="n">
        <v>46013.38859953704</v>
      </c>
      <c r="S15" t="n">
        <v>0</v>
      </c>
      <c r="T15" s="42" t="n">
        <v>46013.38859953704</v>
      </c>
      <c r="AA15" t="n">
        <v>0</v>
      </c>
      <c r="AD15" t="n">
        <v>2</v>
      </c>
      <c r="AE15" t="n">
        <v>2</v>
      </c>
      <c r="AF15" t="n">
        <v>0</v>
      </c>
      <c r="AI15" t="n">
        <v>0</v>
      </c>
      <c r="AJ15" t="n">
        <v>0</v>
      </c>
      <c r="AM15" t="n">
        <v>4</v>
      </c>
      <c r="AN15" t="n">
        <v>0</v>
      </c>
      <c r="AO15" t="n">
        <v>0</v>
      </c>
      <c r="AP15" t="n">
        <v>0</v>
      </c>
      <c r="AQ15" t="n">
        <v>24</v>
      </c>
      <c r="AR15" t="n">
        <v>0</v>
      </c>
    </row>
    <row r="16">
      <c r="A16" t="n">
        <v>202026</v>
      </c>
      <c r="B16" t="inlineStr">
        <is>
          <t xml:space="preserve">درج تاریخ جلسه هیات با فرمت غلط </t>
        </is>
      </c>
      <c r="D16" t="inlineStr">
        <is>
          <t>Medium</t>
        </is>
      </c>
      <c r="E16" t="n">
        <v>2</v>
      </c>
      <c r="F16" t="inlineStr">
        <is>
          <t>New</t>
        </is>
      </c>
      <c r="G16" t="inlineStr">
        <is>
          <t>FN</t>
        </is>
      </c>
      <c r="H16" t="inlineStr">
        <is>
          <t>FN (عملیاتی)</t>
        </is>
      </c>
      <c r="J16" t="inlineStr">
        <is>
          <t>SAJAK</t>
        </is>
      </c>
      <c r="K16" t="inlineStr">
        <is>
          <t>Estate_Sprint 45</t>
        </is>
      </c>
      <c r="M16" t="inlineStr">
        <is>
          <t>Tedadi Abbas</t>
        </is>
      </c>
      <c r="Q16" s="42" t="n">
        <v>46013.38923611111</v>
      </c>
      <c r="S16" t="n">
        <v>0</v>
      </c>
      <c r="T16" s="42" t="n">
        <v>46013.38923611111</v>
      </c>
      <c r="AA16" t="n">
        <v>0</v>
      </c>
      <c r="AD16" t="n">
        <v>2</v>
      </c>
      <c r="AE16" t="n">
        <v>2</v>
      </c>
      <c r="AF16" t="n">
        <v>0</v>
      </c>
      <c r="AI16" t="n">
        <v>0</v>
      </c>
      <c r="AJ16" t="n">
        <v>0</v>
      </c>
      <c r="AM16" t="n">
        <v>4</v>
      </c>
      <c r="AN16" t="n">
        <v>0</v>
      </c>
      <c r="AO16" t="n">
        <v>0</v>
      </c>
      <c r="AP16" t="n">
        <v>0</v>
      </c>
      <c r="AQ16" t="n">
        <v>24</v>
      </c>
      <c r="AR16" t="n">
        <v>0</v>
      </c>
    </row>
    <row r="17">
      <c r="A17" t="n">
        <v>202027</v>
      </c>
      <c r="B17" t="inlineStr">
        <is>
          <t>فرم انتخاب پیشنهاد جهت اصلاح : با تأیید درخواست مصوب‌شده، پیغام خطا در فرایند می دهد/1377</t>
        </is>
      </c>
      <c r="D17" t="inlineStr">
        <is>
          <t>Medium</t>
        </is>
      </c>
      <c r="E17" t="n">
        <v>2</v>
      </c>
      <c r="F17" t="inlineStr">
        <is>
          <t>Closed</t>
        </is>
      </c>
      <c r="G17" t="inlineStr">
        <is>
          <t>FN</t>
        </is>
      </c>
      <c r="H17" t="inlineStr">
        <is>
          <t>FN (عملیاتی)</t>
        </is>
      </c>
      <c r="J17" t="inlineStr">
        <is>
          <t>Dem</t>
        </is>
      </c>
      <c r="K17" t="inlineStr">
        <is>
          <t>DemBiz</t>
        </is>
      </c>
      <c r="L17" t="inlineStr">
        <is>
          <t>Completed</t>
        </is>
      </c>
      <c r="M17" t="inlineStr">
        <is>
          <t>Moradi Mohammad</t>
        </is>
      </c>
      <c r="N17" t="inlineStr">
        <is>
          <t>Hajizadeh Elnaz</t>
        </is>
      </c>
      <c r="O17" s="42" t="n">
        <v>46014.48385416667</v>
      </c>
      <c r="Q17" s="42" t="n">
        <v>46014.48385416667</v>
      </c>
      <c r="S17" t="n">
        <v>0</v>
      </c>
      <c r="T17" s="42" t="n">
        <v>46014.48385416667</v>
      </c>
      <c r="Z17" s="42" t="n">
        <v>46014.48385416667</v>
      </c>
      <c r="AA17" t="n">
        <v>0</v>
      </c>
      <c r="AD17" t="n">
        <v>2</v>
      </c>
      <c r="AE17" t="n">
        <v>2</v>
      </c>
      <c r="AF17" t="n">
        <v>0</v>
      </c>
      <c r="AI17" t="n">
        <v>0</v>
      </c>
      <c r="AJ17" t="n">
        <v>0</v>
      </c>
      <c r="AK17" t="n">
        <v>0</v>
      </c>
      <c r="AL17" t="n">
        <v>0</v>
      </c>
      <c r="AN17" t="n">
        <v>0</v>
      </c>
      <c r="AO17" t="n">
        <v>0</v>
      </c>
      <c r="AP17" t="n">
        <v>0</v>
      </c>
      <c r="AQ17" t="n">
        <v>24</v>
      </c>
      <c r="AR17" t="n">
        <v>0</v>
      </c>
    </row>
    <row r="18">
      <c r="A18" t="n">
        <v>202033</v>
      </c>
      <c r="B18" t="inlineStr">
        <is>
          <t xml:space="preserve">تغییر نام "افزودن جلسه مطابق جلسه مطابق جلسات قبل" به "ثبت جلسه مطابق جلسات قبل" </t>
        </is>
      </c>
      <c r="D18" t="inlineStr">
        <is>
          <t>Medium</t>
        </is>
      </c>
      <c r="E18" t="n">
        <v>2</v>
      </c>
      <c r="F18" t="inlineStr">
        <is>
          <t>New</t>
        </is>
      </c>
      <c r="G18" t="inlineStr">
        <is>
          <t>FN</t>
        </is>
      </c>
      <c r="H18" t="inlineStr">
        <is>
          <t>FN (عملیاتی)</t>
        </is>
      </c>
      <c r="I18" t="inlineStr">
        <is>
          <t>Bizagi_Team</t>
        </is>
      </c>
      <c r="J18" t="inlineStr">
        <is>
          <t>SAJAK</t>
        </is>
      </c>
      <c r="K18" t="inlineStr">
        <is>
          <t>Estate_Sprint 45</t>
        </is>
      </c>
      <c r="M18" t="inlineStr">
        <is>
          <t>Mousavi Azadeh</t>
        </is>
      </c>
      <c r="Q18" s="42" t="n">
        <v>46013.39027777778</v>
      </c>
      <c r="S18" t="n">
        <v>0</v>
      </c>
      <c r="T18" s="42" t="n">
        <v>46013.39027777778</v>
      </c>
      <c r="AA18" t="n">
        <v>0</v>
      </c>
      <c r="AD18" t="n">
        <v>2</v>
      </c>
      <c r="AE18" t="n">
        <v>2</v>
      </c>
      <c r="AF18" t="n">
        <v>0</v>
      </c>
      <c r="AI18" t="n">
        <v>0</v>
      </c>
      <c r="AJ18" t="n">
        <v>0</v>
      </c>
      <c r="AM18" t="n">
        <v>4</v>
      </c>
      <c r="AN18" t="n">
        <v>0</v>
      </c>
      <c r="AO18" t="n">
        <v>0</v>
      </c>
      <c r="AP18" t="n">
        <v>0</v>
      </c>
      <c r="AQ18" t="n">
        <v>24</v>
      </c>
      <c r="AR18" t="n">
        <v>0</v>
      </c>
    </row>
    <row r="19">
      <c r="A19" t="n">
        <v>202633</v>
      </c>
      <c r="B19" t="inlineStr">
        <is>
          <t xml:space="preserve">با تغییر سطح هیات فیلد استان ها تغییر می کند </t>
        </is>
      </c>
      <c r="D19" t="inlineStr">
        <is>
          <t>Medium</t>
        </is>
      </c>
      <c r="E19" t="n">
        <v>2</v>
      </c>
      <c r="F19" t="inlineStr">
        <is>
          <t>New</t>
        </is>
      </c>
      <c r="G19" t="inlineStr">
        <is>
          <t>FN</t>
        </is>
      </c>
      <c r="H19" t="inlineStr">
        <is>
          <t>FN (عملیاتی)</t>
        </is>
      </c>
      <c r="I19" t="inlineStr">
        <is>
          <t>Bizagi_Team</t>
        </is>
      </c>
      <c r="J19" t="inlineStr">
        <is>
          <t>SAJAK</t>
        </is>
      </c>
      <c r="K19" t="inlineStr">
        <is>
          <t>Estate_Sprint 45</t>
        </is>
      </c>
      <c r="M19" t="inlineStr">
        <is>
          <t>Tedadi Abbas</t>
        </is>
      </c>
      <c r="Q19" s="42" t="n">
        <v>46013.4584375</v>
      </c>
      <c r="S19" t="n">
        <v>0</v>
      </c>
      <c r="T19" s="42" t="n">
        <v>46013.4584375</v>
      </c>
      <c r="AA19" t="n">
        <v>0</v>
      </c>
      <c r="AD19" t="n">
        <v>2</v>
      </c>
      <c r="AE19" t="n">
        <v>2</v>
      </c>
      <c r="AF19" t="n">
        <v>0</v>
      </c>
      <c r="AI19" t="n">
        <v>0</v>
      </c>
      <c r="AJ19" t="n">
        <v>0</v>
      </c>
      <c r="AM19" t="n">
        <v>4</v>
      </c>
      <c r="AN19" t="n">
        <v>0</v>
      </c>
      <c r="AO19" t="n">
        <v>0</v>
      </c>
      <c r="AP19" t="n">
        <v>0</v>
      </c>
      <c r="AQ19" t="n">
        <v>24</v>
      </c>
      <c r="AR19" t="n">
        <v>0</v>
      </c>
    </row>
    <row r="20">
      <c r="A20" t="n">
        <v>202653</v>
      </c>
      <c r="B20" t="inlineStr">
        <is>
          <t xml:space="preserve">درج نشدن نام هیات و محل برگزاری جلسه در یک سناریوی خاص </t>
        </is>
      </c>
      <c r="D20" t="inlineStr">
        <is>
          <t>Medium</t>
        </is>
      </c>
      <c r="E20" t="n">
        <v>1</v>
      </c>
      <c r="F20" t="inlineStr">
        <is>
          <t>New</t>
        </is>
      </c>
      <c r="G20" t="inlineStr">
        <is>
          <t>FN</t>
        </is>
      </c>
      <c r="H20" t="inlineStr">
        <is>
          <t>FN (عملیاتی)</t>
        </is>
      </c>
      <c r="I20" t="inlineStr">
        <is>
          <t>Bizagi_Team</t>
        </is>
      </c>
      <c r="J20" t="inlineStr">
        <is>
          <t>SAJAK</t>
        </is>
      </c>
      <c r="K20" t="inlineStr">
        <is>
          <t>Estate_Sprint 45</t>
        </is>
      </c>
      <c r="M20" t="inlineStr">
        <is>
          <t>Mousavi Azadeh</t>
        </is>
      </c>
      <c r="Q20" s="42" t="n">
        <v>46013.45912037037</v>
      </c>
      <c r="S20" t="n">
        <v>0</v>
      </c>
      <c r="T20" s="42" t="n">
        <v>46013.45912037037</v>
      </c>
      <c r="AA20" t="n">
        <v>0</v>
      </c>
      <c r="AD20" t="n">
        <v>2</v>
      </c>
      <c r="AE20" t="n">
        <v>2</v>
      </c>
      <c r="AF20" t="n">
        <v>0</v>
      </c>
      <c r="AI20" t="n">
        <v>0</v>
      </c>
      <c r="AJ20" t="n">
        <v>0</v>
      </c>
      <c r="AM20" t="n">
        <v>4</v>
      </c>
      <c r="AN20" t="n">
        <v>0</v>
      </c>
      <c r="AO20" t="n">
        <v>0</v>
      </c>
      <c r="AP20" t="n">
        <v>0</v>
      </c>
      <c r="AQ20" t="n">
        <v>24</v>
      </c>
      <c r="AR20" t="n">
        <v>0</v>
      </c>
    </row>
    <row r="21">
      <c r="A21" t="n">
        <v>202112</v>
      </c>
      <c r="B21" t="inlineStr">
        <is>
          <t>در فیلد رهگیری مرتبط  ، رهگیری های درخواست مصوب شده غیر تسهیلاتی نمایش می دهد/1382</t>
        </is>
      </c>
      <c r="D21" t="inlineStr">
        <is>
          <t>Medium</t>
        </is>
      </c>
      <c r="E21" t="n">
        <v>2</v>
      </c>
      <c r="F21" t="inlineStr">
        <is>
          <t>Active</t>
        </is>
      </c>
      <c r="G21" t="inlineStr">
        <is>
          <t>FN</t>
        </is>
      </c>
      <c r="H21" t="inlineStr">
        <is>
          <t>FN (عملیاتی)</t>
        </is>
      </c>
      <c r="J21" t="inlineStr">
        <is>
          <t>Dem</t>
        </is>
      </c>
      <c r="K21" t="inlineStr">
        <is>
          <t>DemBiz</t>
        </is>
      </c>
      <c r="M21" t="inlineStr">
        <is>
          <t>Moradi Mohammad</t>
        </is>
      </c>
      <c r="Q21" s="42" t="n">
        <v>46014.39009259259</v>
      </c>
      <c r="S21" t="n">
        <v>0</v>
      </c>
      <c r="T21" s="42" t="n">
        <v>46014.39009259259</v>
      </c>
      <c r="AA21" t="n">
        <v>0</v>
      </c>
      <c r="AD21" t="n">
        <v>2</v>
      </c>
      <c r="AE21" t="n">
        <v>2</v>
      </c>
      <c r="AF21" t="n">
        <v>0</v>
      </c>
      <c r="AI21" t="n">
        <v>0</v>
      </c>
      <c r="AJ21" t="n">
        <v>0</v>
      </c>
      <c r="AM21" t="n">
        <v>3</v>
      </c>
      <c r="AN21" t="n">
        <v>0</v>
      </c>
      <c r="AO21" t="n">
        <v>0</v>
      </c>
      <c r="AP21" t="n">
        <v>0</v>
      </c>
      <c r="AQ21" t="n">
        <v>24</v>
      </c>
      <c r="AR21" t="n">
        <v>0</v>
      </c>
    </row>
    <row r="22">
      <c r="A22" t="n">
        <v>202695</v>
      </c>
      <c r="B22" t="inlineStr">
        <is>
          <t>خطا 500 ویرایش باجه &gt; ارسال به کارتابل/NFWPB</t>
        </is>
      </c>
      <c r="D22" t="inlineStr">
        <is>
          <t>Medium</t>
        </is>
      </c>
      <c r="E22" t="n">
        <v>1</v>
      </c>
      <c r="F22" t="inlineStr">
        <is>
          <t>Active</t>
        </is>
      </c>
      <c r="G22" t="inlineStr">
        <is>
          <t>FN</t>
        </is>
      </c>
      <c r="H22" t="inlineStr">
        <is>
          <t>FN (عملیاتی)</t>
        </is>
      </c>
      <c r="J22" t="inlineStr">
        <is>
          <t>Infrastructure Bizagi Extension</t>
        </is>
      </c>
      <c r="K22" t="inlineStr">
        <is>
          <t>Athena_Sprint 89</t>
        </is>
      </c>
      <c r="M22" t="inlineStr">
        <is>
          <t>Rezaee Reza</t>
        </is>
      </c>
      <c r="Q22" s="42" t="n">
        <v>46014.6296875</v>
      </c>
      <c r="S22" t="n">
        <v>0</v>
      </c>
      <c r="T22" s="42" t="n">
        <v>46014.6296875</v>
      </c>
      <c r="AA22" t="n">
        <v>0</v>
      </c>
      <c r="AD22" t="n">
        <v>2</v>
      </c>
      <c r="AE22" t="n">
        <v>2</v>
      </c>
      <c r="AF22" t="n">
        <v>0</v>
      </c>
      <c r="AI22" t="n">
        <v>0</v>
      </c>
      <c r="AJ22" t="n">
        <v>0</v>
      </c>
      <c r="AM22" t="n">
        <v>3</v>
      </c>
      <c r="AN22" t="n">
        <v>0</v>
      </c>
      <c r="AO22" t="n">
        <v>0</v>
      </c>
      <c r="AP22" t="n">
        <v>0</v>
      </c>
      <c r="AQ22" t="n">
        <v>24</v>
      </c>
      <c r="AR22" t="n">
        <v>0</v>
      </c>
    </row>
    <row r="23">
      <c r="A23" t="n">
        <v>203245</v>
      </c>
      <c r="B23" t="inlineStr">
        <is>
          <t>باگ خطای ظاهری در نمایش اجباری بودن فیلد ها در ثبت درخواست خرده رفاهی/ مرابحه</t>
        </is>
      </c>
      <c r="D23" t="inlineStr">
        <is>
          <t>Medium</t>
        </is>
      </c>
      <c r="E23" t="n">
        <v>4</v>
      </c>
      <c r="F23" t="inlineStr">
        <is>
          <t>Active</t>
        </is>
      </c>
      <c r="G23" t="inlineStr">
        <is>
          <t>FN</t>
        </is>
      </c>
      <c r="H23" t="inlineStr">
        <is>
          <t>FN (عملیاتی)</t>
        </is>
      </c>
      <c r="J23" t="inlineStr">
        <is>
          <t>Dem</t>
        </is>
      </c>
      <c r="K23" t="inlineStr">
        <is>
          <t>DemBiz</t>
        </is>
      </c>
      <c r="M23" t="inlineStr">
        <is>
          <t>Moradi Mohammad</t>
        </is>
      </c>
      <c r="Q23" s="42" t="n">
        <v>46018.39821759259</v>
      </c>
      <c r="S23" t="n">
        <v>0</v>
      </c>
      <c r="T23" s="42" t="n">
        <v>46018.39821759259</v>
      </c>
      <c r="AA23" t="n">
        <v>0</v>
      </c>
      <c r="AD23" t="n">
        <v>2</v>
      </c>
      <c r="AE23" t="n">
        <v>2</v>
      </c>
      <c r="AF23" t="n">
        <v>0</v>
      </c>
      <c r="AI23" t="n">
        <v>0</v>
      </c>
      <c r="AJ23" t="n">
        <v>0</v>
      </c>
      <c r="AM23" t="n">
        <v>-1</v>
      </c>
      <c r="AN23" t="n">
        <v>0</v>
      </c>
      <c r="AO23" t="n">
        <v>0</v>
      </c>
      <c r="AP23" t="n">
        <v>0</v>
      </c>
      <c r="AQ23" t="n">
        <v>24</v>
      </c>
      <c r="AR23" t="n">
        <v>0</v>
      </c>
    </row>
    <row r="24">
      <c r="A24" t="n">
        <v>202005</v>
      </c>
      <c r="B24" t="inlineStr">
        <is>
          <t>پنل خلاصه پرونده مشتری، فرم تکمیل اطلاعات، داده‌های تکراری نمایش داده می‌شود/1382</t>
        </is>
      </c>
      <c r="D24" t="inlineStr">
        <is>
          <t>Medium</t>
        </is>
      </c>
      <c r="E24" t="n">
        <v>2</v>
      </c>
      <c r="F24" t="inlineStr">
        <is>
          <t>Closed</t>
        </is>
      </c>
      <c r="G24" t="inlineStr">
        <is>
          <t>FN</t>
        </is>
      </c>
      <c r="H24" t="inlineStr">
        <is>
          <t>FN (عملیاتی)</t>
        </is>
      </c>
      <c r="J24" t="inlineStr">
        <is>
          <t>Dem</t>
        </is>
      </c>
      <c r="K24" t="inlineStr">
        <is>
          <t>DemBiz</t>
        </is>
      </c>
      <c r="L24" t="inlineStr">
        <is>
          <t>Completed</t>
        </is>
      </c>
      <c r="M24" t="inlineStr">
        <is>
          <t>Moradi Mohammad</t>
        </is>
      </c>
      <c r="N24" t="inlineStr">
        <is>
          <t>Hajizadeh Elnaz</t>
        </is>
      </c>
      <c r="O24" s="42" t="n">
        <v>46014.48165509259</v>
      </c>
      <c r="Q24" s="42" t="n">
        <v>46014.48165509259</v>
      </c>
      <c r="S24" t="n">
        <v>0</v>
      </c>
      <c r="T24" s="42" t="n">
        <v>46014.48165509259</v>
      </c>
      <c r="Z24" s="42" t="n">
        <v>46014.48165509259</v>
      </c>
      <c r="AA24" t="n">
        <v>0</v>
      </c>
      <c r="AD24" t="n">
        <v>2</v>
      </c>
      <c r="AE24" t="n">
        <v>2</v>
      </c>
      <c r="AF24" t="n">
        <v>0</v>
      </c>
      <c r="AI24" t="n">
        <v>0</v>
      </c>
      <c r="AJ24" t="n">
        <v>0</v>
      </c>
      <c r="AK24" t="n">
        <v>0</v>
      </c>
      <c r="AL24" t="n">
        <v>0</v>
      </c>
      <c r="AN24" t="n">
        <v>0</v>
      </c>
      <c r="AO24" t="n">
        <v>0</v>
      </c>
      <c r="AP24" t="n">
        <v>0</v>
      </c>
      <c r="AQ24" t="n">
        <v>24</v>
      </c>
      <c r="AR24" t="n">
        <v>0</v>
      </c>
    </row>
    <row r="25">
      <c r="A25" t="n">
        <v>200518</v>
      </c>
      <c r="B25" t="inlineStr">
        <is>
          <t>AE_SAJA\\ نمایش خطا به تعداد رکورد ها در پی نوشت</t>
        </is>
      </c>
      <c r="D25" t="inlineStr">
        <is>
          <t>Medium</t>
        </is>
      </c>
      <c r="E25" t="n">
        <v>3</v>
      </c>
      <c r="F25" t="inlineStr">
        <is>
          <t>Active</t>
        </is>
      </c>
      <c r="G25" t="inlineStr">
        <is>
          <t>FN</t>
        </is>
      </c>
      <c r="H25" t="inlineStr">
        <is>
          <t>FN (عملیاتی)</t>
        </is>
      </c>
      <c r="J25" t="inlineStr">
        <is>
          <t>Infrastructure Bizagi Extension</t>
        </is>
      </c>
      <c r="K25" t="inlineStr">
        <is>
          <t>Athena_Sprint 89</t>
        </is>
      </c>
      <c r="M25" t="inlineStr">
        <is>
          <t>Taleb Amirreza</t>
        </is>
      </c>
      <c r="Q25" s="42" t="n">
        <v>46014.61</v>
      </c>
      <c r="S25" t="n">
        <v>0</v>
      </c>
      <c r="T25" s="42" t="n">
        <v>46014.61</v>
      </c>
      <c r="AA25" t="n">
        <v>0</v>
      </c>
      <c r="AD25" t="n">
        <v>2</v>
      </c>
      <c r="AE25" t="n">
        <v>2</v>
      </c>
      <c r="AF25" t="n">
        <v>0</v>
      </c>
      <c r="AI25" t="n">
        <v>0</v>
      </c>
      <c r="AJ25" t="n">
        <v>0</v>
      </c>
      <c r="AM25" t="n">
        <v>3</v>
      </c>
      <c r="AN25" t="n">
        <v>0</v>
      </c>
      <c r="AO25" t="n">
        <v>0</v>
      </c>
      <c r="AP25" t="n">
        <v>0</v>
      </c>
      <c r="AQ25" t="n">
        <v>24</v>
      </c>
      <c r="AR25" t="n">
        <v>0</v>
      </c>
    </row>
    <row r="26">
      <c r="A26" t="n">
        <v>200827</v>
      </c>
      <c r="B26" t="inlineStr">
        <is>
          <t>AE_SAJA\\نمایش دو خطا سمت زیرساخت</t>
        </is>
      </c>
      <c r="D26" t="inlineStr">
        <is>
          <t>Medium</t>
        </is>
      </c>
      <c r="E26" t="n">
        <v>2</v>
      </c>
      <c r="F26" t="inlineStr">
        <is>
          <t>Active</t>
        </is>
      </c>
      <c r="G26" t="inlineStr">
        <is>
          <t>FN</t>
        </is>
      </c>
      <c r="H26" t="inlineStr">
        <is>
          <t>FN (عملیاتی)</t>
        </is>
      </c>
      <c r="J26" t="inlineStr">
        <is>
          <t>Infrastructure Bizagi Extension</t>
        </is>
      </c>
      <c r="K26" t="inlineStr">
        <is>
          <t>Athena_Sprint 89</t>
        </is>
      </c>
      <c r="M26" t="inlineStr">
        <is>
          <t>Nemati Hasan</t>
        </is>
      </c>
      <c r="Q26" s="42" t="n">
        <v>46015.47622685185</v>
      </c>
      <c r="S26" t="n">
        <v>0</v>
      </c>
      <c r="T26" s="42" t="n">
        <v>46015.47622685185</v>
      </c>
      <c r="AA26" t="n">
        <v>0</v>
      </c>
      <c r="AD26" t="n">
        <v>2</v>
      </c>
      <c r="AE26" t="n">
        <v>2</v>
      </c>
      <c r="AF26" t="n">
        <v>0</v>
      </c>
      <c r="AI26" t="n">
        <v>0</v>
      </c>
      <c r="AJ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24</v>
      </c>
      <c r="AR26" t="n">
        <v>0</v>
      </c>
    </row>
    <row r="27">
      <c r="A27" t="n">
        <v>200863</v>
      </c>
      <c r="B27" t="inlineStr">
        <is>
          <t>عدم مشاهده درخواست ارسالی با سرویس شماره 3 و 5 در کارتابل</t>
        </is>
      </c>
      <c r="D27" t="inlineStr">
        <is>
          <t>Medium</t>
        </is>
      </c>
      <c r="E27" t="n">
        <v>1</v>
      </c>
      <c r="F27" t="inlineStr">
        <is>
          <t>Open</t>
        </is>
      </c>
      <c r="G27" t="inlineStr">
        <is>
          <t>FN</t>
        </is>
      </c>
      <c r="H27" t="inlineStr">
        <is>
          <t>FN (عملیاتی)</t>
        </is>
      </c>
      <c r="J27" t="inlineStr">
        <is>
          <t>SAJAK</t>
        </is>
      </c>
      <c r="K27" t="inlineStr">
        <is>
          <t>Estate_Sprint 45</t>
        </is>
      </c>
      <c r="M27" t="inlineStr">
        <is>
          <t>Tedadi Abbas</t>
        </is>
      </c>
      <c r="Q27" s="42" t="n">
        <v>46018.40861111111</v>
      </c>
      <c r="S27" t="n">
        <v>0</v>
      </c>
      <c r="T27" s="42" t="n">
        <v>46018.40861111111</v>
      </c>
      <c r="AA27" t="n">
        <v>0</v>
      </c>
      <c r="AD27" t="n">
        <v>2</v>
      </c>
      <c r="AE27" t="n">
        <v>2</v>
      </c>
      <c r="AF27" t="n">
        <v>0</v>
      </c>
      <c r="AI27" t="n">
        <v>0</v>
      </c>
      <c r="AJ27" t="n">
        <v>0</v>
      </c>
      <c r="AM27" t="n">
        <v>-1</v>
      </c>
      <c r="AN27" t="n">
        <v>0</v>
      </c>
      <c r="AO27" t="n">
        <v>0</v>
      </c>
      <c r="AP27" t="n">
        <v>0</v>
      </c>
      <c r="AQ27" t="n">
        <v>24</v>
      </c>
      <c r="AR27" t="n">
        <v>0</v>
      </c>
    </row>
    <row r="28">
      <c r="A28" t="n">
        <v>200883</v>
      </c>
      <c r="B28" t="inlineStr">
        <is>
          <t>AE_SAJA\\خطا هنگام اد هرگونه فایلی در ثب اسناد و مدارک</t>
        </is>
      </c>
      <c r="D28" t="inlineStr">
        <is>
          <t>Medium</t>
        </is>
      </c>
      <c r="E28" t="n">
        <v>2</v>
      </c>
      <c r="F28" t="inlineStr">
        <is>
          <t>Active</t>
        </is>
      </c>
      <c r="G28" t="inlineStr">
        <is>
          <t>FN</t>
        </is>
      </c>
      <c r="H28" t="inlineStr">
        <is>
          <t>FN (عملیاتی)</t>
        </is>
      </c>
      <c r="J28" t="inlineStr">
        <is>
          <t>Infrastructure Bizagi Extension</t>
        </is>
      </c>
      <c r="K28" t="inlineStr">
        <is>
          <t>Athena_Sprint 89</t>
        </is>
      </c>
      <c r="M28" t="inlineStr">
        <is>
          <t>Nemati Hasan</t>
        </is>
      </c>
      <c r="Q28" s="42" t="n">
        <v>46015.50554398148</v>
      </c>
      <c r="S28" t="n">
        <v>0</v>
      </c>
      <c r="T28" s="42" t="n">
        <v>46015.50554398148</v>
      </c>
      <c r="AA28" t="n">
        <v>0</v>
      </c>
      <c r="AD28" t="n">
        <v>2</v>
      </c>
      <c r="AE28" t="n">
        <v>2</v>
      </c>
      <c r="AF28" t="n">
        <v>0</v>
      </c>
      <c r="AI28" t="n">
        <v>0</v>
      </c>
      <c r="AJ28" t="n">
        <v>0</v>
      </c>
      <c r="AM28" t="n">
        <v>2</v>
      </c>
      <c r="AN28" t="n">
        <v>0</v>
      </c>
      <c r="AO28" t="n">
        <v>0</v>
      </c>
      <c r="AP28" t="n">
        <v>0</v>
      </c>
      <c r="AQ28" t="n">
        <v>24</v>
      </c>
      <c r="AR28" t="n">
        <v>0</v>
      </c>
    </row>
    <row r="29">
      <c r="A29" t="n">
        <v>200892</v>
      </c>
      <c r="B29" t="inlineStr">
        <is>
          <t xml:space="preserve">AE_SAJA\\خالی نمایش دادن دیتا های پر </t>
        </is>
      </c>
      <c r="D29" t="inlineStr">
        <is>
          <t>Medium</t>
        </is>
      </c>
      <c r="E29" t="n">
        <v>2</v>
      </c>
      <c r="F29" t="inlineStr">
        <is>
          <t>Active</t>
        </is>
      </c>
      <c r="G29" t="inlineStr">
        <is>
          <t>FN</t>
        </is>
      </c>
      <c r="H29" t="inlineStr">
        <is>
          <t>FN (عملیاتی)</t>
        </is>
      </c>
      <c r="J29" t="inlineStr">
        <is>
          <t>Infrastructure Bizagi Extension</t>
        </is>
      </c>
      <c r="K29" t="inlineStr">
        <is>
          <t>Athena_Sprint 89</t>
        </is>
      </c>
      <c r="M29" t="inlineStr">
        <is>
          <t>Faraji Reza</t>
        </is>
      </c>
      <c r="Q29" s="42" t="n">
        <v>46014.60663194444</v>
      </c>
      <c r="S29" t="n">
        <v>0</v>
      </c>
      <c r="T29" s="42" t="n">
        <v>46014.60663194444</v>
      </c>
      <c r="AA29" t="n">
        <v>0</v>
      </c>
      <c r="AD29" t="n">
        <v>2</v>
      </c>
      <c r="AE29" t="n">
        <v>2</v>
      </c>
      <c r="AF29" t="n">
        <v>0</v>
      </c>
      <c r="AI29" t="n">
        <v>0</v>
      </c>
      <c r="AJ29" t="n">
        <v>0</v>
      </c>
      <c r="AM29" t="n">
        <v>3</v>
      </c>
      <c r="AN29" t="n">
        <v>0</v>
      </c>
      <c r="AO29" t="n">
        <v>0</v>
      </c>
      <c r="AP29" t="n">
        <v>0</v>
      </c>
      <c r="AQ29" t="n">
        <v>24</v>
      </c>
      <c r="AR29" t="n">
        <v>0</v>
      </c>
    </row>
    <row r="30">
      <c r="A30" t="n">
        <v>201871</v>
      </c>
      <c r="B30" t="inlineStr">
        <is>
          <t>اتچ فایل اسناد در لینک اسناد در فرم تکمیل اطلاعات در کارتابل کارشناس ،  پیغام  دیتای  نداشته را می دهد/1382</t>
        </is>
      </c>
      <c r="D30" t="inlineStr">
        <is>
          <t>Medium</t>
        </is>
      </c>
      <c r="E30" t="n">
        <v>2</v>
      </c>
      <c r="F30" t="inlineStr">
        <is>
          <t>Active</t>
        </is>
      </c>
      <c r="G30" t="inlineStr">
        <is>
          <t>FN</t>
        </is>
      </c>
      <c r="H30" t="inlineStr">
        <is>
          <t>FN (عملیاتی)</t>
        </is>
      </c>
      <c r="J30" t="inlineStr">
        <is>
          <t>Dem</t>
        </is>
      </c>
      <c r="K30" t="inlineStr">
        <is>
          <t>DemBiz</t>
        </is>
      </c>
      <c r="M30" t="inlineStr">
        <is>
          <t>Hoseini Fatemeh</t>
        </is>
      </c>
      <c r="Q30" s="42" t="n">
        <v>46014.50871527778</v>
      </c>
      <c r="S30" t="n">
        <v>0</v>
      </c>
      <c r="T30" s="42" t="n">
        <v>46014.50871527778</v>
      </c>
      <c r="AA30" t="n">
        <v>0</v>
      </c>
      <c r="AD30" t="n">
        <v>2</v>
      </c>
      <c r="AE30" t="n">
        <v>2</v>
      </c>
      <c r="AF30" t="n">
        <v>0</v>
      </c>
      <c r="AI30" t="n">
        <v>0</v>
      </c>
      <c r="AJ30" t="n">
        <v>0</v>
      </c>
      <c r="AM30" t="n">
        <v>3</v>
      </c>
      <c r="AN30" t="n">
        <v>0</v>
      </c>
      <c r="AO30" t="n">
        <v>0</v>
      </c>
      <c r="AP30" t="n">
        <v>0</v>
      </c>
      <c r="AQ30" t="n">
        <v>24</v>
      </c>
      <c r="AR30" t="n">
        <v>0</v>
      </c>
    </row>
    <row r="31">
      <c r="A31" t="n">
        <v>201921</v>
      </c>
      <c r="B31" t="inlineStr">
        <is>
          <t xml:space="preserve">با تغییر ثبت رای یا تصمیم فیلدها تغییر نمی کنند </t>
        </is>
      </c>
      <c r="D31" t="inlineStr">
        <is>
          <t>Medium</t>
        </is>
      </c>
      <c r="E31" t="n">
        <v>1</v>
      </c>
      <c r="F31" t="inlineStr">
        <is>
          <t>New</t>
        </is>
      </c>
      <c r="G31" t="inlineStr">
        <is>
          <t>FN</t>
        </is>
      </c>
      <c r="H31" t="inlineStr">
        <is>
          <t>FN (عملیاتی)</t>
        </is>
      </c>
      <c r="I31" t="inlineStr">
        <is>
          <t>Bizagi_Team</t>
        </is>
      </c>
      <c r="J31" t="inlineStr">
        <is>
          <t>SAJAK</t>
        </is>
      </c>
      <c r="K31" t="inlineStr">
        <is>
          <t>Bizagi_Sprint 40</t>
        </is>
      </c>
      <c r="M31" t="inlineStr">
        <is>
          <t>Mousavi Azadeh</t>
        </is>
      </c>
      <c r="Q31" s="42" t="n">
        <v>46013.39108796296</v>
      </c>
      <c r="S31" t="n">
        <v>0</v>
      </c>
      <c r="T31" s="42" t="n">
        <v>46013.39108796296</v>
      </c>
      <c r="AA31" t="n">
        <v>0</v>
      </c>
      <c r="AD31" t="n">
        <v>2</v>
      </c>
      <c r="AE31" t="n">
        <v>2</v>
      </c>
      <c r="AF31" t="n">
        <v>0</v>
      </c>
      <c r="AI31" t="n">
        <v>0</v>
      </c>
      <c r="AJ31" t="n">
        <v>0</v>
      </c>
      <c r="AM31" t="n">
        <v>4</v>
      </c>
      <c r="AN31" t="n">
        <v>0</v>
      </c>
      <c r="AO31" t="n">
        <v>0</v>
      </c>
      <c r="AP31" t="n">
        <v>0</v>
      </c>
      <c r="AQ31" t="n">
        <v>24</v>
      </c>
      <c r="AR31" t="n">
        <v>0</v>
      </c>
    </row>
    <row r="32">
      <c r="A32" t="n">
        <v>201835</v>
      </c>
      <c r="B32" t="inlineStr">
        <is>
          <t xml:space="preserve">سفید شدن صفحه و مواجهه با خطا در حین افزودن مدعوین پرونده </t>
        </is>
      </c>
      <c r="D32" t="inlineStr">
        <is>
          <t>Medium</t>
        </is>
      </c>
      <c r="E32" t="n">
        <v>1</v>
      </c>
      <c r="F32" t="inlineStr">
        <is>
          <t>New</t>
        </is>
      </c>
      <c r="G32" t="inlineStr">
        <is>
          <t>FN</t>
        </is>
      </c>
      <c r="H32" t="inlineStr">
        <is>
          <t>FN (عملیاتی)</t>
        </is>
      </c>
      <c r="I32" t="inlineStr">
        <is>
          <t>Bizagi_Team</t>
        </is>
      </c>
      <c r="J32" t="inlineStr">
        <is>
          <t>SAJAK</t>
        </is>
      </c>
      <c r="K32" t="inlineStr">
        <is>
          <t>Bizagi_Sprint 40</t>
        </is>
      </c>
      <c r="M32" t="inlineStr">
        <is>
          <t>Tedadi Abbas</t>
        </is>
      </c>
      <c r="Q32" s="42" t="n">
        <v>46012.37015046296</v>
      </c>
      <c r="S32" t="n">
        <v>0</v>
      </c>
      <c r="T32" s="42" t="n">
        <v>46012.37015046296</v>
      </c>
      <c r="AA32" t="n">
        <v>0</v>
      </c>
      <c r="AD32" t="n">
        <v>2</v>
      </c>
      <c r="AE32" t="n">
        <v>2</v>
      </c>
      <c r="AF32" t="n">
        <v>0</v>
      </c>
      <c r="AI32" t="n">
        <v>0</v>
      </c>
      <c r="AJ32" t="n">
        <v>0</v>
      </c>
      <c r="AM32" t="n">
        <v>6</v>
      </c>
      <c r="AN32" t="n">
        <v>0</v>
      </c>
      <c r="AO32" t="n">
        <v>0</v>
      </c>
      <c r="AP32" t="n">
        <v>0</v>
      </c>
      <c r="AQ32" t="n">
        <v>24</v>
      </c>
      <c r="AR32" t="n">
        <v>0</v>
      </c>
    </row>
    <row r="33">
      <c r="A33" t="n">
        <v>201855</v>
      </c>
      <c r="B33" t="inlineStr">
        <is>
          <t xml:space="preserve">مواجهه با خطا هنگامی که در فیلد کد ملی کاراکتر متنی وارد شود </t>
        </is>
      </c>
      <c r="D33" t="inlineStr">
        <is>
          <t>Medium</t>
        </is>
      </c>
      <c r="E33" t="n">
        <v>1</v>
      </c>
      <c r="F33" t="inlineStr">
        <is>
          <t>New</t>
        </is>
      </c>
      <c r="G33" t="inlineStr">
        <is>
          <t>FN</t>
        </is>
      </c>
      <c r="H33" t="inlineStr">
        <is>
          <t>FN (عملیاتی)</t>
        </is>
      </c>
      <c r="I33" t="inlineStr">
        <is>
          <t>Bizagi_Team</t>
        </is>
      </c>
      <c r="J33" t="inlineStr">
        <is>
          <t>SAJAK</t>
        </is>
      </c>
      <c r="K33" t="inlineStr">
        <is>
          <t>Estate_Sprint 45</t>
        </is>
      </c>
      <c r="M33" t="inlineStr">
        <is>
          <t>Tedadi Abbas</t>
        </is>
      </c>
      <c r="Q33" s="42" t="n">
        <v>46013.58890046296</v>
      </c>
      <c r="S33" t="n">
        <v>0</v>
      </c>
      <c r="T33" s="42" t="n">
        <v>46013.58890046296</v>
      </c>
      <c r="AA33" t="n">
        <v>0</v>
      </c>
      <c r="AD33" t="n">
        <v>2</v>
      </c>
      <c r="AE33" t="n">
        <v>2</v>
      </c>
      <c r="AF33" t="n">
        <v>0</v>
      </c>
      <c r="AI33" t="n">
        <v>0</v>
      </c>
      <c r="AJ33" t="n">
        <v>0</v>
      </c>
      <c r="AM33" t="n">
        <v>4</v>
      </c>
      <c r="AN33" t="n">
        <v>0</v>
      </c>
      <c r="AO33" t="n">
        <v>0</v>
      </c>
      <c r="AP33" t="n">
        <v>0</v>
      </c>
      <c r="AQ33" t="n">
        <v>24</v>
      </c>
      <c r="AR33" t="n">
        <v>0</v>
      </c>
    </row>
    <row r="34">
      <c r="A34" t="n">
        <v>199450</v>
      </c>
      <c r="B34" t="inlineStr">
        <is>
          <t>مقداردهی خودکار و نادرست کمبوی شعبه ادغام‌شده در فرآیند ایجاد ساختار سازمانی جدید/NFWPB</t>
        </is>
      </c>
      <c r="D34" t="inlineStr">
        <is>
          <t>Medium</t>
        </is>
      </c>
      <c r="E34" t="n">
        <v>2</v>
      </c>
      <c r="F34" t="inlineStr">
        <is>
          <t>Active</t>
        </is>
      </c>
      <c r="G34" t="inlineStr">
        <is>
          <t>FN</t>
        </is>
      </c>
      <c r="H34" t="inlineStr">
        <is>
          <t>FN (عملیاتی)</t>
        </is>
      </c>
      <c r="J34" t="inlineStr">
        <is>
          <t>Infrastructure Bizagi Extension</t>
        </is>
      </c>
      <c r="K34" t="inlineStr">
        <is>
          <t>Athena_Sprint 89</t>
        </is>
      </c>
      <c r="M34" t="inlineStr">
        <is>
          <t>Taleb Amirreza</t>
        </is>
      </c>
      <c r="Q34" s="42" t="n">
        <v>46014.63303240741</v>
      </c>
      <c r="S34" t="n">
        <v>0</v>
      </c>
      <c r="T34" s="42" t="n">
        <v>46014.63303240741</v>
      </c>
      <c r="AA34" t="n">
        <v>0</v>
      </c>
      <c r="AD34" t="n">
        <v>2</v>
      </c>
      <c r="AE34" t="n">
        <v>2</v>
      </c>
      <c r="AF34" t="n">
        <v>0</v>
      </c>
      <c r="AI34" t="n">
        <v>0</v>
      </c>
      <c r="AJ34" t="n">
        <v>0</v>
      </c>
      <c r="AM34" t="n">
        <v>3</v>
      </c>
      <c r="AN34" t="n">
        <v>0</v>
      </c>
      <c r="AO34" t="n">
        <v>0</v>
      </c>
      <c r="AP34" t="n">
        <v>0</v>
      </c>
      <c r="AQ34" t="n">
        <v>24</v>
      </c>
      <c r="AR34" t="n">
        <v>0</v>
      </c>
    </row>
    <row r="35">
      <c r="A35" t="n">
        <v>199087</v>
      </c>
      <c r="B35" t="inlineStr">
        <is>
          <t>عدم به روز رسانی لیست کمبو اشخاص یا کاربر موجود در سامانه بعد از ثبت فرد جدید/NFWPB</t>
        </is>
      </c>
      <c r="D35" t="inlineStr">
        <is>
          <t>Medium</t>
        </is>
      </c>
      <c r="E35" t="n">
        <v>2</v>
      </c>
      <c r="F35" t="inlineStr">
        <is>
          <t>Active</t>
        </is>
      </c>
      <c r="G35" t="inlineStr">
        <is>
          <t>FN</t>
        </is>
      </c>
      <c r="H35" t="inlineStr">
        <is>
          <t>FN (عملیاتی)</t>
        </is>
      </c>
      <c r="J35" t="inlineStr">
        <is>
          <t>Infrastructure Bizagi Extension</t>
        </is>
      </c>
      <c r="K35" t="inlineStr">
        <is>
          <t>Athena_Sprint 89</t>
        </is>
      </c>
      <c r="M35" t="inlineStr">
        <is>
          <t>Taleb Amirreza</t>
        </is>
      </c>
      <c r="Q35" s="42" t="n">
        <v>46014.6275</v>
      </c>
      <c r="S35" t="n">
        <v>0</v>
      </c>
      <c r="T35" s="42" t="n">
        <v>46014.6275</v>
      </c>
      <c r="AA35" t="n">
        <v>0</v>
      </c>
      <c r="AD35" t="n">
        <v>2</v>
      </c>
      <c r="AE35" t="n">
        <v>2</v>
      </c>
      <c r="AF35" t="n">
        <v>0</v>
      </c>
      <c r="AI35" t="n">
        <v>0</v>
      </c>
      <c r="AJ35" t="n">
        <v>0</v>
      </c>
      <c r="AM35" t="n">
        <v>3</v>
      </c>
      <c r="AN35" t="n">
        <v>0</v>
      </c>
      <c r="AO35" t="n">
        <v>0</v>
      </c>
      <c r="AP35" t="n">
        <v>0</v>
      </c>
      <c r="AQ35" t="n">
        <v>24</v>
      </c>
      <c r="AR35" t="n">
        <v>0</v>
      </c>
    </row>
    <row r="36">
      <c r="A36" t="n">
        <v>199569</v>
      </c>
      <c r="B36" t="inlineStr">
        <is>
          <t>AE_SAJA\\عدم همخوانی بیزینس پیاده شده از سمت بیزاجی و زیرساخت</t>
        </is>
      </c>
      <c r="D36" t="inlineStr">
        <is>
          <t>Medium</t>
        </is>
      </c>
      <c r="E36" t="n">
        <v>2</v>
      </c>
      <c r="F36" t="inlineStr">
        <is>
          <t>Active</t>
        </is>
      </c>
      <c r="G36" t="inlineStr">
        <is>
          <t>FN</t>
        </is>
      </c>
      <c r="H36" t="inlineStr">
        <is>
          <t>FN (عملیاتی)</t>
        </is>
      </c>
      <c r="J36" t="inlineStr">
        <is>
          <t>Infrastructure Bizagi Extension</t>
        </is>
      </c>
      <c r="K36" t="inlineStr">
        <is>
          <t>Athena_Sprint 89</t>
        </is>
      </c>
      <c r="M36" t="inlineStr">
        <is>
          <t>Faraji Reza</t>
        </is>
      </c>
      <c r="Q36" s="42" t="n">
        <v>46014.61143518519</v>
      </c>
      <c r="S36" t="n">
        <v>0</v>
      </c>
      <c r="T36" s="42" t="n">
        <v>46014.61143518519</v>
      </c>
      <c r="AA36" t="n">
        <v>0</v>
      </c>
      <c r="AD36" t="n">
        <v>2</v>
      </c>
      <c r="AE36" t="n">
        <v>2</v>
      </c>
      <c r="AF36" t="n">
        <v>0</v>
      </c>
      <c r="AI36" t="n">
        <v>0</v>
      </c>
      <c r="AJ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24</v>
      </c>
      <c r="AR36" t="n">
        <v>0</v>
      </c>
    </row>
    <row r="37">
      <c r="A37" t="n">
        <v>199751</v>
      </c>
      <c r="B37" t="inlineStr">
        <is>
          <t xml:space="preserve">فایل زیپ دانلود یکجا اسناد مشتری  ، خالی می باشد </t>
        </is>
      </c>
      <c r="D37" t="inlineStr">
        <is>
          <t>Medium</t>
        </is>
      </c>
      <c r="E37" t="n">
        <v>1</v>
      </c>
      <c r="F37" t="inlineStr">
        <is>
          <t>Closed</t>
        </is>
      </c>
      <c r="G37" t="inlineStr">
        <is>
          <t>FN</t>
        </is>
      </c>
      <c r="H37" t="inlineStr">
        <is>
          <t>FN (عملیاتی)</t>
        </is>
      </c>
      <c r="J37" t="inlineStr">
        <is>
          <t>Dem</t>
        </is>
      </c>
      <c r="K37" t="inlineStr">
        <is>
          <t>DemBiz</t>
        </is>
      </c>
      <c r="L37" t="inlineStr">
        <is>
          <t>Completed</t>
        </is>
      </c>
      <c r="M37" t="inlineStr">
        <is>
          <t>Moradi Mohammad</t>
        </is>
      </c>
      <c r="N37" t="inlineStr">
        <is>
          <t>Hajizadeh Elnaz</t>
        </is>
      </c>
      <c r="O37" s="42" t="n">
        <v>46014.47111111111</v>
      </c>
      <c r="Q37" s="42" t="n">
        <v>46014.47111111111</v>
      </c>
      <c r="S37" t="n">
        <v>0</v>
      </c>
      <c r="T37" s="42" t="n">
        <v>46014.47111111111</v>
      </c>
      <c r="Z37" s="42" t="n">
        <v>46014.47111111111</v>
      </c>
      <c r="AA37" t="n">
        <v>0</v>
      </c>
      <c r="AD37" t="n">
        <v>2</v>
      </c>
      <c r="AE37" t="n">
        <v>2</v>
      </c>
      <c r="AF37" t="n">
        <v>0</v>
      </c>
      <c r="AI37" t="n">
        <v>0</v>
      </c>
      <c r="AJ37" t="n">
        <v>0</v>
      </c>
      <c r="AK37" t="n">
        <v>0</v>
      </c>
      <c r="AL37" t="n">
        <v>0</v>
      </c>
      <c r="AN37" t="n">
        <v>0</v>
      </c>
      <c r="AO37" t="n">
        <v>0</v>
      </c>
      <c r="AP37" t="n">
        <v>0</v>
      </c>
      <c r="AQ37" t="n">
        <v>24</v>
      </c>
      <c r="AR37" t="n">
        <v>0</v>
      </c>
    </row>
    <row r="38">
      <c r="A38" t="n">
        <v>199989</v>
      </c>
      <c r="B38" t="inlineStr">
        <is>
          <t>AE_SAJA\\ مشکل پاک نشدن کش و نیاز به پاک کردن دستی</t>
        </is>
      </c>
      <c r="D38" t="inlineStr">
        <is>
          <t>Medium</t>
        </is>
      </c>
      <c r="E38" t="n">
        <v>3</v>
      </c>
      <c r="F38" t="inlineStr">
        <is>
          <t>Active</t>
        </is>
      </c>
      <c r="G38" t="inlineStr">
        <is>
          <t>FN</t>
        </is>
      </c>
      <c r="H38" t="inlineStr">
        <is>
          <t>FN (عملیاتی)</t>
        </is>
      </c>
      <c r="J38" t="inlineStr">
        <is>
          <t>Infrastructure Bizagi Extension</t>
        </is>
      </c>
      <c r="K38" t="inlineStr">
        <is>
          <t>Athena_Sprint 89</t>
        </is>
      </c>
      <c r="M38" t="inlineStr">
        <is>
          <t>Taleb Amirreza</t>
        </is>
      </c>
      <c r="Q38" s="42" t="n">
        <v>46014.61034722222</v>
      </c>
      <c r="S38" t="n">
        <v>0</v>
      </c>
      <c r="T38" s="42" t="n">
        <v>46014.61034722222</v>
      </c>
      <c r="AA38" t="n">
        <v>0</v>
      </c>
      <c r="AD38" t="n">
        <v>2</v>
      </c>
      <c r="AE38" t="n">
        <v>2</v>
      </c>
      <c r="AF38" t="n">
        <v>0</v>
      </c>
      <c r="AI38" t="n">
        <v>0</v>
      </c>
      <c r="AJ38" t="n">
        <v>0</v>
      </c>
      <c r="AM38" t="n">
        <v>3</v>
      </c>
      <c r="AN38" t="n">
        <v>0</v>
      </c>
      <c r="AO38" t="n">
        <v>0</v>
      </c>
      <c r="AP38" t="n">
        <v>0</v>
      </c>
      <c r="AQ38" t="n">
        <v>24</v>
      </c>
      <c r="AR38" t="n">
        <v>0</v>
      </c>
    </row>
    <row r="39">
      <c r="A39" t="n">
        <v>199878</v>
      </c>
      <c r="B39" t="inlineStr">
        <is>
          <t xml:space="preserve">AE_SAJA \\خالی بودن دیتا های پر درون گرید </t>
        </is>
      </c>
      <c r="D39" t="inlineStr">
        <is>
          <t>Medium</t>
        </is>
      </c>
      <c r="E39" t="n">
        <v>2</v>
      </c>
      <c r="F39" t="inlineStr">
        <is>
          <t>Active</t>
        </is>
      </c>
      <c r="G39" t="inlineStr">
        <is>
          <t>FN</t>
        </is>
      </c>
      <c r="H39" t="inlineStr">
        <is>
          <t>FN (عملیاتی)</t>
        </is>
      </c>
      <c r="J39" t="inlineStr">
        <is>
          <t>Infrastructure Bizagi Extension</t>
        </is>
      </c>
      <c r="K39" t="inlineStr">
        <is>
          <t>Athena_Sprint 89</t>
        </is>
      </c>
      <c r="M39" t="inlineStr">
        <is>
          <t>Taleb Amirreza</t>
        </is>
      </c>
      <c r="Q39" s="42" t="n">
        <v>46014.61072916666</v>
      </c>
      <c r="S39" t="n">
        <v>0</v>
      </c>
      <c r="T39" s="42" t="n">
        <v>46014.61072916666</v>
      </c>
      <c r="AA39" t="n">
        <v>0</v>
      </c>
      <c r="AD39" t="n">
        <v>2</v>
      </c>
      <c r="AE39" t="n">
        <v>2</v>
      </c>
      <c r="AF39" t="n">
        <v>0</v>
      </c>
      <c r="AI39" t="n">
        <v>0</v>
      </c>
      <c r="AJ39" t="n">
        <v>0</v>
      </c>
      <c r="AM39" t="n">
        <v>3</v>
      </c>
      <c r="AN39" t="n">
        <v>0</v>
      </c>
      <c r="AO39" t="n">
        <v>0</v>
      </c>
      <c r="AP39" t="n">
        <v>0</v>
      </c>
      <c r="AQ39" t="n">
        <v>24</v>
      </c>
      <c r="AR39" t="n">
        <v>0</v>
      </c>
    </row>
    <row r="40">
      <c r="A40" t="n">
        <v>200211</v>
      </c>
      <c r="B40" t="inlineStr">
        <is>
          <t>دکمه تایید در فرم ورود اطلاعات پیشنهاد  باگ ظاهری دارد/1382</t>
        </is>
      </c>
      <c r="D40" t="inlineStr">
        <is>
          <t>Medium</t>
        </is>
      </c>
      <c r="E40" t="n">
        <v>2</v>
      </c>
      <c r="F40" t="inlineStr">
        <is>
          <t>Closed</t>
        </is>
      </c>
      <c r="G40" t="inlineStr">
        <is>
          <t>FN</t>
        </is>
      </c>
      <c r="H40" t="inlineStr">
        <is>
          <t>FN (عملیاتی)</t>
        </is>
      </c>
      <c r="J40" t="inlineStr">
        <is>
          <t>Dem</t>
        </is>
      </c>
      <c r="K40" t="inlineStr">
        <is>
          <t>DemBiz</t>
        </is>
      </c>
      <c r="L40" t="inlineStr">
        <is>
          <t>Completed</t>
        </is>
      </c>
      <c r="M40" t="inlineStr">
        <is>
          <t>Moradi Mohammad</t>
        </is>
      </c>
      <c r="N40" t="inlineStr">
        <is>
          <t>Hajizadeh Elnaz</t>
        </is>
      </c>
      <c r="O40" s="42" t="n">
        <v>46014.47221064815</v>
      </c>
      <c r="P40" s="42" t="n">
        <v>46014.47202546296</v>
      </c>
      <c r="Q40" s="42" t="n">
        <v>46014.47221064815</v>
      </c>
      <c r="S40" t="n">
        <v>0</v>
      </c>
      <c r="T40" s="42" t="n">
        <v>46014.47221064815</v>
      </c>
      <c r="Z40" s="42" t="n">
        <v>46014.47221064815</v>
      </c>
      <c r="AA40" t="n">
        <v>0</v>
      </c>
      <c r="AD40" t="n">
        <v>2</v>
      </c>
      <c r="AE40" t="n">
        <v>2</v>
      </c>
      <c r="AF40" t="n">
        <v>0</v>
      </c>
      <c r="AI40" t="n">
        <v>0</v>
      </c>
      <c r="AJ40" t="n">
        <v>0</v>
      </c>
      <c r="AK40" t="n">
        <v>0</v>
      </c>
      <c r="AL40" t="n">
        <v>0</v>
      </c>
      <c r="AN40" t="n">
        <v>0</v>
      </c>
      <c r="AO40" t="n">
        <v>0</v>
      </c>
      <c r="AP40" t="n">
        <v>0</v>
      </c>
      <c r="AQ40" t="n">
        <v>24</v>
      </c>
      <c r="AR40" t="n">
        <v>0</v>
      </c>
    </row>
    <row r="41">
      <c r="A41" t="n">
        <v>199827</v>
      </c>
      <c r="B41" t="inlineStr">
        <is>
          <t>دکمه دکمه  انتقال اطلاعات  جهت نمایش درگزارش در سوابق اعتباری/ 1382</t>
        </is>
      </c>
      <c r="D41" t="inlineStr">
        <is>
          <t>Medium</t>
        </is>
      </c>
      <c r="E41" t="n">
        <v>1</v>
      </c>
      <c r="F41" t="inlineStr">
        <is>
          <t>Active</t>
        </is>
      </c>
      <c r="G41" t="inlineStr">
        <is>
          <t>FN</t>
        </is>
      </c>
      <c r="H41" t="inlineStr">
        <is>
          <t>FN (عملیاتی)</t>
        </is>
      </c>
      <c r="J41" t="inlineStr">
        <is>
          <t>Dem</t>
        </is>
      </c>
      <c r="K41" t="inlineStr">
        <is>
          <t>DemBiz</t>
        </is>
      </c>
      <c r="M41" t="inlineStr">
        <is>
          <t>Moradi Mohammad</t>
        </is>
      </c>
      <c r="Q41" s="42" t="n">
        <v>46014.39009259259</v>
      </c>
      <c r="S41" t="n">
        <v>0</v>
      </c>
      <c r="T41" s="42" t="n">
        <v>46014.39009259259</v>
      </c>
      <c r="AA41" t="n">
        <v>0</v>
      </c>
      <c r="AD41" t="n">
        <v>2</v>
      </c>
      <c r="AE41" t="n">
        <v>2</v>
      </c>
      <c r="AF41" t="n">
        <v>0</v>
      </c>
      <c r="AI41" t="n">
        <v>0</v>
      </c>
      <c r="AJ41" t="n">
        <v>0</v>
      </c>
      <c r="AM41" t="n">
        <v>3</v>
      </c>
      <c r="AN41" t="n">
        <v>0</v>
      </c>
      <c r="AO41" t="n">
        <v>0</v>
      </c>
      <c r="AP41" t="n">
        <v>0</v>
      </c>
      <c r="AQ41" t="n">
        <v>24</v>
      </c>
      <c r="AR41" t="n">
        <v>0</v>
      </c>
    </row>
    <row r="42">
      <c r="A42" t="n">
        <v>200310</v>
      </c>
      <c r="B42" t="inlineStr">
        <is>
          <t>کمبو مدیریت شعب در گزارش  آمارتجمیعی واحدها ، رکورد نال نمایش می هد/گزارش</t>
        </is>
      </c>
      <c r="D42" t="inlineStr">
        <is>
          <t>Medium</t>
        </is>
      </c>
      <c r="E42" t="n">
        <v>2</v>
      </c>
      <c r="F42" t="inlineStr">
        <is>
          <t>Active</t>
        </is>
      </c>
      <c r="G42" t="inlineStr">
        <is>
          <t>FN</t>
        </is>
      </c>
      <c r="H42" t="inlineStr">
        <is>
          <t>FN (عملیاتی)</t>
        </is>
      </c>
      <c r="J42" t="inlineStr">
        <is>
          <t>Dem</t>
        </is>
      </c>
      <c r="K42" t="inlineStr">
        <is>
          <t>DemBiz</t>
        </is>
      </c>
      <c r="M42" t="inlineStr">
        <is>
          <t>Moradi Mohammad</t>
        </is>
      </c>
      <c r="Q42" s="42" t="n">
        <v>46014.57233796296</v>
      </c>
      <c r="S42" t="n">
        <v>0</v>
      </c>
      <c r="T42" s="42" t="n">
        <v>46014.57233796296</v>
      </c>
      <c r="AA42" t="n">
        <v>0</v>
      </c>
      <c r="AD42" t="n">
        <v>2</v>
      </c>
      <c r="AE42" t="n">
        <v>2</v>
      </c>
      <c r="AF42" t="n">
        <v>0</v>
      </c>
      <c r="AI42" t="n">
        <v>0</v>
      </c>
      <c r="AJ42" t="n">
        <v>0</v>
      </c>
      <c r="AM42" t="n">
        <v>3</v>
      </c>
      <c r="AN42" t="n">
        <v>0</v>
      </c>
      <c r="AO42" t="n">
        <v>0</v>
      </c>
      <c r="AP42" t="n">
        <v>0</v>
      </c>
      <c r="AQ42" t="n">
        <v>24</v>
      </c>
      <c r="AR42" t="n">
        <v>0</v>
      </c>
    </row>
    <row r="43">
      <c r="A43" t="n">
        <v>200318</v>
      </c>
      <c r="B43" t="inlineStr">
        <is>
          <t>عدم نمایش مدیریت های شعب در کمبو مدیریت شعب ، فرم گزارش تعداد پیشنهادات و مصوبات صادره</t>
        </is>
      </c>
      <c r="D43" t="inlineStr">
        <is>
          <t>Medium</t>
        </is>
      </c>
      <c r="E43" t="n">
        <v>2</v>
      </c>
      <c r="F43" t="inlineStr">
        <is>
          <t>Closed</t>
        </is>
      </c>
      <c r="G43" t="inlineStr">
        <is>
          <t>FN</t>
        </is>
      </c>
      <c r="H43" t="inlineStr">
        <is>
          <t>FN (عملیاتی)</t>
        </is>
      </c>
      <c r="J43" t="inlineStr">
        <is>
          <t>Dem</t>
        </is>
      </c>
      <c r="K43" t="inlineStr">
        <is>
          <t>DemBiz</t>
        </is>
      </c>
      <c r="L43" t="inlineStr">
        <is>
          <t>Completed</t>
        </is>
      </c>
      <c r="M43" t="inlineStr">
        <is>
          <t>Moradi Mohammad</t>
        </is>
      </c>
      <c r="N43" t="inlineStr">
        <is>
          <t>Hajizadeh Elnaz</t>
        </is>
      </c>
      <c r="O43" s="42" t="n">
        <v>46014.47393518518</v>
      </c>
      <c r="Q43" s="42" t="n">
        <v>46014.47393518518</v>
      </c>
      <c r="S43" t="n">
        <v>0</v>
      </c>
      <c r="T43" s="42" t="n">
        <v>46014.47393518518</v>
      </c>
      <c r="Z43" s="42" t="n">
        <v>46014.47393518518</v>
      </c>
      <c r="AA43" t="n">
        <v>0</v>
      </c>
      <c r="AD43" t="n">
        <v>2</v>
      </c>
      <c r="AE43" t="n">
        <v>2</v>
      </c>
      <c r="AF43" t="n">
        <v>0</v>
      </c>
      <c r="AI43" t="n">
        <v>0</v>
      </c>
      <c r="AJ43" t="n">
        <v>0</v>
      </c>
      <c r="AK43" t="n">
        <v>0</v>
      </c>
      <c r="AL43" t="n">
        <v>0</v>
      </c>
      <c r="AN43" t="n">
        <v>0</v>
      </c>
      <c r="AO43" t="n">
        <v>0</v>
      </c>
      <c r="AP43" t="n">
        <v>0</v>
      </c>
      <c r="AQ43" t="n">
        <v>24</v>
      </c>
      <c r="AR43" t="n">
        <v>0</v>
      </c>
    </row>
    <row r="44">
      <c r="A44" t="n">
        <v>195115</v>
      </c>
      <c r="B44" t="inlineStr">
        <is>
          <t xml:space="preserve">مواجهه با خطا در هنگام ارجاع تسک به بایگان </t>
        </is>
      </c>
      <c r="D44" t="inlineStr">
        <is>
          <t>Medium</t>
        </is>
      </c>
      <c r="E44" t="n">
        <v>1</v>
      </c>
      <c r="F44" t="inlineStr">
        <is>
          <t>Active</t>
        </is>
      </c>
      <c r="G44" t="inlineStr">
        <is>
          <t>FN</t>
        </is>
      </c>
      <c r="H44" t="inlineStr">
        <is>
          <t>FN (عملیاتی)</t>
        </is>
      </c>
      <c r="I44" t="inlineStr">
        <is>
          <t>Bizagi_Team</t>
        </is>
      </c>
      <c r="J44" t="inlineStr">
        <is>
          <t>SAJAK</t>
        </is>
      </c>
      <c r="K44" t="inlineStr">
        <is>
          <t>Estate_Sprint 44</t>
        </is>
      </c>
      <c r="M44" t="inlineStr">
        <is>
          <t>Tedadi Abbas</t>
        </is>
      </c>
      <c r="Q44" s="42" t="n">
        <v>46015.55474537037</v>
      </c>
      <c r="S44" t="n">
        <v>0</v>
      </c>
      <c r="T44" s="42" t="n">
        <v>46015.55474537037</v>
      </c>
      <c r="AA44" t="n">
        <v>0</v>
      </c>
      <c r="AD44" t="n">
        <v>2</v>
      </c>
      <c r="AE44" t="n">
        <v>2</v>
      </c>
      <c r="AF44" t="n">
        <v>0</v>
      </c>
      <c r="AI44" t="n">
        <v>0</v>
      </c>
      <c r="AJ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24</v>
      </c>
      <c r="AR44" t="n">
        <v>0</v>
      </c>
    </row>
    <row r="45">
      <c r="A45" t="n">
        <v>192255</v>
      </c>
      <c r="B45" t="inlineStr">
        <is>
          <t xml:space="preserve">اعمال پیشنهاد مرتبط در فرم تکمیل اطلاعات ، پیغام خطا می دهد </t>
        </is>
      </c>
      <c r="D45" t="inlineStr">
        <is>
          <t>Medium</t>
        </is>
      </c>
      <c r="E45" t="n">
        <v>1</v>
      </c>
      <c r="F45" t="inlineStr">
        <is>
          <t>Active</t>
        </is>
      </c>
      <c r="G45" t="inlineStr">
        <is>
          <t>FN</t>
        </is>
      </c>
      <c r="H45" t="inlineStr">
        <is>
          <t>FN (عملیاتی)</t>
        </is>
      </c>
      <c r="J45" t="inlineStr">
        <is>
          <t>Dem</t>
        </is>
      </c>
      <c r="K45" t="inlineStr">
        <is>
          <t>DemBiz</t>
        </is>
      </c>
      <c r="M45" t="inlineStr">
        <is>
          <t>Moradi Mohammad</t>
        </is>
      </c>
      <c r="Q45" s="42" t="n">
        <v>46014.57202546296</v>
      </c>
      <c r="S45" t="n">
        <v>0</v>
      </c>
      <c r="T45" s="42" t="n">
        <v>46014.57202546296</v>
      </c>
      <c r="AA45" t="n">
        <v>0</v>
      </c>
      <c r="AD45" t="n">
        <v>2</v>
      </c>
      <c r="AE45" t="n">
        <v>2</v>
      </c>
      <c r="AF45" t="n">
        <v>0</v>
      </c>
      <c r="AI45" t="n">
        <v>0</v>
      </c>
      <c r="AJ45" t="n">
        <v>0</v>
      </c>
      <c r="AM45" t="n">
        <v>3</v>
      </c>
      <c r="AN45" t="n">
        <v>0</v>
      </c>
      <c r="AO45" t="n">
        <v>0</v>
      </c>
      <c r="AP45" t="n">
        <v>0</v>
      </c>
      <c r="AQ45" t="n">
        <v>24</v>
      </c>
      <c r="AR45" t="n">
        <v>0</v>
      </c>
    </row>
    <row r="46">
      <c r="A46" t="n">
        <v>194725</v>
      </c>
      <c r="B46" t="inlineStr">
        <is>
          <t>AE_SAJA\\گرید مالتی سلکت سرچ پاک نمیشود</t>
        </is>
      </c>
      <c r="D46" t="inlineStr">
        <is>
          <t>Medium</t>
        </is>
      </c>
      <c r="E46" t="n">
        <v>3</v>
      </c>
      <c r="F46" t="inlineStr">
        <is>
          <t>Active</t>
        </is>
      </c>
      <c r="G46" t="inlineStr">
        <is>
          <t>FN</t>
        </is>
      </c>
      <c r="H46" t="inlineStr">
        <is>
          <t>FN (عملیاتی)</t>
        </is>
      </c>
      <c r="J46" t="inlineStr">
        <is>
          <t>Infrastructure Bizagi Extension</t>
        </is>
      </c>
      <c r="K46" t="inlineStr">
        <is>
          <t>Athena_Sprint 89</t>
        </is>
      </c>
      <c r="M46" t="inlineStr">
        <is>
          <t>Taleb Amirreza</t>
        </is>
      </c>
      <c r="Q46" s="42" t="n">
        <v>46014.61469907407</v>
      </c>
      <c r="S46" t="n">
        <v>0</v>
      </c>
      <c r="T46" s="42" t="n">
        <v>46014.61469907407</v>
      </c>
      <c r="AA46" t="n">
        <v>0</v>
      </c>
      <c r="AD46" t="n">
        <v>2</v>
      </c>
      <c r="AE46" t="n">
        <v>2</v>
      </c>
      <c r="AF46" t="n">
        <v>0</v>
      </c>
      <c r="AI46" t="n">
        <v>0</v>
      </c>
      <c r="AJ46" t="n">
        <v>0</v>
      </c>
      <c r="AM46" t="n">
        <v>3</v>
      </c>
      <c r="AN46" t="n">
        <v>0</v>
      </c>
      <c r="AO46" t="n">
        <v>0</v>
      </c>
      <c r="AP46" t="n">
        <v>0</v>
      </c>
      <c r="AQ46" t="n">
        <v>24</v>
      </c>
      <c r="AR46" t="n">
        <v>0</v>
      </c>
    </row>
    <row r="47">
      <c r="A47" t="n">
        <v>195213</v>
      </c>
      <c r="B47" t="inlineStr">
        <is>
          <t>1365/1377باگ لینک مجوزات/NFWDem</t>
        </is>
      </c>
      <c r="D47" t="inlineStr">
        <is>
          <t>Medium</t>
        </is>
      </c>
      <c r="E47" t="n">
        <v>2</v>
      </c>
      <c r="F47" t="inlineStr">
        <is>
          <t>Closed</t>
        </is>
      </c>
      <c r="G47" t="inlineStr">
        <is>
          <t>FN</t>
        </is>
      </c>
      <c r="H47" t="inlineStr">
        <is>
          <t>FN (عملیاتی)</t>
        </is>
      </c>
      <c r="J47" t="inlineStr">
        <is>
          <t>Dem</t>
        </is>
      </c>
      <c r="K47" t="inlineStr">
        <is>
          <t>DemBiz</t>
        </is>
      </c>
      <c r="L47" t="inlineStr">
        <is>
          <t>Completed</t>
        </is>
      </c>
      <c r="M47" t="inlineStr">
        <is>
          <t>Moradi Mohammad</t>
        </is>
      </c>
      <c r="N47" t="inlineStr">
        <is>
          <t>Hajizadeh Elnaz</t>
        </is>
      </c>
      <c r="O47" s="42" t="n">
        <v>46014.46837962963</v>
      </c>
      <c r="Q47" s="42" t="n">
        <v>46014.46837962963</v>
      </c>
      <c r="S47" t="n">
        <v>0</v>
      </c>
      <c r="T47" s="42" t="n">
        <v>46014.46837962963</v>
      </c>
      <c r="Z47" s="42" t="n">
        <v>46014.46837962963</v>
      </c>
      <c r="AA47" t="n">
        <v>0</v>
      </c>
      <c r="AD47" t="n">
        <v>2</v>
      </c>
      <c r="AE47" t="n">
        <v>2</v>
      </c>
      <c r="AF47" t="n">
        <v>0</v>
      </c>
      <c r="AI47" t="n">
        <v>0</v>
      </c>
      <c r="AJ47" t="n">
        <v>0</v>
      </c>
      <c r="AK47" t="n">
        <v>0</v>
      </c>
      <c r="AL47" t="n">
        <v>0</v>
      </c>
      <c r="AN47" t="n">
        <v>0</v>
      </c>
      <c r="AO47" t="n">
        <v>0</v>
      </c>
      <c r="AP47" t="n">
        <v>0</v>
      </c>
      <c r="AQ47" t="n">
        <v>24</v>
      </c>
      <c r="AR47" t="n">
        <v>0</v>
      </c>
    </row>
    <row r="48">
      <c r="A48" t="n">
        <v>197739</v>
      </c>
      <c r="B48" t="inlineStr">
        <is>
          <t>عدم توانایی ثبت ساختار سازمانی جدید توسط یوزر راهبر/NFWPB</t>
        </is>
      </c>
      <c r="D48" t="inlineStr">
        <is>
          <t>Medium</t>
        </is>
      </c>
      <c r="E48" t="n">
        <v>3</v>
      </c>
      <c r="F48" t="inlineStr">
        <is>
          <t>Active</t>
        </is>
      </c>
      <c r="G48" t="inlineStr">
        <is>
          <t>PER</t>
        </is>
      </c>
      <c r="H48" t="inlineStr">
        <is>
          <t>PER (عملکردی)</t>
        </is>
      </c>
      <c r="J48" t="inlineStr">
        <is>
          <t>Infrastructure Bizagi Extension</t>
        </is>
      </c>
      <c r="K48" t="inlineStr">
        <is>
          <t>Athena_Sprint 89</t>
        </is>
      </c>
      <c r="M48" t="inlineStr">
        <is>
          <t>Taleb Amirreza</t>
        </is>
      </c>
      <c r="Q48" s="42" t="n">
        <v>46014.6250462963</v>
      </c>
      <c r="S48" t="n">
        <v>0</v>
      </c>
      <c r="T48" s="42" t="n">
        <v>46014.6250462963</v>
      </c>
      <c r="AA48" t="n">
        <v>0</v>
      </c>
      <c r="AD48" t="n">
        <v>2</v>
      </c>
      <c r="AE48" t="n">
        <v>2</v>
      </c>
      <c r="AF48" t="n">
        <v>0</v>
      </c>
      <c r="AI48" t="n">
        <v>0</v>
      </c>
      <c r="AJ48" t="n">
        <v>0</v>
      </c>
      <c r="AM48" t="n">
        <v>3</v>
      </c>
      <c r="AN48" t="n">
        <v>0</v>
      </c>
      <c r="AO48" t="n">
        <v>0</v>
      </c>
      <c r="AP48" t="n">
        <v>0</v>
      </c>
      <c r="AQ48" t="n">
        <v>24</v>
      </c>
      <c r="AR48" t="n">
        <v>0</v>
      </c>
    </row>
    <row r="49">
      <c r="A49" t="n">
        <v>199779</v>
      </c>
      <c r="B49" t="inlineStr">
        <is>
          <t>عدم سیو شدن دیتای فیلد تاریخ اتمام اعتباردر لینک ویرایش  /1382/NFWDem</t>
        </is>
      </c>
      <c r="D49" t="inlineStr">
        <is>
          <t>Medium</t>
        </is>
      </c>
      <c r="E49" t="n">
        <v>1</v>
      </c>
      <c r="F49" t="inlineStr">
        <is>
          <t>Active</t>
        </is>
      </c>
      <c r="G49" t="inlineStr">
        <is>
          <t>PER</t>
        </is>
      </c>
      <c r="H49" t="inlineStr">
        <is>
          <t>PER (عملکردی)</t>
        </is>
      </c>
      <c r="J49" t="inlineStr">
        <is>
          <t>Infrastructure Bizagi Extension</t>
        </is>
      </c>
      <c r="K49" t="inlineStr">
        <is>
          <t>SP_88</t>
        </is>
      </c>
      <c r="M49" t="inlineStr">
        <is>
          <t>Rezaee Reza</t>
        </is>
      </c>
      <c r="Q49" s="42" t="n">
        <v>46015.68195601852</v>
      </c>
      <c r="S49" t="n">
        <v>0</v>
      </c>
      <c r="T49" s="42" t="n">
        <v>46015.68195601852</v>
      </c>
      <c r="AA49" t="n">
        <v>0</v>
      </c>
      <c r="AD49" t="n">
        <v>2</v>
      </c>
      <c r="AE49" t="n">
        <v>2</v>
      </c>
      <c r="AF49" t="n">
        <v>0</v>
      </c>
      <c r="AI49" t="n">
        <v>0</v>
      </c>
      <c r="AJ49" t="n">
        <v>0</v>
      </c>
      <c r="AM49" t="n">
        <v>2</v>
      </c>
      <c r="AN49" t="n">
        <v>0</v>
      </c>
      <c r="AO49" t="n">
        <v>0</v>
      </c>
      <c r="AP49" t="n">
        <v>0</v>
      </c>
      <c r="AQ49" t="n">
        <v>24</v>
      </c>
      <c r="AR49" t="n">
        <v>0</v>
      </c>
    </row>
    <row r="50">
      <c r="A50" t="n">
        <v>201196</v>
      </c>
      <c r="B50" t="inlineStr">
        <is>
          <t>AE_SAJA\\ مشکل نبودن دکمه افزودن گرید روزنامه آگهی</t>
        </is>
      </c>
      <c r="D50" t="inlineStr">
        <is>
          <t>Medium</t>
        </is>
      </c>
      <c r="E50" t="n">
        <v>2</v>
      </c>
      <c r="F50" t="inlineStr">
        <is>
          <t>Active</t>
        </is>
      </c>
      <c r="G50" t="inlineStr">
        <is>
          <t>PER</t>
        </is>
      </c>
      <c r="H50" t="inlineStr">
        <is>
          <t>PER (عملکردی)</t>
        </is>
      </c>
      <c r="J50" t="inlineStr">
        <is>
          <t>Infrastructure Bizagi Extension</t>
        </is>
      </c>
      <c r="K50" t="inlineStr">
        <is>
          <t>Athena_Sprint 89</t>
        </is>
      </c>
      <c r="M50" t="inlineStr">
        <is>
          <t>Taleb Amirreza</t>
        </is>
      </c>
      <c r="Q50" s="42" t="n">
        <v>46015.56293981482</v>
      </c>
      <c r="S50" t="n">
        <v>0</v>
      </c>
      <c r="T50" s="42" t="n">
        <v>46015.56293981482</v>
      </c>
      <c r="AA50" t="n">
        <v>0</v>
      </c>
      <c r="AD50" t="n">
        <v>2</v>
      </c>
      <c r="AE50" t="n">
        <v>2</v>
      </c>
      <c r="AF50" t="n">
        <v>0</v>
      </c>
      <c r="AI50" t="n">
        <v>0</v>
      </c>
      <c r="AJ50" t="n">
        <v>0</v>
      </c>
      <c r="AM50" t="n">
        <v>2</v>
      </c>
      <c r="AN50" t="n">
        <v>0</v>
      </c>
      <c r="AO50" t="n">
        <v>0</v>
      </c>
      <c r="AP50" t="n">
        <v>0</v>
      </c>
      <c r="AQ50" t="n">
        <v>24</v>
      </c>
      <c r="AR50" t="n">
        <v>0</v>
      </c>
    </row>
    <row r="51">
      <c r="A51" t="n">
        <v>200923</v>
      </c>
      <c r="B51" t="inlineStr">
        <is>
          <t>AE_SAJA\\ مشکل لود نشدن فرم  ثبت اطلاعات نامه آگهی</t>
        </is>
      </c>
      <c r="D51" t="inlineStr">
        <is>
          <t>Medium</t>
        </is>
      </c>
      <c r="E51" t="n">
        <v>2</v>
      </c>
      <c r="F51" t="inlineStr">
        <is>
          <t>Ready for Retest</t>
        </is>
      </c>
      <c r="G51" t="inlineStr">
        <is>
          <t>PER</t>
        </is>
      </c>
      <c r="H51" t="inlineStr">
        <is>
          <t>PER (عملکردی)</t>
        </is>
      </c>
      <c r="J51" t="inlineStr">
        <is>
          <t>Infrastructure Bizagi Extension</t>
        </is>
      </c>
      <c r="K51" t="inlineStr">
        <is>
          <t>Athena_Sprint 89</t>
        </is>
      </c>
      <c r="M51" t="inlineStr">
        <is>
          <t>Jafari Saeed</t>
        </is>
      </c>
      <c r="Q51" s="42" t="n">
        <v>46015.47608796296</v>
      </c>
      <c r="S51" t="n">
        <v>0</v>
      </c>
      <c r="T51" s="42" t="n">
        <v>46015.47608796296</v>
      </c>
      <c r="AA51" t="n">
        <v>0</v>
      </c>
      <c r="AD51" t="n">
        <v>2</v>
      </c>
      <c r="AE51" t="n">
        <v>2</v>
      </c>
      <c r="AF51" t="n">
        <v>0</v>
      </c>
      <c r="AI51" t="n">
        <v>0</v>
      </c>
      <c r="AJ51" t="n">
        <v>0</v>
      </c>
      <c r="AN51" t="n">
        <v>0</v>
      </c>
      <c r="AO51" t="n">
        <v>0</v>
      </c>
      <c r="AP51" t="n">
        <v>0</v>
      </c>
      <c r="AQ51" t="n">
        <v>24</v>
      </c>
      <c r="AR51" t="n">
        <v>0</v>
      </c>
    </row>
    <row r="52">
      <c r="A52" t="n">
        <v>200848</v>
      </c>
      <c r="B52" t="inlineStr">
        <is>
          <t>AE_SAJA\\ مشکل نال کردن فیلد گرید</t>
        </is>
      </c>
      <c r="D52" t="inlineStr">
        <is>
          <t>Medium</t>
        </is>
      </c>
      <c r="E52" t="n">
        <v>2</v>
      </c>
      <c r="F52" t="inlineStr">
        <is>
          <t>Active</t>
        </is>
      </c>
      <c r="G52" t="inlineStr">
        <is>
          <t>PER</t>
        </is>
      </c>
      <c r="H52" t="inlineStr">
        <is>
          <t>PER (عملکردی)</t>
        </is>
      </c>
      <c r="J52" t="inlineStr">
        <is>
          <t>Infrastructure Bizagi Extension</t>
        </is>
      </c>
      <c r="K52" t="inlineStr">
        <is>
          <t>Athena_Sprint 89</t>
        </is>
      </c>
      <c r="M52" t="inlineStr">
        <is>
          <t>Faraji Reza</t>
        </is>
      </c>
      <c r="Q52" s="42" t="n">
        <v>46014.60798611111</v>
      </c>
      <c r="S52" t="n">
        <v>0</v>
      </c>
      <c r="T52" s="42" t="n">
        <v>46014.60798611111</v>
      </c>
      <c r="AA52" t="n">
        <v>0</v>
      </c>
      <c r="AD52" t="n">
        <v>2</v>
      </c>
      <c r="AE52" t="n">
        <v>2</v>
      </c>
      <c r="AF52" t="n">
        <v>0</v>
      </c>
      <c r="AI52" t="n">
        <v>0</v>
      </c>
      <c r="AJ52" t="n">
        <v>0</v>
      </c>
      <c r="AM52" t="n">
        <v>3</v>
      </c>
      <c r="AN52" t="n">
        <v>0</v>
      </c>
      <c r="AO52" t="n">
        <v>0</v>
      </c>
      <c r="AP52" t="n">
        <v>0</v>
      </c>
      <c r="AQ52" t="n">
        <v>24</v>
      </c>
      <c r="AR52" t="n">
        <v>0</v>
      </c>
    </row>
    <row r="53">
      <c r="A53" t="n">
        <v>202135</v>
      </c>
      <c r="B53" t="inlineStr">
        <is>
          <t>AE_SAJA\\  منو آگهی عدم اجرای رول و سیونکردن دیتا در ویرایش</t>
        </is>
      </c>
      <c r="D53" t="inlineStr">
        <is>
          <t>Medium</t>
        </is>
      </c>
      <c r="E53" t="n">
        <v>1</v>
      </c>
      <c r="F53" t="inlineStr">
        <is>
          <t>Active</t>
        </is>
      </c>
      <c r="G53" t="inlineStr">
        <is>
          <t>PER</t>
        </is>
      </c>
      <c r="H53" t="inlineStr">
        <is>
          <t>PER (عملکردی)</t>
        </is>
      </c>
      <c r="J53" t="inlineStr">
        <is>
          <t>Infrastructure Bizagi Extension</t>
        </is>
      </c>
      <c r="K53" t="inlineStr">
        <is>
          <t>Athena_Sprint 89</t>
        </is>
      </c>
      <c r="M53" t="inlineStr">
        <is>
          <t>Faraji Reza</t>
        </is>
      </c>
      <c r="Q53" s="42" t="n">
        <v>46014.60497685185</v>
      </c>
      <c r="S53" t="n">
        <v>0</v>
      </c>
      <c r="T53" s="42" t="n">
        <v>46014.60497685185</v>
      </c>
      <c r="AA53" t="n">
        <v>0</v>
      </c>
      <c r="AD53" t="n">
        <v>2</v>
      </c>
      <c r="AE53" t="n">
        <v>2</v>
      </c>
      <c r="AF53" t="n">
        <v>0</v>
      </c>
      <c r="AI53" t="n">
        <v>0</v>
      </c>
      <c r="AJ53" t="n">
        <v>0</v>
      </c>
      <c r="AM53" t="n">
        <v>3</v>
      </c>
      <c r="AN53" t="n">
        <v>0</v>
      </c>
      <c r="AO53" t="n">
        <v>0</v>
      </c>
      <c r="AP53" t="n">
        <v>0</v>
      </c>
      <c r="AQ53" t="n">
        <v>24</v>
      </c>
      <c r="AR53" t="n">
        <v>0</v>
      </c>
    </row>
    <row r="54">
      <c r="A54" t="n">
        <v>201970</v>
      </c>
      <c r="B54" t="inlineStr">
        <is>
          <t xml:space="preserve">در ورود به کارتابل نقشه بردار خطا نمایش داده می شود در محیط قرمز </t>
        </is>
      </c>
      <c r="D54" t="inlineStr">
        <is>
          <t>Medium</t>
        </is>
      </c>
      <c r="E54" t="n">
        <v>1</v>
      </c>
      <c r="F54" t="inlineStr">
        <is>
          <t>Active</t>
        </is>
      </c>
      <c r="G54" t="inlineStr">
        <is>
          <t>PER</t>
        </is>
      </c>
      <c r="H54" t="inlineStr">
        <is>
          <t>PER (عملکردی)</t>
        </is>
      </c>
      <c r="I54" t="inlineStr">
        <is>
          <t>Bizagi_Team</t>
        </is>
      </c>
      <c r="J54" t="inlineStr">
        <is>
          <t>SAJAK</t>
        </is>
      </c>
      <c r="K54" t="inlineStr">
        <is>
          <t>Estate_Sprint 45</t>
        </is>
      </c>
      <c r="M54" t="inlineStr">
        <is>
          <t>Taleb Amirreza</t>
        </is>
      </c>
      <c r="Q54" s="42" t="n">
        <v>46015.5634375</v>
      </c>
      <c r="S54" t="n">
        <v>0</v>
      </c>
      <c r="T54" s="42" t="n">
        <v>46015.5634375</v>
      </c>
      <c r="AA54" t="n">
        <v>0</v>
      </c>
      <c r="AD54" t="n">
        <v>2</v>
      </c>
      <c r="AE54" t="n">
        <v>2</v>
      </c>
      <c r="AF54" t="n">
        <v>0</v>
      </c>
      <c r="AI54" t="n">
        <v>0</v>
      </c>
      <c r="AJ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24</v>
      </c>
      <c r="AR54" t="n">
        <v>0</v>
      </c>
    </row>
    <row r="55">
      <c r="A55" t="n">
        <v>200845</v>
      </c>
      <c r="B55" t="inlineStr">
        <is>
          <t>آسیب‌پذیری رمزنگاری شکسته شده(بحرانی)</t>
        </is>
      </c>
      <c r="D55" t="inlineStr">
        <is>
          <t>Medium</t>
        </is>
      </c>
      <c r="E55" t="n">
        <v>1</v>
      </c>
      <c r="F55" t="inlineStr">
        <is>
          <t>Open</t>
        </is>
      </c>
      <c r="G55" t="inlineStr">
        <is>
          <t>SEC</t>
        </is>
      </c>
      <c r="H55" t="inlineStr">
        <is>
          <t>SEC (امنیتی)</t>
        </is>
      </c>
      <c r="J55" t="inlineStr">
        <is>
          <t>SAJAK</t>
        </is>
      </c>
      <c r="K55" t="inlineStr">
        <is>
          <t>Tech_Sprint 45</t>
        </is>
      </c>
      <c r="M55" t="inlineStr">
        <is>
          <t>Zohari Sami</t>
        </is>
      </c>
      <c r="Q55" s="42" t="n">
        <v>46006.50695601852</v>
      </c>
      <c r="S55" t="n">
        <v>0</v>
      </c>
      <c r="T55" s="42" t="n">
        <v>46006.50695601852</v>
      </c>
      <c r="AA55" t="n">
        <v>0</v>
      </c>
      <c r="AD55" t="n">
        <v>2</v>
      </c>
      <c r="AE55" t="n">
        <v>2</v>
      </c>
      <c r="AF55" t="n">
        <v>0</v>
      </c>
      <c r="AI55" t="n">
        <v>0</v>
      </c>
      <c r="AJ55" t="n">
        <v>0</v>
      </c>
      <c r="AM55" t="n">
        <v>11</v>
      </c>
      <c r="AN55" t="n">
        <v>0</v>
      </c>
      <c r="AO55" t="n">
        <v>0</v>
      </c>
      <c r="AP55" t="n">
        <v>0</v>
      </c>
      <c r="AQ55" t="n">
        <v>24</v>
      </c>
      <c r="AR55" t="n">
        <v>0</v>
      </c>
    </row>
    <row r="56">
      <c r="A56" t="n">
        <v>203291</v>
      </c>
      <c r="B56" t="inlineStr">
        <is>
          <t>آسیب‌پذیری DoS از طریق JSON بازگشتی در JsonHelper</t>
        </is>
      </c>
      <c r="D56" t="inlineStr">
        <is>
          <t>Medium</t>
        </is>
      </c>
      <c r="E56" t="n">
        <v>3</v>
      </c>
      <c r="F56" t="inlineStr">
        <is>
          <t>Open</t>
        </is>
      </c>
      <c r="G56" t="inlineStr">
        <is>
          <t>SEC</t>
        </is>
      </c>
      <c r="H56" t="inlineStr">
        <is>
          <t>SEC (امنیتی)</t>
        </is>
      </c>
      <c r="J56" t="inlineStr">
        <is>
          <t>SAJAK</t>
        </is>
      </c>
      <c r="K56" t="inlineStr">
        <is>
          <t>Tech_Sprint 45</t>
        </is>
      </c>
      <c r="M56" t="inlineStr">
        <is>
          <t>Sayad Mehdi</t>
        </is>
      </c>
      <c r="Q56" s="42" t="n">
        <v>46015.62709490741</v>
      </c>
      <c r="S56" t="n">
        <v>0</v>
      </c>
      <c r="T56" s="42" t="n">
        <v>46015.62709490741</v>
      </c>
      <c r="AA56" t="n">
        <v>0</v>
      </c>
      <c r="AD56" t="n">
        <v>2</v>
      </c>
      <c r="AE56" t="n">
        <v>2</v>
      </c>
      <c r="AF56" t="n">
        <v>0</v>
      </c>
      <c r="AI56" t="n">
        <v>0</v>
      </c>
      <c r="AJ56" t="n">
        <v>0</v>
      </c>
      <c r="AM56" t="n">
        <v>2</v>
      </c>
      <c r="AN56" t="n">
        <v>0</v>
      </c>
      <c r="AO56" t="n">
        <v>0</v>
      </c>
      <c r="AP56" t="n">
        <v>0</v>
      </c>
      <c r="AQ56" t="n">
        <v>24</v>
      </c>
      <c r="AR56" t="n">
        <v>0</v>
      </c>
    </row>
    <row r="57">
      <c r="A57" t="n">
        <v>203307</v>
      </c>
      <c r="B57" t="inlineStr">
        <is>
          <t>نشت اطلاعات از طریق (Information Disclosure) Stack Trace در ExceptionMiddleware</t>
        </is>
      </c>
      <c r="D57" t="inlineStr">
        <is>
          <t>Medium</t>
        </is>
      </c>
      <c r="E57" t="n">
        <v>4</v>
      </c>
      <c r="F57" t="inlineStr">
        <is>
          <t>Open</t>
        </is>
      </c>
      <c r="G57" t="inlineStr">
        <is>
          <t>SEC</t>
        </is>
      </c>
      <c r="H57" t="inlineStr">
        <is>
          <t>SEC (امنیتی)</t>
        </is>
      </c>
      <c r="J57" t="inlineStr">
        <is>
          <t>SAJAK</t>
        </is>
      </c>
      <c r="K57" t="inlineStr">
        <is>
          <t>Tech_Sprint 45</t>
        </is>
      </c>
      <c r="M57" t="inlineStr">
        <is>
          <t>Sayad Mehdi</t>
        </is>
      </c>
      <c r="Q57" s="42" t="n">
        <v>46015.64983796296</v>
      </c>
      <c r="S57" t="n">
        <v>0</v>
      </c>
      <c r="T57" s="42" t="n">
        <v>46015.64983796296</v>
      </c>
      <c r="AA57" t="n">
        <v>0</v>
      </c>
      <c r="AD57" t="n">
        <v>2</v>
      </c>
      <c r="AE57" t="n">
        <v>2</v>
      </c>
      <c r="AF57" t="n">
        <v>0</v>
      </c>
      <c r="AI57" t="n">
        <v>0</v>
      </c>
      <c r="AJ57" t="n">
        <v>0</v>
      </c>
      <c r="AM57" t="n">
        <v>2</v>
      </c>
      <c r="AN57" t="n">
        <v>0</v>
      </c>
      <c r="AO57" t="n">
        <v>0</v>
      </c>
      <c r="AP57" t="n">
        <v>0</v>
      </c>
      <c r="AQ57" t="n">
        <v>24</v>
      </c>
      <c r="AR57" t="n">
        <v>0</v>
      </c>
    </row>
    <row r="58">
      <c r="A58" t="n">
        <v>203310</v>
      </c>
      <c r="B58" t="inlineStr">
        <is>
          <t xml:space="preserve"> افشای ساختار داخلی در ApiExceptionMiddleware (Information Disclosure) </t>
        </is>
      </c>
      <c r="D58" t="inlineStr">
        <is>
          <t>Medium</t>
        </is>
      </c>
      <c r="E58" t="n">
        <v>4</v>
      </c>
      <c r="F58" t="inlineStr">
        <is>
          <t>Open</t>
        </is>
      </c>
      <c r="G58" t="inlineStr">
        <is>
          <t>SEC</t>
        </is>
      </c>
      <c r="H58" t="inlineStr">
        <is>
          <t>SEC (امنیتی)</t>
        </is>
      </c>
      <c r="J58" t="inlineStr">
        <is>
          <t>SAJAK</t>
        </is>
      </c>
      <c r="K58" t="inlineStr">
        <is>
          <t>Tech_Sprint 45</t>
        </is>
      </c>
      <c r="M58" t="inlineStr">
        <is>
          <t>Sayad Mehdi</t>
        </is>
      </c>
      <c r="Q58" s="42" t="n">
        <v>46015.65513888889</v>
      </c>
      <c r="S58" t="n">
        <v>0</v>
      </c>
      <c r="T58" s="42" t="n">
        <v>46015.65513888889</v>
      </c>
      <c r="AA58" t="n">
        <v>0</v>
      </c>
      <c r="AD58" t="n">
        <v>2</v>
      </c>
      <c r="AE58" t="n">
        <v>2</v>
      </c>
      <c r="AF58" t="n">
        <v>0</v>
      </c>
      <c r="AI58" t="n">
        <v>0</v>
      </c>
      <c r="AJ58" t="n">
        <v>0</v>
      </c>
      <c r="AM58" t="n">
        <v>2</v>
      </c>
      <c r="AN58" t="n">
        <v>0</v>
      </c>
      <c r="AO58" t="n">
        <v>0</v>
      </c>
      <c r="AP58" t="n">
        <v>0</v>
      </c>
      <c r="AQ58" t="n">
        <v>24</v>
      </c>
      <c r="AR58" t="n">
        <v>0</v>
      </c>
    </row>
    <row r="59">
      <c r="A59" t="n">
        <v>203331</v>
      </c>
      <c r="B59" t="inlineStr">
        <is>
          <t>آسیب پذیری XXS بر روی شناسه نقاط شمیم در سامانه مانا</t>
        </is>
      </c>
      <c r="D59" t="inlineStr">
        <is>
          <t>Medium</t>
        </is>
      </c>
      <c r="E59" t="n">
        <v>2</v>
      </c>
      <c r="F59" t="inlineStr">
        <is>
          <t>Open</t>
        </is>
      </c>
      <c r="G59" t="inlineStr">
        <is>
          <t>SEC</t>
        </is>
      </c>
      <c r="H59" t="inlineStr">
        <is>
          <t>SEC (امنیتی)</t>
        </is>
      </c>
      <c r="J59" t="inlineStr">
        <is>
          <t>SAJAK</t>
        </is>
      </c>
      <c r="K59" t="inlineStr">
        <is>
          <t>Tech_Sprint 46</t>
        </is>
      </c>
      <c r="Q59" s="42" t="n">
        <v>46015.6958912037</v>
      </c>
      <c r="S59" t="n">
        <v>0</v>
      </c>
      <c r="T59" s="42" t="n">
        <v>46015.6958912037</v>
      </c>
      <c r="AA59" t="n">
        <v>0</v>
      </c>
      <c r="AD59" t="n">
        <v>2</v>
      </c>
      <c r="AE59" t="n">
        <v>2</v>
      </c>
      <c r="AF59" t="n">
        <v>0</v>
      </c>
      <c r="AI59" t="n">
        <v>0</v>
      </c>
      <c r="AJ59" t="n">
        <v>0</v>
      </c>
      <c r="AM59" t="n">
        <v>2</v>
      </c>
      <c r="AN59" t="n">
        <v>0</v>
      </c>
      <c r="AO59" t="n">
        <v>0</v>
      </c>
      <c r="AP59" t="n">
        <v>0</v>
      </c>
      <c r="AQ59" t="n">
        <v>24</v>
      </c>
      <c r="AR59" t="n">
        <v>0</v>
      </c>
    </row>
    <row r="60">
      <c r="A60" t="n">
        <v>200849</v>
      </c>
      <c r="B60" t="inlineStr">
        <is>
          <t>آسیب پذیری استفاده از IV ثابت در مدیریت کلید رمزنگاری (Static IV Reuse)</t>
        </is>
      </c>
      <c r="D60" t="inlineStr">
        <is>
          <t>Medium</t>
        </is>
      </c>
      <c r="E60" t="n">
        <v>2</v>
      </c>
      <c r="F60" t="inlineStr">
        <is>
          <t>Open</t>
        </is>
      </c>
      <c r="G60" t="inlineStr">
        <is>
          <t>SEC</t>
        </is>
      </c>
      <c r="H60" t="inlineStr">
        <is>
          <t>SEC (امنیتی)</t>
        </is>
      </c>
      <c r="J60" t="inlineStr">
        <is>
          <t>SAJAK</t>
        </is>
      </c>
      <c r="K60" t="inlineStr">
        <is>
          <t>Tech_Sprint 45</t>
        </is>
      </c>
      <c r="M60" t="inlineStr">
        <is>
          <t>Zohari Sami</t>
        </is>
      </c>
      <c r="Q60" s="42" t="n">
        <v>46006.53873842592</v>
      </c>
      <c r="S60" t="n">
        <v>0</v>
      </c>
      <c r="T60" s="42" t="n">
        <v>46006.53873842592</v>
      </c>
      <c r="AA60" t="n">
        <v>0</v>
      </c>
      <c r="AD60" t="n">
        <v>2</v>
      </c>
      <c r="AE60" t="n">
        <v>2</v>
      </c>
      <c r="AF60" t="n">
        <v>0</v>
      </c>
      <c r="AI60" t="n">
        <v>0</v>
      </c>
      <c r="AJ60" t="n">
        <v>0</v>
      </c>
      <c r="AM60" t="n">
        <v>11</v>
      </c>
      <c r="AN60" t="n">
        <v>0</v>
      </c>
      <c r="AO60" t="n">
        <v>0</v>
      </c>
      <c r="AP60" t="n">
        <v>0</v>
      </c>
      <c r="AQ60" t="n">
        <v>24</v>
      </c>
      <c r="AR60" t="n">
        <v>0</v>
      </c>
    </row>
    <row r="61">
      <c r="A61" t="n">
        <v>200698</v>
      </c>
      <c r="B61" t="inlineStr">
        <is>
          <t>ارسال اطلاعات حساس در URL(data exposure) و خطر قطع سرویس (DoS)</t>
        </is>
      </c>
      <c r="D61" t="inlineStr">
        <is>
          <t>Medium</t>
        </is>
      </c>
      <c r="E61" t="n">
        <v>2</v>
      </c>
      <c r="F61" t="inlineStr">
        <is>
          <t>Open</t>
        </is>
      </c>
      <c r="G61" t="inlineStr">
        <is>
          <t>SEC</t>
        </is>
      </c>
      <c r="H61" t="inlineStr">
        <is>
          <t>SEC (امنیتی)</t>
        </is>
      </c>
      <c r="J61" t="inlineStr">
        <is>
          <t>SAJAK</t>
        </is>
      </c>
      <c r="K61" t="inlineStr">
        <is>
          <t>Tech_Sprint 45</t>
        </is>
      </c>
      <c r="M61" t="inlineStr">
        <is>
          <t>Zohari Sami</t>
        </is>
      </c>
      <c r="Q61" s="42" t="n">
        <v>46005.53619212963</v>
      </c>
      <c r="S61" t="n">
        <v>0</v>
      </c>
      <c r="T61" s="42" t="n">
        <v>46005.53619212963</v>
      </c>
      <c r="AA61" t="n">
        <v>0</v>
      </c>
      <c r="AD61" t="n">
        <v>2</v>
      </c>
      <c r="AE61" t="n">
        <v>2</v>
      </c>
      <c r="AF61" t="n">
        <v>0</v>
      </c>
      <c r="AI61" t="n">
        <v>0</v>
      </c>
      <c r="AJ61" t="n">
        <v>0</v>
      </c>
      <c r="AM61" t="n">
        <v>12</v>
      </c>
      <c r="AN61" t="n">
        <v>0</v>
      </c>
      <c r="AO61" t="n">
        <v>0</v>
      </c>
      <c r="AP61" t="n">
        <v>0</v>
      </c>
      <c r="AQ61" t="n">
        <v>24</v>
      </c>
      <c r="AR61" t="n">
        <v>0</v>
      </c>
    </row>
    <row r="62">
      <c r="A62" t="n">
        <v>200699</v>
      </c>
      <c r="B62" t="inlineStr">
        <is>
          <t>نقض در شناسایی و احراز هویت (Identification &amp; Authentication Failures)</t>
        </is>
      </c>
      <c r="D62" t="inlineStr">
        <is>
          <t>Medium</t>
        </is>
      </c>
      <c r="E62" t="n">
        <v>1</v>
      </c>
      <c r="F62" t="inlineStr">
        <is>
          <t>Open</t>
        </is>
      </c>
      <c r="G62" t="inlineStr">
        <is>
          <t>SEC</t>
        </is>
      </c>
      <c r="H62" t="inlineStr">
        <is>
          <t>SEC (امنیتی)</t>
        </is>
      </c>
      <c r="J62" t="inlineStr">
        <is>
          <t>SAJAK</t>
        </is>
      </c>
      <c r="K62" t="inlineStr">
        <is>
          <t>Tech_Sprint 45</t>
        </is>
      </c>
      <c r="M62" t="inlineStr">
        <is>
          <t>Zohari Sami</t>
        </is>
      </c>
      <c r="Q62" s="42" t="n">
        <v>46005.53923611111</v>
      </c>
      <c r="S62" t="n">
        <v>0</v>
      </c>
      <c r="T62" s="42" t="n">
        <v>46005.53923611111</v>
      </c>
      <c r="AA62" t="n">
        <v>0</v>
      </c>
      <c r="AD62" t="n">
        <v>2</v>
      </c>
      <c r="AE62" t="n">
        <v>2</v>
      </c>
      <c r="AF62" t="n">
        <v>0</v>
      </c>
      <c r="AI62" t="n">
        <v>0</v>
      </c>
      <c r="AJ62" t="n">
        <v>0</v>
      </c>
      <c r="AM62" t="n">
        <v>12</v>
      </c>
      <c r="AN62" t="n">
        <v>0</v>
      </c>
      <c r="AO62" t="n">
        <v>0</v>
      </c>
      <c r="AP62" t="n">
        <v>0</v>
      </c>
      <c r="AQ62" t="n">
        <v>24</v>
      </c>
      <c r="AR62" t="n">
        <v>0</v>
      </c>
    </row>
    <row r="63">
      <c r="A63" t="n">
        <v>200715</v>
      </c>
      <c r="B63" t="inlineStr">
        <is>
          <t>انکار سرویس از طریق تخصیص حافظه (DoS Allocation) در HttpRequestExtensions.cs</t>
        </is>
      </c>
      <c r="D63" t="inlineStr">
        <is>
          <t>Medium</t>
        </is>
      </c>
      <c r="E63" t="n">
        <v>2</v>
      </c>
      <c r="F63" t="inlineStr">
        <is>
          <t>Open</t>
        </is>
      </c>
      <c r="G63" t="inlineStr">
        <is>
          <t>SEC</t>
        </is>
      </c>
      <c r="H63" t="inlineStr">
        <is>
          <t>SEC (امنیتی)</t>
        </is>
      </c>
      <c r="J63" t="inlineStr">
        <is>
          <t>SAJAK</t>
        </is>
      </c>
      <c r="K63" t="inlineStr">
        <is>
          <t>Tech_Sprint 45</t>
        </is>
      </c>
      <c r="M63" t="inlineStr">
        <is>
          <t>Sayad Mehdi</t>
        </is>
      </c>
      <c r="Q63" s="42" t="n">
        <v>46005.65346064815</v>
      </c>
      <c r="S63" t="n">
        <v>0</v>
      </c>
      <c r="T63" s="42" t="n">
        <v>46005.65346064815</v>
      </c>
      <c r="AA63" t="n">
        <v>0</v>
      </c>
      <c r="AD63" t="n">
        <v>2</v>
      </c>
      <c r="AE63" t="n">
        <v>2</v>
      </c>
      <c r="AF63" t="n">
        <v>0</v>
      </c>
      <c r="AI63" t="n">
        <v>0</v>
      </c>
      <c r="AJ63" t="n">
        <v>0</v>
      </c>
      <c r="AM63" t="n">
        <v>12</v>
      </c>
      <c r="AN63" t="n">
        <v>0</v>
      </c>
      <c r="AO63" t="n">
        <v>0</v>
      </c>
      <c r="AP63" t="n">
        <v>0</v>
      </c>
      <c r="AQ63" t="n">
        <v>24</v>
      </c>
      <c r="AR63" t="n">
        <v>0</v>
      </c>
    </row>
    <row r="64">
      <c r="A64" t="n">
        <v>200720</v>
      </c>
      <c r="B64" t="inlineStr">
        <is>
          <t>الگوی خطرناک Sync-Over-Async  (Thread Starvation)</t>
        </is>
      </c>
      <c r="D64" t="inlineStr">
        <is>
          <t>Medium</t>
        </is>
      </c>
      <c r="E64" t="n">
        <v>3</v>
      </c>
      <c r="F64" t="inlineStr">
        <is>
          <t>Open</t>
        </is>
      </c>
      <c r="G64" t="inlineStr">
        <is>
          <t>SEC</t>
        </is>
      </c>
      <c r="H64" t="inlineStr">
        <is>
          <t>SEC (امنیتی)</t>
        </is>
      </c>
      <c r="J64" t="inlineStr">
        <is>
          <t>SAJAK</t>
        </is>
      </c>
      <c r="K64" t="inlineStr">
        <is>
          <t>Tech_Sprint 45</t>
        </is>
      </c>
      <c r="M64" t="inlineStr">
        <is>
          <t>Sayad Mehdi</t>
        </is>
      </c>
      <c r="Q64" s="42" t="n">
        <v>46005.65741898148</v>
      </c>
      <c r="S64" t="n">
        <v>0</v>
      </c>
      <c r="T64" s="42" t="n">
        <v>46005.65741898148</v>
      </c>
      <c r="AA64" t="n">
        <v>0</v>
      </c>
      <c r="AD64" t="n">
        <v>2</v>
      </c>
      <c r="AE64" t="n">
        <v>2</v>
      </c>
      <c r="AF64" t="n">
        <v>0</v>
      </c>
      <c r="AI64" t="n">
        <v>0</v>
      </c>
      <c r="AJ64" t="n">
        <v>0</v>
      </c>
      <c r="AM64" t="n">
        <v>12</v>
      </c>
      <c r="AN64" t="n">
        <v>0</v>
      </c>
      <c r="AO64" t="n">
        <v>0</v>
      </c>
      <c r="AP64" t="n">
        <v>0</v>
      </c>
      <c r="AQ64" t="n">
        <v>24</v>
      </c>
      <c r="AR64" t="n">
        <v>0</v>
      </c>
    </row>
    <row r="65">
      <c r="A65" t="n">
        <v>200759</v>
      </c>
      <c r="B65" t="inlineStr">
        <is>
          <t>افشای اطلاعات حساس در لاگ (Sensitive Data Exposure) از طریق کد RpkAuditingMiddleware</t>
        </is>
      </c>
      <c r="D65" t="inlineStr">
        <is>
          <t>Medium</t>
        </is>
      </c>
      <c r="E65" t="n">
        <v>1</v>
      </c>
      <c r="F65" t="inlineStr">
        <is>
          <t>Open</t>
        </is>
      </c>
      <c r="G65" t="inlineStr">
        <is>
          <t>SEC</t>
        </is>
      </c>
      <c r="H65" t="inlineStr">
        <is>
          <t>SEC (امنیتی)</t>
        </is>
      </c>
      <c r="J65" t="inlineStr">
        <is>
          <t>SAJAK</t>
        </is>
      </c>
      <c r="K65" t="inlineStr">
        <is>
          <t>Tech_Sprint 45</t>
        </is>
      </c>
      <c r="M65" t="inlineStr">
        <is>
          <t>Sayad Mehdi</t>
        </is>
      </c>
      <c r="Q65" s="42" t="n">
        <v>46005.68739583333</v>
      </c>
      <c r="S65" t="n">
        <v>0</v>
      </c>
      <c r="T65" s="42" t="n">
        <v>46005.68739583333</v>
      </c>
      <c r="AA65" t="n">
        <v>0</v>
      </c>
      <c r="AD65" t="n">
        <v>2</v>
      </c>
      <c r="AE65" t="n">
        <v>2</v>
      </c>
      <c r="AF65" t="n">
        <v>0</v>
      </c>
      <c r="AI65" t="n">
        <v>0</v>
      </c>
      <c r="AJ65" t="n">
        <v>0</v>
      </c>
      <c r="AM65" t="n">
        <v>12</v>
      </c>
      <c r="AN65" t="n">
        <v>0</v>
      </c>
      <c r="AO65" t="n">
        <v>0</v>
      </c>
      <c r="AP65" t="n">
        <v>0</v>
      </c>
      <c r="AQ65" t="n">
        <v>24</v>
      </c>
      <c r="AR65" t="n">
        <v>0</v>
      </c>
    </row>
    <row r="66">
      <c r="A66" t="n">
        <v>200805</v>
      </c>
      <c r="B66" t="inlineStr">
        <is>
          <t xml:space="preserve"> آسیب پذیری همزمانی و مدیریت حافظه (Race Condition)</t>
        </is>
      </c>
      <c r="D66" t="inlineStr">
        <is>
          <t>Medium</t>
        </is>
      </c>
      <c r="E66" t="n">
        <v>2</v>
      </c>
      <c r="F66" t="inlineStr">
        <is>
          <t>Open</t>
        </is>
      </c>
      <c r="G66" t="inlineStr">
        <is>
          <t>SEC</t>
        </is>
      </c>
      <c r="H66" t="inlineStr">
        <is>
          <t>SEC (امنیتی)</t>
        </is>
      </c>
      <c r="J66" t="inlineStr">
        <is>
          <t>SAJAK</t>
        </is>
      </c>
      <c r="K66" t="inlineStr">
        <is>
          <t>Tech_Sprint 45</t>
        </is>
      </c>
      <c r="M66" t="inlineStr">
        <is>
          <t>Sayad Mehdi</t>
        </is>
      </c>
      <c r="Q66" s="42" t="n">
        <v>46005.73637731482</v>
      </c>
      <c r="S66" t="n">
        <v>0</v>
      </c>
      <c r="T66" s="42" t="n">
        <v>46005.73637731482</v>
      </c>
      <c r="AA66" t="n">
        <v>0</v>
      </c>
      <c r="AD66" t="n">
        <v>2</v>
      </c>
      <c r="AE66" t="n">
        <v>2</v>
      </c>
      <c r="AF66" t="n">
        <v>0</v>
      </c>
      <c r="AI66" t="n">
        <v>0</v>
      </c>
      <c r="AJ66" t="n">
        <v>0</v>
      </c>
      <c r="AM66" t="n">
        <v>12</v>
      </c>
      <c r="AN66" t="n">
        <v>0</v>
      </c>
      <c r="AO66" t="n">
        <v>0</v>
      </c>
      <c r="AP66" t="n">
        <v>0</v>
      </c>
      <c r="AQ66" t="n">
        <v>24</v>
      </c>
      <c r="AR66" t="n">
        <v>0</v>
      </c>
    </row>
    <row r="67">
      <c r="A67" t="n">
        <v>201256</v>
      </c>
      <c r="B67" t="inlineStr">
        <is>
          <t>تزریق SQL در تولیدکننده شناسه (SQL Injection via Dynamic Table Name)</t>
        </is>
      </c>
      <c r="D67" t="inlineStr">
        <is>
          <t>Medium</t>
        </is>
      </c>
      <c r="E67" t="n">
        <v>1</v>
      </c>
      <c r="F67" t="inlineStr">
        <is>
          <t>Open</t>
        </is>
      </c>
      <c r="G67" t="inlineStr">
        <is>
          <t>SEC</t>
        </is>
      </c>
      <c r="H67" t="inlineStr">
        <is>
          <t>SEC (امنیتی)</t>
        </is>
      </c>
      <c r="J67" t="inlineStr">
        <is>
          <t>SAJAK</t>
        </is>
      </c>
      <c r="K67" t="inlineStr">
        <is>
          <t>Tech_Sprint 45</t>
        </is>
      </c>
      <c r="M67" t="inlineStr">
        <is>
          <t>Sayad Mehdi</t>
        </is>
      </c>
      <c r="Q67" s="42" t="n">
        <v>46007.74427083333</v>
      </c>
      <c r="S67" t="n">
        <v>0</v>
      </c>
      <c r="T67" s="42" t="n">
        <v>46007.74427083333</v>
      </c>
      <c r="AA67" t="n">
        <v>0</v>
      </c>
      <c r="AD67" t="n">
        <v>2</v>
      </c>
      <c r="AE67" t="n">
        <v>2</v>
      </c>
      <c r="AF67" t="n">
        <v>0</v>
      </c>
      <c r="AI67" t="n">
        <v>0</v>
      </c>
      <c r="AJ67" t="n">
        <v>0</v>
      </c>
      <c r="AM67" t="n">
        <v>10</v>
      </c>
      <c r="AN67" t="n">
        <v>0</v>
      </c>
      <c r="AO67" t="n">
        <v>0</v>
      </c>
      <c r="AP67" t="n">
        <v>0</v>
      </c>
      <c r="AQ67" t="n">
        <v>24</v>
      </c>
      <c r="AR67" t="n">
        <v>0</v>
      </c>
    </row>
    <row r="68">
      <c r="A68" t="n">
        <v>201261</v>
      </c>
      <c r="B68" t="inlineStr">
        <is>
          <t>مکانیزم امنیتی ناکارآمد اعتبارسنجی کوئری  (ValidateSql via Regex Blacklist)</t>
        </is>
      </c>
      <c r="D68" t="inlineStr">
        <is>
          <t>Medium</t>
        </is>
      </c>
      <c r="E68" t="n">
        <v>1</v>
      </c>
      <c r="F68" t="inlineStr">
        <is>
          <t>Open</t>
        </is>
      </c>
      <c r="G68" t="inlineStr">
        <is>
          <t>SEC</t>
        </is>
      </c>
      <c r="H68" t="inlineStr">
        <is>
          <t>SEC (امنیتی)</t>
        </is>
      </c>
      <c r="J68" t="inlineStr">
        <is>
          <t>SAJAK</t>
        </is>
      </c>
      <c r="K68" t="inlineStr">
        <is>
          <t>Tech_Sprint 45</t>
        </is>
      </c>
      <c r="M68" t="inlineStr">
        <is>
          <t>Sayad Mehdi</t>
        </is>
      </c>
      <c r="Q68" s="42" t="n">
        <v>46007.74778935185</v>
      </c>
      <c r="S68" t="n">
        <v>0</v>
      </c>
      <c r="T68" s="42" t="n">
        <v>46007.74778935185</v>
      </c>
      <c r="AA68" t="n">
        <v>0</v>
      </c>
      <c r="AD68" t="n">
        <v>2</v>
      </c>
      <c r="AE68" t="n">
        <v>2</v>
      </c>
      <c r="AF68" t="n">
        <v>0</v>
      </c>
      <c r="AI68" t="n">
        <v>0</v>
      </c>
      <c r="AJ68" t="n">
        <v>0</v>
      </c>
      <c r="AM68" t="n">
        <v>10</v>
      </c>
      <c r="AN68" t="n">
        <v>0</v>
      </c>
      <c r="AO68" t="n">
        <v>0</v>
      </c>
      <c r="AP68" t="n">
        <v>0</v>
      </c>
      <c r="AQ68" t="n">
        <v>24</v>
      </c>
      <c r="AR68" t="n">
        <v>0</v>
      </c>
    </row>
    <row r="69">
      <c r="A69" t="n">
        <v>201266</v>
      </c>
      <c r="B69" t="inlineStr">
        <is>
          <t>معماری ناامن و  تونل تزریق (Forced SQL Injection Design) درCentralOracleQueryConnector</t>
        </is>
      </c>
      <c r="D69" t="inlineStr">
        <is>
          <t>Medium</t>
        </is>
      </c>
      <c r="E69" t="n">
        <v>3</v>
      </c>
      <c r="F69" t="inlineStr">
        <is>
          <t>Open</t>
        </is>
      </c>
      <c r="G69" t="inlineStr">
        <is>
          <t>SEC</t>
        </is>
      </c>
      <c r="H69" t="inlineStr">
        <is>
          <t>SEC (امنیتی)</t>
        </is>
      </c>
      <c r="J69" t="inlineStr">
        <is>
          <t>SAJAK</t>
        </is>
      </c>
      <c r="K69" t="inlineStr">
        <is>
          <t>Tech_Sprint 45</t>
        </is>
      </c>
      <c r="M69" t="inlineStr">
        <is>
          <t>Sayad Mehdi</t>
        </is>
      </c>
      <c r="Q69" s="42" t="n">
        <v>46007.75194444445</v>
      </c>
      <c r="S69" t="n">
        <v>0</v>
      </c>
      <c r="T69" s="42" t="n">
        <v>46007.75194444445</v>
      </c>
      <c r="AA69" t="n">
        <v>0</v>
      </c>
      <c r="AD69" t="n">
        <v>2</v>
      </c>
      <c r="AE69" t="n">
        <v>2</v>
      </c>
      <c r="AF69" t="n">
        <v>0</v>
      </c>
      <c r="AI69" t="n">
        <v>0</v>
      </c>
      <c r="AJ69" t="n">
        <v>0</v>
      </c>
      <c r="AM69" t="n">
        <v>10</v>
      </c>
      <c r="AN69" t="n">
        <v>0</v>
      </c>
      <c r="AO69" t="n">
        <v>0</v>
      </c>
      <c r="AP69" t="n">
        <v>0</v>
      </c>
      <c r="AQ69" t="n">
        <v>24</v>
      </c>
      <c r="AR69" t="n">
        <v>0</v>
      </c>
    </row>
    <row r="70">
      <c r="A70" t="n">
        <v>201271</v>
      </c>
      <c r="B70" t="inlineStr">
        <is>
          <t>معماری ناامن تونل تزریق sql در GenericDataService</t>
        </is>
      </c>
      <c r="D70" t="inlineStr">
        <is>
          <t>Medium</t>
        </is>
      </c>
      <c r="E70" t="n">
        <v>3</v>
      </c>
      <c r="F70" t="inlineStr">
        <is>
          <t>Open</t>
        </is>
      </c>
      <c r="G70" t="inlineStr">
        <is>
          <t>SEC</t>
        </is>
      </c>
      <c r="H70" t="inlineStr">
        <is>
          <t>SEC (امنیتی)</t>
        </is>
      </c>
      <c r="J70" t="inlineStr">
        <is>
          <t>SAJAK</t>
        </is>
      </c>
      <c r="K70" t="inlineStr">
        <is>
          <t>Tech_Sprint 45</t>
        </is>
      </c>
      <c r="M70" t="inlineStr">
        <is>
          <t>Sayad Mehdi</t>
        </is>
      </c>
      <c r="Q70" s="42" t="n">
        <v>46007.75465277778</v>
      </c>
      <c r="S70" t="n">
        <v>0</v>
      </c>
      <c r="T70" s="42" t="n">
        <v>46007.75465277778</v>
      </c>
      <c r="AA70" t="n">
        <v>0</v>
      </c>
      <c r="AD70" t="n">
        <v>2</v>
      </c>
      <c r="AE70" t="n">
        <v>2</v>
      </c>
      <c r="AF70" t="n">
        <v>0</v>
      </c>
      <c r="AI70" t="n">
        <v>0</v>
      </c>
      <c r="AJ70" t="n">
        <v>0</v>
      </c>
      <c r="AM70" t="n">
        <v>10</v>
      </c>
      <c r="AN70" t="n">
        <v>0</v>
      </c>
      <c r="AO70" t="n">
        <v>0</v>
      </c>
      <c r="AP70" t="n">
        <v>0</v>
      </c>
      <c r="AQ70" t="n">
        <v>24</v>
      </c>
      <c r="AR70" t="n">
        <v>0</v>
      </c>
    </row>
    <row r="71">
      <c r="A71" t="n">
        <v>201280</v>
      </c>
      <c r="B71" t="inlineStr">
        <is>
          <t>ارسال ناامن اعتبارنامه‌ها (Insecure Credential Transmission)</t>
        </is>
      </c>
      <c r="D71" t="inlineStr">
        <is>
          <t>Medium</t>
        </is>
      </c>
      <c r="E71" t="n">
        <v>3</v>
      </c>
      <c r="F71" t="inlineStr">
        <is>
          <t>Open</t>
        </is>
      </c>
      <c r="G71" t="inlineStr">
        <is>
          <t>SEC</t>
        </is>
      </c>
      <c r="H71" t="inlineStr">
        <is>
          <t>SEC (امنیتی)</t>
        </is>
      </c>
      <c r="J71" t="inlineStr">
        <is>
          <t>SAJAK</t>
        </is>
      </c>
      <c r="K71" t="inlineStr">
        <is>
          <t>Tech_Sprint 45</t>
        </is>
      </c>
      <c r="M71" t="inlineStr">
        <is>
          <t>Sayad Mehdi</t>
        </is>
      </c>
      <c r="Q71" s="42" t="n">
        <v>46007.76611111111</v>
      </c>
      <c r="S71" t="n">
        <v>0</v>
      </c>
      <c r="T71" s="42" t="n">
        <v>46007.76611111111</v>
      </c>
      <c r="AA71" t="n">
        <v>0</v>
      </c>
      <c r="AD71" t="n">
        <v>2</v>
      </c>
      <c r="AE71" t="n">
        <v>2</v>
      </c>
      <c r="AF71" t="n">
        <v>0</v>
      </c>
      <c r="AI71" t="n">
        <v>0</v>
      </c>
      <c r="AJ71" t="n">
        <v>0</v>
      </c>
      <c r="AM71" t="n">
        <v>10</v>
      </c>
      <c r="AN71" t="n">
        <v>0</v>
      </c>
      <c r="AO71" t="n">
        <v>0</v>
      </c>
      <c r="AP71" t="n">
        <v>0</v>
      </c>
      <c r="AQ71" t="n">
        <v>24</v>
      </c>
      <c r="AR71" t="n">
        <v>0</v>
      </c>
    </row>
    <row r="72">
      <c r="A72" t="n">
        <v>200945</v>
      </c>
      <c r="B72" t="inlineStr">
        <is>
          <t>آسیب پذیری دورزدن زمان انقضای توکن  (Expiration Logic Flaw)</t>
        </is>
      </c>
      <c r="D72" t="inlineStr">
        <is>
          <t>Medium</t>
        </is>
      </c>
      <c r="E72" t="n">
        <v>2</v>
      </c>
      <c r="F72" t="inlineStr">
        <is>
          <t>Open</t>
        </is>
      </c>
      <c r="G72" t="inlineStr">
        <is>
          <t>SEC</t>
        </is>
      </c>
      <c r="H72" t="inlineStr">
        <is>
          <t>SEC (امنیتی)</t>
        </is>
      </c>
      <c r="J72" t="inlineStr">
        <is>
          <t>SAJAK</t>
        </is>
      </c>
      <c r="K72" t="inlineStr">
        <is>
          <t>Tech_Sprint 45</t>
        </is>
      </c>
      <c r="M72" t="inlineStr">
        <is>
          <t>Sayad Mehdi</t>
        </is>
      </c>
      <c r="Q72" s="42" t="n">
        <v>46006.70293981482</v>
      </c>
      <c r="S72" t="n">
        <v>0</v>
      </c>
      <c r="T72" s="42" t="n">
        <v>46006.70293981482</v>
      </c>
      <c r="AA72" t="n">
        <v>0</v>
      </c>
      <c r="AD72" t="n">
        <v>2</v>
      </c>
      <c r="AE72" t="n">
        <v>2</v>
      </c>
      <c r="AF72" t="n">
        <v>0</v>
      </c>
      <c r="AI72" t="n">
        <v>0</v>
      </c>
      <c r="AJ72" t="n">
        <v>0</v>
      </c>
      <c r="AM72" t="n">
        <v>11</v>
      </c>
      <c r="AN72" t="n">
        <v>0</v>
      </c>
      <c r="AO72" t="n">
        <v>0</v>
      </c>
      <c r="AP72" t="n">
        <v>0</v>
      </c>
      <c r="AQ72" t="n">
        <v>24</v>
      </c>
      <c r="AR72" t="n">
        <v>0</v>
      </c>
    </row>
    <row r="73">
      <c r="A73" t="n">
        <v>200917</v>
      </c>
      <c r="B73" t="inlineStr">
        <is>
          <t>آسیب‌پذیری Blind Proxy و دور زدن اعتبارسنجی (SSRF/Logic Bypass)</t>
        </is>
      </c>
      <c r="D73" t="inlineStr">
        <is>
          <t>Medium</t>
        </is>
      </c>
      <c r="E73" t="n">
        <v>2</v>
      </c>
      <c r="F73" t="inlineStr">
        <is>
          <t>Open</t>
        </is>
      </c>
      <c r="G73" t="inlineStr">
        <is>
          <t>SEC</t>
        </is>
      </c>
      <c r="H73" t="inlineStr">
        <is>
          <t>SEC (امنیتی)</t>
        </is>
      </c>
      <c r="J73" t="inlineStr">
        <is>
          <t>SAJAK</t>
        </is>
      </c>
      <c r="K73" t="inlineStr">
        <is>
          <t>Tech_Sprint 45</t>
        </is>
      </c>
      <c r="M73" t="inlineStr">
        <is>
          <t>Zohari Sami</t>
        </is>
      </c>
      <c r="Q73" s="42" t="n">
        <v>46006.65462962963</v>
      </c>
      <c r="S73" t="n">
        <v>0</v>
      </c>
      <c r="T73" s="42" t="n">
        <v>46006.65462962963</v>
      </c>
      <c r="AA73" t="n">
        <v>0</v>
      </c>
      <c r="AD73" t="n">
        <v>2</v>
      </c>
      <c r="AE73" t="n">
        <v>2</v>
      </c>
      <c r="AF73" t="n">
        <v>0</v>
      </c>
      <c r="AI73" t="n">
        <v>0</v>
      </c>
      <c r="AJ73" t="n">
        <v>0</v>
      </c>
      <c r="AM73" t="n">
        <v>11</v>
      </c>
      <c r="AN73" t="n">
        <v>0</v>
      </c>
      <c r="AO73" t="n">
        <v>0</v>
      </c>
      <c r="AP73" t="n">
        <v>0</v>
      </c>
      <c r="AQ73" t="n">
        <v>24</v>
      </c>
      <c r="AR73" t="n">
        <v>0</v>
      </c>
    </row>
    <row r="74">
      <c r="A74" t="n">
        <v>200920</v>
      </c>
      <c r="B74" t="inlineStr">
        <is>
          <t>مدیریت استثنای ناامن (Insecure Exception Handling)</t>
        </is>
      </c>
      <c r="D74" t="inlineStr">
        <is>
          <t>Medium</t>
        </is>
      </c>
      <c r="E74" t="n">
        <v>3</v>
      </c>
      <c r="F74" t="inlineStr">
        <is>
          <t>Open</t>
        </is>
      </c>
      <c r="G74" t="inlineStr">
        <is>
          <t>SEC</t>
        </is>
      </c>
      <c r="H74" t="inlineStr">
        <is>
          <t>SEC (امنیتی)</t>
        </is>
      </c>
      <c r="J74" t="inlineStr">
        <is>
          <t>SAJAK</t>
        </is>
      </c>
      <c r="K74" t="inlineStr">
        <is>
          <t>Tech_Sprint 45</t>
        </is>
      </c>
      <c r="M74" t="inlineStr">
        <is>
          <t>Zohari Sami</t>
        </is>
      </c>
      <c r="Q74" s="42" t="n">
        <v>46006.66039351852</v>
      </c>
      <c r="S74" t="n">
        <v>0</v>
      </c>
      <c r="T74" s="42" t="n">
        <v>46006.66039351852</v>
      </c>
      <c r="AA74" t="n">
        <v>0</v>
      </c>
      <c r="AD74" t="n">
        <v>2</v>
      </c>
      <c r="AE74" t="n">
        <v>2</v>
      </c>
      <c r="AF74" t="n">
        <v>0</v>
      </c>
      <c r="AI74" t="n">
        <v>0</v>
      </c>
      <c r="AJ74" t="n">
        <v>0</v>
      </c>
      <c r="AM74" t="n">
        <v>11</v>
      </c>
      <c r="AN74" t="n">
        <v>0</v>
      </c>
      <c r="AO74" t="n">
        <v>0</v>
      </c>
      <c r="AP74" t="n">
        <v>0</v>
      </c>
      <c r="AQ74" t="n">
        <v>24</v>
      </c>
      <c r="AR74" t="n">
        <v>0</v>
      </c>
    </row>
    <row r="75">
      <c r="A75" t="n">
        <v>200359</v>
      </c>
      <c r="B75" t="inlineStr">
        <is>
          <t>ضعف در نسخه بندی API</t>
        </is>
      </c>
      <c r="D75" t="inlineStr">
        <is>
          <t>Medium</t>
        </is>
      </c>
      <c r="E75" t="n">
        <v>3</v>
      </c>
      <c r="F75" t="inlineStr">
        <is>
          <t>Open</t>
        </is>
      </c>
      <c r="G75" t="inlineStr">
        <is>
          <t>SEC</t>
        </is>
      </c>
      <c r="H75" t="inlineStr">
        <is>
          <t>SEC (امنیتی)</t>
        </is>
      </c>
      <c r="J75" t="inlineStr">
        <is>
          <t>SAJAK</t>
        </is>
      </c>
      <c r="K75" t="inlineStr">
        <is>
          <t>Tech_Sprint 45</t>
        </is>
      </c>
      <c r="M75" t="inlineStr">
        <is>
          <t>Zohari Sami</t>
        </is>
      </c>
      <c r="Q75" s="42" t="n">
        <v>46001.80273148148</v>
      </c>
      <c r="S75" t="n">
        <v>0</v>
      </c>
      <c r="T75" s="42" t="n">
        <v>46001.80273148148</v>
      </c>
      <c r="AA75" t="n">
        <v>0</v>
      </c>
      <c r="AD75" t="n">
        <v>2</v>
      </c>
      <c r="AE75" t="n">
        <v>2</v>
      </c>
      <c r="AF75" t="n">
        <v>0</v>
      </c>
      <c r="AI75" t="n">
        <v>0</v>
      </c>
      <c r="AJ75" t="n">
        <v>0</v>
      </c>
      <c r="AM75" t="n">
        <v>16</v>
      </c>
      <c r="AN75" t="n">
        <v>0</v>
      </c>
      <c r="AO75" t="n">
        <v>0</v>
      </c>
      <c r="AP75" t="n">
        <v>0</v>
      </c>
      <c r="AQ75" t="n">
        <v>24</v>
      </c>
      <c r="AR75" t="n">
        <v>0</v>
      </c>
    </row>
    <row r="76">
      <c r="A76" t="n">
        <v>200360</v>
      </c>
      <c r="B76" t="inlineStr">
        <is>
          <t>شکست در اعتبارسنجی SSL (MITM Vulnerability)</t>
        </is>
      </c>
      <c r="D76" t="inlineStr">
        <is>
          <t>Medium</t>
        </is>
      </c>
      <c r="E76" t="n">
        <v>1</v>
      </c>
      <c r="F76" t="inlineStr">
        <is>
          <t>Open</t>
        </is>
      </c>
      <c r="G76" t="inlineStr">
        <is>
          <t>SEC</t>
        </is>
      </c>
      <c r="H76" t="inlineStr">
        <is>
          <t>SEC (امنیتی)</t>
        </is>
      </c>
      <c r="J76" t="inlineStr">
        <is>
          <t>SAJAK</t>
        </is>
      </c>
      <c r="K76" t="inlineStr">
        <is>
          <t>Tech_Sprint 45</t>
        </is>
      </c>
      <c r="M76" t="inlineStr">
        <is>
          <t>Zohari Sami</t>
        </is>
      </c>
      <c r="Q76" s="42" t="n">
        <v>46001.80832175926</v>
      </c>
      <c r="S76" t="n">
        <v>0</v>
      </c>
      <c r="T76" s="42" t="n">
        <v>46001.80832175926</v>
      </c>
      <c r="AA76" t="n">
        <v>0</v>
      </c>
      <c r="AD76" t="n">
        <v>2</v>
      </c>
      <c r="AE76" t="n">
        <v>2</v>
      </c>
      <c r="AF76" t="n">
        <v>0</v>
      </c>
      <c r="AI76" t="n">
        <v>0</v>
      </c>
      <c r="AJ76" t="n">
        <v>0</v>
      </c>
      <c r="AM76" t="n">
        <v>16</v>
      </c>
      <c r="AN76" t="n">
        <v>0</v>
      </c>
      <c r="AO76" t="n">
        <v>0</v>
      </c>
      <c r="AP76" t="n">
        <v>0</v>
      </c>
      <c r="AQ76" t="n">
        <v>24</v>
      </c>
      <c r="AR76" t="n">
        <v>0</v>
      </c>
    </row>
    <row r="77">
      <c r="A77" t="n">
        <v>200361</v>
      </c>
      <c r="B77" t="inlineStr">
        <is>
          <t>افشای اطلاعات حساس (سورس کد) در داکر  - دایرکتوری Git</t>
        </is>
      </c>
      <c r="D77" t="inlineStr">
        <is>
          <t>Medium</t>
        </is>
      </c>
      <c r="E77" t="n">
        <v>3</v>
      </c>
      <c r="F77" t="inlineStr">
        <is>
          <t>Open</t>
        </is>
      </c>
      <c r="G77" t="inlineStr">
        <is>
          <t>SEC</t>
        </is>
      </c>
      <c r="H77" t="inlineStr">
        <is>
          <t>SEC (امنیتی)</t>
        </is>
      </c>
      <c r="J77" t="inlineStr">
        <is>
          <t>SAJAK</t>
        </is>
      </c>
      <c r="K77" t="inlineStr">
        <is>
          <t>Tech_Sprint 45</t>
        </is>
      </c>
      <c r="M77" t="inlineStr">
        <is>
          <t>Zohari Sami</t>
        </is>
      </c>
      <c r="Q77" s="42" t="n">
        <v>46001.81121527778</v>
      </c>
      <c r="S77" t="n">
        <v>0</v>
      </c>
      <c r="T77" s="42" t="n">
        <v>46001.81121527778</v>
      </c>
      <c r="AA77" t="n">
        <v>0</v>
      </c>
      <c r="AD77" t="n">
        <v>2</v>
      </c>
      <c r="AE77" t="n">
        <v>2</v>
      </c>
      <c r="AF77" t="n">
        <v>0</v>
      </c>
      <c r="AI77" t="n">
        <v>0</v>
      </c>
      <c r="AJ77" t="n">
        <v>0</v>
      </c>
      <c r="AM77" t="n">
        <v>16</v>
      </c>
      <c r="AN77" t="n">
        <v>0</v>
      </c>
      <c r="AO77" t="n">
        <v>0</v>
      </c>
      <c r="AP77" t="n">
        <v>0</v>
      </c>
      <c r="AQ77" t="n">
        <v>24</v>
      </c>
      <c r="AR77" t="n">
        <v>0</v>
      </c>
    </row>
    <row r="78">
      <c r="A78" t="n">
        <v>200362</v>
      </c>
      <c r="B78" t="inlineStr">
        <is>
          <t>استفاده از پکیج منسوخ/آسیب پذیر System.Data.SqlClient</t>
        </is>
      </c>
      <c r="D78" t="inlineStr">
        <is>
          <t>Medium</t>
        </is>
      </c>
      <c r="E78" t="n">
        <v>2</v>
      </c>
      <c r="F78" t="inlineStr">
        <is>
          <t>Open</t>
        </is>
      </c>
      <c r="G78" t="inlineStr">
        <is>
          <t>SEC</t>
        </is>
      </c>
      <c r="H78" t="inlineStr">
        <is>
          <t>SEC (امنیتی)</t>
        </is>
      </c>
      <c r="J78" t="inlineStr">
        <is>
          <t>SAJAK</t>
        </is>
      </c>
      <c r="K78" t="inlineStr">
        <is>
          <t>Tech_Sprint 45</t>
        </is>
      </c>
      <c r="M78" t="inlineStr">
        <is>
          <t>Zohari Sami</t>
        </is>
      </c>
      <c r="Q78" s="42" t="n">
        <v>46001.81384259259</v>
      </c>
      <c r="S78" t="n">
        <v>0</v>
      </c>
      <c r="T78" s="42" t="n">
        <v>46001.81384259259</v>
      </c>
      <c r="AA78" t="n">
        <v>0</v>
      </c>
      <c r="AD78" t="n">
        <v>2</v>
      </c>
      <c r="AE78" t="n">
        <v>2</v>
      </c>
      <c r="AF78" t="n">
        <v>0</v>
      </c>
      <c r="AI78" t="n">
        <v>0</v>
      </c>
      <c r="AJ78" t="n">
        <v>0</v>
      </c>
      <c r="AM78" t="n">
        <v>16</v>
      </c>
      <c r="AN78" t="n">
        <v>0</v>
      </c>
      <c r="AO78" t="n">
        <v>0</v>
      </c>
      <c r="AP78" t="n">
        <v>0</v>
      </c>
      <c r="AQ78" t="n">
        <v>24</v>
      </c>
      <c r="AR78" t="n">
        <v>0</v>
      </c>
    </row>
    <row r="79">
      <c r="A79" t="n">
        <v>200363</v>
      </c>
      <c r="B79" t="inlineStr">
        <is>
          <t>استفاده از پکیج منسوخ/آسیب پذیر Newtonsoft.Json</t>
        </is>
      </c>
      <c r="D79" t="inlineStr">
        <is>
          <t>Medium</t>
        </is>
      </c>
      <c r="E79" t="n">
        <v>2</v>
      </c>
      <c r="F79" t="inlineStr">
        <is>
          <t>Open</t>
        </is>
      </c>
      <c r="G79" t="inlineStr">
        <is>
          <t>SEC</t>
        </is>
      </c>
      <c r="H79" t="inlineStr">
        <is>
          <t>SEC (امنیتی)</t>
        </is>
      </c>
      <c r="J79" t="inlineStr">
        <is>
          <t>SAJAK</t>
        </is>
      </c>
      <c r="K79" t="inlineStr">
        <is>
          <t>Tech_Sprint 45</t>
        </is>
      </c>
      <c r="M79" t="inlineStr">
        <is>
          <t>Zohari Sami</t>
        </is>
      </c>
      <c r="Q79" s="42" t="n">
        <v>46001.81575231482</v>
      </c>
      <c r="S79" t="n">
        <v>0</v>
      </c>
      <c r="T79" s="42" t="n">
        <v>46001.81575231482</v>
      </c>
      <c r="AA79" t="n">
        <v>0</v>
      </c>
      <c r="AD79" t="n">
        <v>2</v>
      </c>
      <c r="AE79" t="n">
        <v>2</v>
      </c>
      <c r="AF79" t="n">
        <v>0</v>
      </c>
      <c r="AI79" t="n">
        <v>0</v>
      </c>
      <c r="AJ79" t="n">
        <v>0</v>
      </c>
      <c r="AM79" t="n">
        <v>16</v>
      </c>
      <c r="AN79" t="n">
        <v>0</v>
      </c>
      <c r="AO79" t="n">
        <v>0</v>
      </c>
      <c r="AP79" t="n">
        <v>0</v>
      </c>
      <c r="AQ79" t="n">
        <v>24</v>
      </c>
      <c r="AR79" t="n">
        <v>0</v>
      </c>
    </row>
    <row r="80">
      <c r="A80" t="n">
        <v>197550</v>
      </c>
      <c r="B80" t="inlineStr">
        <is>
          <t>صفحه ثبت اطلاعات مجوز: امکان ثبت تاریخ تمدید نامعتبر و نمایش نشانگر اجباری برای فیلد غیراجباری</t>
        </is>
      </c>
      <c r="D80" t="inlineStr">
        <is>
          <t>Medium</t>
        </is>
      </c>
      <c r="E80" t="n">
        <v>3</v>
      </c>
      <c r="F80" t="inlineStr">
        <is>
          <t>Open</t>
        </is>
      </c>
      <c r="G80" t="inlineStr">
        <is>
          <t>TBD</t>
        </is>
      </c>
      <c r="H80" t="inlineStr">
        <is>
          <t>TBD(نامشخص)</t>
        </is>
      </c>
      <c r="J80" t="inlineStr">
        <is>
          <t>Quality Assurance</t>
        </is>
      </c>
      <c r="K80" t="inlineStr">
        <is>
          <t>Sprint Azar 1404</t>
        </is>
      </c>
      <c r="M80" t="inlineStr">
        <is>
          <t>Roohi Jamshid</t>
        </is>
      </c>
      <c r="Q80" s="42" t="n">
        <v>46018.43947916666</v>
      </c>
      <c r="S80" t="n">
        <v>0</v>
      </c>
      <c r="T80" s="42" t="n">
        <v>46018.43947916666</v>
      </c>
      <c r="AA80" t="n">
        <v>0</v>
      </c>
      <c r="AD80" t="n">
        <v>2</v>
      </c>
      <c r="AE80" t="n">
        <v>2</v>
      </c>
      <c r="AF80" t="n">
        <v>0</v>
      </c>
      <c r="AI80" t="n">
        <v>0</v>
      </c>
      <c r="AJ80" t="n">
        <v>0</v>
      </c>
      <c r="AM80" t="n">
        <v>-1</v>
      </c>
      <c r="AN80" t="n">
        <v>0</v>
      </c>
      <c r="AO80" t="n">
        <v>0</v>
      </c>
      <c r="AP80" t="n">
        <v>0</v>
      </c>
      <c r="AQ80" t="n">
        <v>24</v>
      </c>
      <c r="AR80" t="n">
        <v>0</v>
      </c>
    </row>
    <row r="81">
      <c r="A81" t="n">
        <v>197551</v>
      </c>
      <c r="B81" t="inlineStr">
        <is>
          <t>صفحه مجوزها: امکان ثبت نوع مجوز تکراری با تاریخ صدور یکسان و ثبت تاریخ تمدید نامعتبر</t>
        </is>
      </c>
      <c r="D81" t="inlineStr">
        <is>
          <t>Medium</t>
        </is>
      </c>
      <c r="E81" t="n">
        <v>3</v>
      </c>
      <c r="F81" t="inlineStr">
        <is>
          <t>Open</t>
        </is>
      </c>
      <c r="G81" t="inlineStr">
        <is>
          <t>TBD</t>
        </is>
      </c>
      <c r="H81" t="inlineStr">
        <is>
          <t>TBD(نامشخص)</t>
        </is>
      </c>
      <c r="J81" t="inlineStr">
        <is>
          <t>Quality Assurance</t>
        </is>
      </c>
      <c r="K81" t="inlineStr">
        <is>
          <t>Sprint Azar 1404</t>
        </is>
      </c>
      <c r="M81" t="inlineStr">
        <is>
          <t>Roohi Jamshid</t>
        </is>
      </c>
      <c r="Q81" s="42" t="n">
        <v>46018.43898148148</v>
      </c>
      <c r="S81" t="n">
        <v>0</v>
      </c>
      <c r="T81" s="42" t="n">
        <v>46018.43898148148</v>
      </c>
      <c r="AA81" t="n">
        <v>0</v>
      </c>
      <c r="AD81" t="n">
        <v>2</v>
      </c>
      <c r="AE81" t="n">
        <v>2</v>
      </c>
      <c r="AF81" t="n">
        <v>0</v>
      </c>
      <c r="AI81" t="n">
        <v>0</v>
      </c>
      <c r="AJ81" t="n">
        <v>0</v>
      </c>
      <c r="AM81" t="n">
        <v>-1</v>
      </c>
      <c r="AN81" t="n">
        <v>0</v>
      </c>
      <c r="AO81" t="n">
        <v>0</v>
      </c>
      <c r="AP81" t="n">
        <v>0</v>
      </c>
      <c r="AQ81" t="n">
        <v>24</v>
      </c>
      <c r="AR81" t="n">
        <v>0</v>
      </c>
    </row>
    <row r="82">
      <c r="A82" t="n">
        <v>197552</v>
      </c>
      <c r="B82" t="inlineStr">
        <is>
          <t>صفحه ثبت اطلاعات شرکا: لیست کمبو باکس پس از ثبت مشتری جدید، بدون نیاز به رفرش دستی به‌روزرسانی نمی‌شود</t>
        </is>
      </c>
      <c r="D82" t="inlineStr">
        <is>
          <t>Medium</t>
        </is>
      </c>
      <c r="E82" t="n">
        <v>2</v>
      </c>
      <c r="F82" t="inlineStr">
        <is>
          <t>Open</t>
        </is>
      </c>
      <c r="G82" t="inlineStr">
        <is>
          <t>TBD</t>
        </is>
      </c>
      <c r="H82" t="inlineStr">
        <is>
          <t>TBD(نامشخص)</t>
        </is>
      </c>
      <c r="J82" t="inlineStr">
        <is>
          <t>Quality Assurance</t>
        </is>
      </c>
      <c r="K82" t="inlineStr">
        <is>
          <t>Sprint Azar 1404</t>
        </is>
      </c>
      <c r="M82" t="inlineStr">
        <is>
          <t>Roohi Jamshid</t>
        </is>
      </c>
      <c r="Q82" s="42" t="n">
        <v>46018.43853009259</v>
      </c>
      <c r="S82" t="n">
        <v>0</v>
      </c>
      <c r="T82" s="42" t="n">
        <v>46018.43853009259</v>
      </c>
      <c r="AA82" t="n">
        <v>0</v>
      </c>
      <c r="AD82" t="n">
        <v>2</v>
      </c>
      <c r="AE82" t="n">
        <v>2</v>
      </c>
      <c r="AF82" t="n">
        <v>0</v>
      </c>
      <c r="AI82" t="n">
        <v>0</v>
      </c>
      <c r="AJ82" t="n">
        <v>0</v>
      </c>
      <c r="AM82" t="n">
        <v>-1</v>
      </c>
      <c r="AN82" t="n">
        <v>0</v>
      </c>
      <c r="AO82" t="n">
        <v>0</v>
      </c>
      <c r="AP82" t="n">
        <v>0</v>
      </c>
      <c r="AQ82" t="n">
        <v>24</v>
      </c>
      <c r="AR82" t="n">
        <v>0</v>
      </c>
    </row>
    <row r="83">
      <c r="A83" t="n">
        <v>197553</v>
      </c>
      <c r="B83" t="inlineStr">
        <is>
          <t>صفحه ثبت اطلاعات آدرس: امکان ثبت تکراری آدرس با اطلاعات یکسان برای یک مشتری</t>
        </is>
      </c>
      <c r="D83" t="inlineStr">
        <is>
          <t>Medium</t>
        </is>
      </c>
      <c r="E83" t="n">
        <v>3</v>
      </c>
      <c r="F83" t="inlineStr">
        <is>
          <t>Open</t>
        </is>
      </c>
      <c r="G83" t="inlineStr">
        <is>
          <t>TBD</t>
        </is>
      </c>
      <c r="H83" t="inlineStr">
        <is>
          <t>TBD(نامشخص)</t>
        </is>
      </c>
      <c r="J83" t="inlineStr">
        <is>
          <t>Quality Assurance</t>
        </is>
      </c>
      <c r="K83" t="inlineStr">
        <is>
          <t>Sprint Azar 1404</t>
        </is>
      </c>
      <c r="M83" t="inlineStr">
        <is>
          <t>Roohi Jamshid</t>
        </is>
      </c>
      <c r="Q83" s="42" t="n">
        <v>46018.43825231482</v>
      </c>
      <c r="S83" t="n">
        <v>0</v>
      </c>
      <c r="T83" s="42" t="n">
        <v>46018.43825231482</v>
      </c>
      <c r="AA83" t="n">
        <v>0</v>
      </c>
      <c r="AD83" t="n">
        <v>2</v>
      </c>
      <c r="AE83" t="n">
        <v>2</v>
      </c>
      <c r="AF83" t="n">
        <v>0</v>
      </c>
      <c r="AI83" t="n">
        <v>0</v>
      </c>
      <c r="AJ83" t="n">
        <v>0</v>
      </c>
      <c r="AM83" t="n">
        <v>-1</v>
      </c>
      <c r="AN83" t="n">
        <v>0</v>
      </c>
      <c r="AO83" t="n">
        <v>0</v>
      </c>
      <c r="AP83" t="n">
        <v>0</v>
      </c>
      <c r="AQ83" t="n">
        <v>24</v>
      </c>
      <c r="AR83" t="n">
        <v>0</v>
      </c>
    </row>
    <row r="84">
      <c r="A84" t="n">
        <v>197554</v>
      </c>
      <c r="B84" t="inlineStr">
        <is>
          <t>صفحه اسناد و مدارک پرونده: داده‌های سند حذف‌شده از لیست، باعث خطای اعتبارسنجی در هنگام ثبت می‌شوند</t>
        </is>
      </c>
      <c r="D84" t="inlineStr">
        <is>
          <t>Medium</t>
        </is>
      </c>
      <c r="E84" t="n">
        <v>2</v>
      </c>
      <c r="F84" t="inlineStr">
        <is>
          <t>Open</t>
        </is>
      </c>
      <c r="G84" t="inlineStr">
        <is>
          <t>TBD</t>
        </is>
      </c>
      <c r="H84" t="inlineStr">
        <is>
          <t>TBD(نامشخص)</t>
        </is>
      </c>
      <c r="J84" t="inlineStr">
        <is>
          <t>Quality Assurance</t>
        </is>
      </c>
      <c r="K84" t="inlineStr">
        <is>
          <t>Sprint Azar 1404</t>
        </is>
      </c>
      <c r="M84" t="inlineStr">
        <is>
          <t>Roohi Jamshid</t>
        </is>
      </c>
      <c r="Q84" s="42" t="n">
        <v>46018.43778935185</v>
      </c>
      <c r="S84" t="n">
        <v>0</v>
      </c>
      <c r="T84" s="42" t="n">
        <v>46018.43778935185</v>
      </c>
      <c r="AA84" t="n">
        <v>0</v>
      </c>
      <c r="AD84" t="n">
        <v>2</v>
      </c>
      <c r="AE84" t="n">
        <v>2</v>
      </c>
      <c r="AF84" t="n">
        <v>0</v>
      </c>
      <c r="AI84" t="n">
        <v>0</v>
      </c>
      <c r="AJ84" t="n">
        <v>0</v>
      </c>
      <c r="AM84" t="n">
        <v>-1</v>
      </c>
      <c r="AN84" t="n">
        <v>0</v>
      </c>
      <c r="AO84" t="n">
        <v>0</v>
      </c>
      <c r="AP84" t="n">
        <v>0</v>
      </c>
      <c r="AQ84" t="n">
        <v>24</v>
      </c>
      <c r="AR84" t="n">
        <v>0</v>
      </c>
    </row>
    <row r="85">
      <c r="A85" t="n">
        <v>197556</v>
      </c>
      <c r="B85" t="inlineStr">
        <is>
          <t>ثبت وثیقه در عقد: امکان ثبت تکراری یک نوع وثیقه با درصدهای جزئی تا رسیدن به 100درصد</t>
        </is>
      </c>
      <c r="D85" t="inlineStr">
        <is>
          <t>Medium</t>
        </is>
      </c>
      <c r="E85" t="n">
        <v>3</v>
      </c>
      <c r="F85" t="inlineStr">
        <is>
          <t>Open</t>
        </is>
      </c>
      <c r="G85" t="inlineStr">
        <is>
          <t>TBD</t>
        </is>
      </c>
      <c r="H85" t="inlineStr">
        <is>
          <t>TBD(نامشخص)</t>
        </is>
      </c>
      <c r="J85" t="inlineStr">
        <is>
          <t>Quality Assurance</t>
        </is>
      </c>
      <c r="K85" t="inlineStr">
        <is>
          <t>Sprint Azar 1404</t>
        </is>
      </c>
      <c r="M85" t="inlineStr">
        <is>
          <t>Roohi Jamshid</t>
        </is>
      </c>
      <c r="Q85" s="42" t="n">
        <v>46018.43712962963</v>
      </c>
      <c r="S85" t="n">
        <v>0</v>
      </c>
      <c r="T85" s="42" t="n">
        <v>46018.43712962963</v>
      </c>
      <c r="AA85" t="n">
        <v>0</v>
      </c>
      <c r="AD85" t="n">
        <v>2</v>
      </c>
      <c r="AE85" t="n">
        <v>2</v>
      </c>
      <c r="AF85" t="n">
        <v>0</v>
      </c>
      <c r="AI85" t="n">
        <v>0</v>
      </c>
      <c r="AJ85" t="n">
        <v>0</v>
      </c>
      <c r="AM85" t="n">
        <v>-1</v>
      </c>
      <c r="AN85" t="n">
        <v>0</v>
      </c>
      <c r="AO85" t="n">
        <v>0</v>
      </c>
      <c r="AP85" t="n">
        <v>0</v>
      </c>
      <c r="AQ85" t="n">
        <v>24</v>
      </c>
      <c r="AR85" t="n">
        <v>0</v>
      </c>
    </row>
    <row r="86">
      <c r="A86" t="n">
        <v>198090</v>
      </c>
      <c r="B86" t="inlineStr">
        <is>
          <t>صفحه ثبت فاکتور: ترتیب ثبت دستی تخفیف و مالیات، منجر به محاسبه نادرست مبلغ نهایی فاکتور می‌شود</t>
        </is>
      </c>
      <c r="D86" t="inlineStr">
        <is>
          <t>Medium</t>
        </is>
      </c>
      <c r="E86" t="n">
        <v>2</v>
      </c>
      <c r="F86" t="inlineStr">
        <is>
          <t>Open</t>
        </is>
      </c>
      <c r="G86" t="inlineStr">
        <is>
          <t>TBD</t>
        </is>
      </c>
      <c r="H86" t="inlineStr">
        <is>
          <t>TBD(نامشخص)</t>
        </is>
      </c>
      <c r="J86" t="inlineStr">
        <is>
          <t>Quality Assurance</t>
        </is>
      </c>
      <c r="K86" t="inlineStr">
        <is>
          <t>Sprint Azar 1404</t>
        </is>
      </c>
      <c r="M86" t="inlineStr">
        <is>
          <t>Roohi Jamshid</t>
        </is>
      </c>
      <c r="Q86" s="42" t="n">
        <v>46018.43667824074</v>
      </c>
      <c r="S86" t="n">
        <v>0</v>
      </c>
      <c r="T86" s="42" t="n">
        <v>46018.43667824074</v>
      </c>
      <c r="AA86" t="n">
        <v>0</v>
      </c>
      <c r="AD86" t="n">
        <v>2</v>
      </c>
      <c r="AE86" t="n">
        <v>2</v>
      </c>
      <c r="AF86" t="n">
        <v>0</v>
      </c>
      <c r="AI86" t="n">
        <v>0</v>
      </c>
      <c r="AJ86" t="n">
        <v>0</v>
      </c>
      <c r="AM86" t="n">
        <v>-1</v>
      </c>
      <c r="AN86" t="n">
        <v>0</v>
      </c>
      <c r="AO86" t="n">
        <v>0</v>
      </c>
      <c r="AP86" t="n">
        <v>0</v>
      </c>
      <c r="AQ86" t="n">
        <v>24</v>
      </c>
      <c r="AR86" t="n">
        <v>0</v>
      </c>
    </row>
    <row r="87">
      <c r="A87" t="n">
        <v>192158</v>
      </c>
      <c r="B87" t="inlineStr">
        <is>
          <t>AE_SAJA\\شروع جلسه و ارسال به کارتابل و دکمه های داخلی فرم سرچ</t>
        </is>
      </c>
      <c r="D87" t="inlineStr">
        <is>
          <t>Medium</t>
        </is>
      </c>
      <c r="E87" t="n">
        <v>2</v>
      </c>
      <c r="F87" t="inlineStr">
        <is>
          <t>Active</t>
        </is>
      </c>
      <c r="G87" t="inlineStr">
        <is>
          <t>UI</t>
        </is>
      </c>
      <c r="H87" t="inlineStr">
        <is>
          <t>UI (رابط کاربری)</t>
        </is>
      </c>
      <c r="J87" t="inlineStr">
        <is>
          <t>Infrastructure Bizagi Extension</t>
        </is>
      </c>
      <c r="K87" t="inlineStr">
        <is>
          <t>Athena_Sprint 89</t>
        </is>
      </c>
      <c r="M87" t="inlineStr">
        <is>
          <t>Faraji Reza</t>
        </is>
      </c>
      <c r="Q87" s="42" t="n">
        <v>46015.47597222222</v>
      </c>
      <c r="S87" t="n">
        <v>0</v>
      </c>
      <c r="T87" s="42" t="n">
        <v>46015.47597222222</v>
      </c>
      <c r="AA87" t="n">
        <v>0</v>
      </c>
      <c r="AD87" t="n">
        <v>2</v>
      </c>
      <c r="AE87" t="n">
        <v>2</v>
      </c>
      <c r="AF87" t="n">
        <v>0</v>
      </c>
      <c r="AI87" t="n">
        <v>0</v>
      </c>
      <c r="AJ87" t="n">
        <v>0</v>
      </c>
      <c r="AM87" t="n">
        <v>2</v>
      </c>
      <c r="AN87" t="n">
        <v>0</v>
      </c>
      <c r="AO87" t="n">
        <v>0</v>
      </c>
      <c r="AP87" t="n">
        <v>0</v>
      </c>
      <c r="AQ87" t="n">
        <v>24</v>
      </c>
      <c r="AR87" t="n">
        <v>0</v>
      </c>
    </row>
    <row r="88">
      <c r="A88" t="n">
        <v>199276</v>
      </c>
      <c r="B88" t="inlineStr">
        <is>
          <t>ترابری - صفحه WIDE</t>
        </is>
      </c>
      <c r="D88" t="inlineStr">
        <is>
          <t>Medium</t>
        </is>
      </c>
      <c r="E88" t="n">
        <v>2</v>
      </c>
      <c r="F88" t="inlineStr">
        <is>
          <t>New</t>
        </is>
      </c>
      <c r="G88" t="inlineStr">
        <is>
          <t>UI</t>
        </is>
      </c>
      <c r="H88" t="inlineStr">
        <is>
          <t>UI (رابط کاربری)</t>
        </is>
      </c>
      <c r="J88" t="inlineStr">
        <is>
          <t>Transportation</t>
        </is>
      </c>
      <c r="K88" t="inlineStr">
        <is>
          <t>Sp_24</t>
        </is>
      </c>
      <c r="M88" t="inlineStr">
        <is>
          <t>Ghafarian Ghazaleh</t>
        </is>
      </c>
      <c r="Q88" s="42" t="n">
        <v>45993.64483796297</v>
      </c>
      <c r="S88" t="n">
        <v>0</v>
      </c>
      <c r="T88" s="42" t="n">
        <v>45993.64483796297</v>
      </c>
      <c r="AA88" t="n">
        <v>0</v>
      </c>
      <c r="AD88" t="n">
        <v>2</v>
      </c>
      <c r="AE88" t="n">
        <v>2</v>
      </c>
      <c r="AF88" t="n">
        <v>0</v>
      </c>
      <c r="AI88" t="n">
        <v>0</v>
      </c>
      <c r="AJ88" t="n">
        <v>0</v>
      </c>
      <c r="AM88" t="n">
        <v>24</v>
      </c>
      <c r="AN88" t="n">
        <v>0</v>
      </c>
      <c r="AO88" t="n">
        <v>0</v>
      </c>
      <c r="AP88" t="n">
        <v>0</v>
      </c>
      <c r="AQ88" t="n">
        <v>24</v>
      </c>
      <c r="AR88" t="n">
        <v>0</v>
      </c>
    </row>
    <row r="89">
      <c r="A89" t="n">
        <v>201633</v>
      </c>
      <c r="B89" t="inlineStr">
        <is>
          <t>MOM01-اصلاح رای هیات -تفاوت اکچر و پیاده سازی</t>
        </is>
      </c>
      <c r="D89" t="inlineStr">
        <is>
          <t>Medium</t>
        </is>
      </c>
      <c r="E89" t="n">
        <v>1</v>
      </c>
      <c r="F89" t="inlineStr">
        <is>
          <t>Ready for Retest</t>
        </is>
      </c>
      <c r="G89" t="inlineStr">
        <is>
          <t>UI</t>
        </is>
      </c>
      <c r="H89" t="inlineStr">
        <is>
          <t>UI (رابط کاربری)</t>
        </is>
      </c>
      <c r="I89" t="inlineStr">
        <is>
          <t>Bizagi_Team</t>
        </is>
      </c>
      <c r="J89" t="inlineStr">
        <is>
          <t>SAJAK</t>
        </is>
      </c>
      <c r="K89" t="inlineStr">
        <is>
          <t>Estate_Sprint 45</t>
        </is>
      </c>
      <c r="M89" t="inlineStr">
        <is>
          <t>Seyfollahi Artin</t>
        </is>
      </c>
      <c r="Q89" s="42" t="n">
        <v>46015.46114583333</v>
      </c>
      <c r="S89" t="n">
        <v>0</v>
      </c>
      <c r="T89" s="42" t="n">
        <v>46015.46114583333</v>
      </c>
      <c r="AA89" t="n">
        <v>0</v>
      </c>
      <c r="AD89" t="n">
        <v>2</v>
      </c>
      <c r="AE89" t="n">
        <v>2</v>
      </c>
      <c r="AF89" t="n">
        <v>0</v>
      </c>
      <c r="AI89" t="n">
        <v>0</v>
      </c>
      <c r="AJ89" t="n">
        <v>0</v>
      </c>
      <c r="AN89" t="n">
        <v>0</v>
      </c>
      <c r="AO89" t="n">
        <v>0</v>
      </c>
      <c r="AP89" t="n">
        <v>0</v>
      </c>
      <c r="AQ89" t="n">
        <v>24</v>
      </c>
      <c r="AR89" t="n">
        <v>0</v>
      </c>
    </row>
    <row r="90">
      <c r="A90" t="n">
        <v>201634</v>
      </c>
      <c r="B90" t="inlineStr">
        <is>
          <t>MOM01-اصلاح رای هیات -فرم دوم -تفاوت اکچر و پیاده سازی</t>
        </is>
      </c>
      <c r="D90" t="inlineStr">
        <is>
          <t>Medium</t>
        </is>
      </c>
      <c r="E90" t="n">
        <v>1</v>
      </c>
      <c r="F90" t="inlineStr">
        <is>
          <t>Ready for Retest</t>
        </is>
      </c>
      <c r="G90" t="inlineStr">
        <is>
          <t>UI</t>
        </is>
      </c>
      <c r="H90" t="inlineStr">
        <is>
          <t>UI (رابط کاربری)</t>
        </is>
      </c>
      <c r="I90" t="inlineStr">
        <is>
          <t>Bizagi_Team</t>
        </is>
      </c>
      <c r="J90" t="inlineStr">
        <is>
          <t>SAJAK</t>
        </is>
      </c>
      <c r="K90" t="inlineStr">
        <is>
          <t>Estate_Sprint 45</t>
        </is>
      </c>
      <c r="M90" t="inlineStr">
        <is>
          <t>Seyfollahi Artin</t>
        </is>
      </c>
      <c r="Q90" s="42" t="n">
        <v>46018.4268287037</v>
      </c>
      <c r="S90" t="n">
        <v>0</v>
      </c>
      <c r="T90" s="42" t="n">
        <v>46018.4268287037</v>
      </c>
      <c r="AA90" t="n">
        <v>0</v>
      </c>
      <c r="AD90" t="n">
        <v>2</v>
      </c>
      <c r="AE90" t="n">
        <v>2</v>
      </c>
      <c r="AF90" t="n">
        <v>0</v>
      </c>
      <c r="AI90" t="n">
        <v>0</v>
      </c>
      <c r="AJ90" t="n">
        <v>0</v>
      </c>
      <c r="AN90" t="n">
        <v>0</v>
      </c>
      <c r="AO90" t="n">
        <v>0</v>
      </c>
      <c r="AP90" t="n">
        <v>0</v>
      </c>
      <c r="AQ90" t="n">
        <v>24</v>
      </c>
      <c r="AR90" t="n">
        <v>0</v>
      </c>
    </row>
    <row r="91">
      <c r="A91" t="n">
        <v>201635</v>
      </c>
      <c r="B91" t="inlineStr">
        <is>
          <t>MOM01-اصلاح رای هیات -فرم سوم-تفاوت اکچر و پیاده سازی</t>
        </is>
      </c>
      <c r="D91" t="inlineStr">
        <is>
          <t>Medium</t>
        </is>
      </c>
      <c r="E91" t="n">
        <v>1</v>
      </c>
      <c r="F91" t="inlineStr">
        <is>
          <t>Ready for Retest</t>
        </is>
      </c>
      <c r="G91" t="inlineStr">
        <is>
          <t>UI</t>
        </is>
      </c>
      <c r="H91" t="inlineStr">
        <is>
          <t>UI (رابط کاربری)</t>
        </is>
      </c>
      <c r="I91" t="inlineStr">
        <is>
          <t>Bizagi_Team</t>
        </is>
      </c>
      <c r="J91" t="inlineStr">
        <is>
          <t>SAJAK</t>
        </is>
      </c>
      <c r="K91" t="inlineStr">
        <is>
          <t>Estate_Sprint 45</t>
        </is>
      </c>
      <c r="M91" t="inlineStr">
        <is>
          <t>Seyfollahi Artin</t>
        </is>
      </c>
      <c r="Q91" s="42" t="n">
        <v>46015.6547337963</v>
      </c>
      <c r="S91" t="n">
        <v>0</v>
      </c>
      <c r="T91" s="42" t="n">
        <v>46015.6547337963</v>
      </c>
      <c r="AA91" t="n">
        <v>0</v>
      </c>
      <c r="AD91" t="n">
        <v>2</v>
      </c>
      <c r="AE91" t="n">
        <v>2</v>
      </c>
      <c r="AF91" t="n">
        <v>0</v>
      </c>
      <c r="AI91" t="n">
        <v>0</v>
      </c>
      <c r="AJ91" t="n">
        <v>0</v>
      </c>
      <c r="AN91" t="n">
        <v>0</v>
      </c>
      <c r="AO91" t="n">
        <v>0</v>
      </c>
      <c r="AP91" t="n">
        <v>0</v>
      </c>
      <c r="AQ91" t="n">
        <v>24</v>
      </c>
      <c r="AR91" t="n">
        <v>0</v>
      </c>
    </row>
    <row r="92">
      <c r="A92" t="n">
        <v>201640</v>
      </c>
      <c r="B92" t="inlineStr">
        <is>
          <t xml:space="preserve">MOM01-اصلاح رای هیات -لیست درخواست ها </t>
        </is>
      </c>
      <c r="D92" t="inlineStr">
        <is>
          <t>Medium</t>
        </is>
      </c>
      <c r="E92" t="n">
        <v>1</v>
      </c>
      <c r="F92" t="inlineStr">
        <is>
          <t>Open</t>
        </is>
      </c>
      <c r="G92" t="inlineStr">
        <is>
          <t>UI</t>
        </is>
      </c>
      <c r="H92" t="inlineStr">
        <is>
          <t>UI (رابط کاربری)</t>
        </is>
      </c>
      <c r="I92" t="inlineStr">
        <is>
          <t>Bizagi_Team</t>
        </is>
      </c>
      <c r="J92" t="inlineStr">
        <is>
          <t>SAJAK</t>
        </is>
      </c>
      <c r="K92" t="inlineStr">
        <is>
          <t>Estate_Sprint 45</t>
        </is>
      </c>
      <c r="M92" t="inlineStr">
        <is>
          <t>Seyfollahi Artin</t>
        </is>
      </c>
      <c r="Q92" s="42" t="n">
        <v>46018.4487962963</v>
      </c>
      <c r="S92" t="n">
        <v>0</v>
      </c>
      <c r="T92" s="42" t="n">
        <v>46018.4487962963</v>
      </c>
      <c r="AA92" t="n">
        <v>0</v>
      </c>
      <c r="AD92" t="n">
        <v>2</v>
      </c>
      <c r="AE92" t="n">
        <v>2</v>
      </c>
      <c r="AF92" t="n">
        <v>0</v>
      </c>
      <c r="AI92" t="n">
        <v>0</v>
      </c>
      <c r="AJ92" t="n">
        <v>0</v>
      </c>
      <c r="AM92" t="n">
        <v>-1</v>
      </c>
      <c r="AN92" t="n">
        <v>0</v>
      </c>
      <c r="AO92" t="n">
        <v>0</v>
      </c>
      <c r="AP92" t="n">
        <v>0</v>
      </c>
      <c r="AQ92" t="n">
        <v>24</v>
      </c>
      <c r="AR92" t="n">
        <v>0</v>
      </c>
    </row>
    <row r="93">
      <c r="A93" t="n">
        <v>201963</v>
      </c>
      <c r="B93" t="inlineStr">
        <is>
          <t>نمایش نادرست header در روی محیط قرمز</t>
        </is>
      </c>
      <c r="D93" t="inlineStr">
        <is>
          <t>Medium</t>
        </is>
      </c>
      <c r="E93" t="n">
        <v>2</v>
      </c>
      <c r="F93" t="inlineStr">
        <is>
          <t>Active</t>
        </is>
      </c>
      <c r="G93" t="inlineStr">
        <is>
          <t>UI</t>
        </is>
      </c>
      <c r="H93" t="inlineStr">
        <is>
          <t>UI (رابط کاربری)</t>
        </is>
      </c>
      <c r="I93" t="inlineStr">
        <is>
          <t>Bizagi_Team</t>
        </is>
      </c>
      <c r="J93" t="inlineStr">
        <is>
          <t>SAJAK</t>
        </is>
      </c>
      <c r="K93" t="inlineStr">
        <is>
          <t>Estate_Sprint 45</t>
        </is>
      </c>
      <c r="M93" t="inlineStr">
        <is>
          <t>Taleb Amirreza</t>
        </is>
      </c>
      <c r="Q93" s="42" t="n">
        <v>46015.55399305555</v>
      </c>
      <c r="S93" t="n">
        <v>0</v>
      </c>
      <c r="T93" s="42" t="n">
        <v>46015.55399305555</v>
      </c>
      <c r="AA93" t="n">
        <v>0</v>
      </c>
      <c r="AD93" t="n">
        <v>2</v>
      </c>
      <c r="AE93" t="n">
        <v>2</v>
      </c>
      <c r="AF93" t="n">
        <v>0</v>
      </c>
      <c r="AI93" t="n">
        <v>0</v>
      </c>
      <c r="AJ93" t="n">
        <v>0</v>
      </c>
      <c r="AM93" t="n">
        <v>2</v>
      </c>
      <c r="AN93" t="n">
        <v>0</v>
      </c>
      <c r="AO93" t="n">
        <v>0</v>
      </c>
      <c r="AP93" t="n">
        <v>0</v>
      </c>
      <c r="AQ93" t="n">
        <v>24</v>
      </c>
      <c r="AR93" t="n">
        <v>0</v>
      </c>
    </row>
    <row r="94">
      <c r="A94" t="n">
        <v>201385</v>
      </c>
      <c r="B94" t="inlineStr">
        <is>
          <t>MOM01-ثبت هیات-خطا در بارگزاری مدرک</t>
        </is>
      </c>
      <c r="D94" t="inlineStr">
        <is>
          <t>Medium</t>
        </is>
      </c>
      <c r="E94" t="n">
        <v>1</v>
      </c>
      <c r="F94" t="inlineStr">
        <is>
          <t>Active</t>
        </is>
      </c>
      <c r="G94" t="inlineStr">
        <is>
          <t>UI</t>
        </is>
      </c>
      <c r="H94" t="inlineStr">
        <is>
          <t>UI (رابط کاربری)</t>
        </is>
      </c>
      <c r="I94" t="inlineStr">
        <is>
          <t>Bizagi_Team</t>
        </is>
      </c>
      <c r="J94" t="inlineStr">
        <is>
          <t>SAJAK</t>
        </is>
      </c>
      <c r="K94" t="inlineStr">
        <is>
          <t>Estate_Sprint 45</t>
        </is>
      </c>
      <c r="M94" t="inlineStr">
        <is>
          <t>Kalaei Saman</t>
        </is>
      </c>
      <c r="Q94" s="42" t="n">
        <v>46012.66731481482</v>
      </c>
      <c r="S94" t="n">
        <v>0</v>
      </c>
      <c r="T94" s="42" t="n">
        <v>46012.66731481482</v>
      </c>
      <c r="AA94" t="n">
        <v>0</v>
      </c>
      <c r="AD94" t="n">
        <v>2</v>
      </c>
      <c r="AE94" t="n">
        <v>2</v>
      </c>
      <c r="AF94" t="n">
        <v>0</v>
      </c>
      <c r="AI94" t="n">
        <v>0</v>
      </c>
      <c r="AJ94" t="n">
        <v>0</v>
      </c>
      <c r="AM94" t="n">
        <v>5</v>
      </c>
      <c r="AN94" t="n">
        <v>0</v>
      </c>
      <c r="AO94" t="n">
        <v>0</v>
      </c>
      <c r="AP94" t="n">
        <v>0</v>
      </c>
      <c r="AQ94" t="n">
        <v>24</v>
      </c>
      <c r="AR94" t="n">
        <v>0</v>
      </c>
    </row>
    <row r="95">
      <c r="A95" t="n">
        <v>201386</v>
      </c>
      <c r="B95" t="inlineStr">
        <is>
          <t>MOM01-ثبت جلسه هیات-دکمه افزودن از جلسات قبل</t>
        </is>
      </c>
      <c r="D95" t="inlineStr">
        <is>
          <t>Medium</t>
        </is>
      </c>
      <c r="E95" t="n">
        <v>1</v>
      </c>
      <c r="F95" t="inlineStr">
        <is>
          <t>Active</t>
        </is>
      </c>
      <c r="G95" t="inlineStr">
        <is>
          <t>UI</t>
        </is>
      </c>
      <c r="H95" t="inlineStr">
        <is>
          <t>UI (رابط کاربری)</t>
        </is>
      </c>
      <c r="I95" t="inlineStr">
        <is>
          <t>Bizagi_Team</t>
        </is>
      </c>
      <c r="J95" t="inlineStr">
        <is>
          <t>SAJAK</t>
        </is>
      </c>
      <c r="K95" t="inlineStr">
        <is>
          <t>Estate_Sprint 45</t>
        </is>
      </c>
      <c r="M95" t="inlineStr">
        <is>
          <t>Shamsfard Ahmad</t>
        </is>
      </c>
      <c r="Q95" s="42" t="n">
        <v>46015.42638888889</v>
      </c>
      <c r="S95" t="n">
        <v>0</v>
      </c>
      <c r="T95" s="42" t="n">
        <v>46015.42638888889</v>
      </c>
      <c r="AA95" t="n">
        <v>0</v>
      </c>
      <c r="AD95" t="n">
        <v>2</v>
      </c>
      <c r="AE95" t="n">
        <v>2</v>
      </c>
      <c r="AF95" t="n">
        <v>0</v>
      </c>
      <c r="AI95" t="n">
        <v>0</v>
      </c>
      <c r="AJ95" t="n">
        <v>0</v>
      </c>
      <c r="AM95" t="n">
        <v>2</v>
      </c>
      <c r="AN95" t="n">
        <v>0</v>
      </c>
      <c r="AO95" t="n">
        <v>0</v>
      </c>
      <c r="AP95" t="n">
        <v>0</v>
      </c>
      <c r="AQ95" t="n">
        <v>24</v>
      </c>
      <c r="AR95" t="n">
        <v>0</v>
      </c>
    </row>
    <row r="96">
      <c r="A96" t="n">
        <v>201387</v>
      </c>
      <c r="B96" t="inlineStr">
        <is>
          <t xml:space="preserve">MOM01-برگزاری جلسه-نتیجه رای هیات خالی است </t>
        </is>
      </c>
      <c r="D96" t="inlineStr">
        <is>
          <t>Medium</t>
        </is>
      </c>
      <c r="E96" t="n">
        <v>2</v>
      </c>
      <c r="F96" t="inlineStr">
        <is>
          <t>Active</t>
        </is>
      </c>
      <c r="G96" t="inlineStr">
        <is>
          <t>UI</t>
        </is>
      </c>
      <c r="H96" t="inlineStr">
        <is>
          <t>UI (رابط کاربری)</t>
        </is>
      </c>
      <c r="I96" t="inlineStr">
        <is>
          <t>Bizagi_Team</t>
        </is>
      </c>
      <c r="J96" t="inlineStr">
        <is>
          <t>SAJAK</t>
        </is>
      </c>
      <c r="K96" t="inlineStr">
        <is>
          <t>Estate_Sprint 45</t>
        </is>
      </c>
      <c r="M96" t="inlineStr">
        <is>
          <t>Tedadi Abbas</t>
        </is>
      </c>
      <c r="Q96" s="42" t="n">
        <v>46011.47233796296</v>
      </c>
      <c r="S96" t="n">
        <v>0</v>
      </c>
      <c r="T96" s="42" t="n">
        <v>46011.47233796296</v>
      </c>
      <c r="AA96" t="n">
        <v>0</v>
      </c>
      <c r="AD96" t="n">
        <v>2</v>
      </c>
      <c r="AE96" t="n">
        <v>2</v>
      </c>
      <c r="AF96" t="n">
        <v>0</v>
      </c>
      <c r="AI96" t="n">
        <v>0</v>
      </c>
      <c r="AJ96" t="n">
        <v>0</v>
      </c>
      <c r="AM96" t="n">
        <v>6</v>
      </c>
      <c r="AN96" t="n">
        <v>0</v>
      </c>
      <c r="AO96" t="n">
        <v>0</v>
      </c>
      <c r="AP96" t="n">
        <v>0</v>
      </c>
      <c r="AQ96" t="n">
        <v>24</v>
      </c>
      <c r="AR96" t="n">
        <v>0</v>
      </c>
    </row>
    <row r="97">
      <c r="A97" t="n">
        <v>201388</v>
      </c>
      <c r="B97" t="inlineStr">
        <is>
          <t xml:space="preserve">MOM01-برگزاری جلسه-نتیجه رای هیات خالی است </t>
        </is>
      </c>
      <c r="D97" t="inlineStr">
        <is>
          <t>Medium</t>
        </is>
      </c>
      <c r="E97" t="n">
        <v>1</v>
      </c>
      <c r="F97" t="inlineStr">
        <is>
          <t>Resolved</t>
        </is>
      </c>
      <c r="G97" t="inlineStr">
        <is>
          <t>UI</t>
        </is>
      </c>
      <c r="H97" t="inlineStr">
        <is>
          <t>UI (رابط کاربری)</t>
        </is>
      </c>
      <c r="I97" t="inlineStr">
        <is>
          <t>Bizagi_Team</t>
        </is>
      </c>
      <c r="J97" t="inlineStr">
        <is>
          <t>SAJAK</t>
        </is>
      </c>
      <c r="K97" t="inlineStr">
        <is>
          <t>Estate_Sprint 45</t>
        </is>
      </c>
      <c r="M97" t="inlineStr">
        <is>
          <t>Tedadi Abbas</t>
        </is>
      </c>
      <c r="P97" s="42" t="n">
        <v>46011.73738425926</v>
      </c>
      <c r="Q97" s="42" t="n">
        <v>46011.73738425926</v>
      </c>
      <c r="S97" t="n">
        <v>0</v>
      </c>
      <c r="T97" s="42" t="n">
        <v>46011.73738425926</v>
      </c>
      <c r="AA97" t="n">
        <v>0</v>
      </c>
      <c r="AD97" t="n">
        <v>2</v>
      </c>
      <c r="AE97" t="n">
        <v>2</v>
      </c>
      <c r="AF97" t="n">
        <v>0</v>
      </c>
      <c r="AI97" t="n">
        <v>0</v>
      </c>
      <c r="AJ97" t="n">
        <v>0</v>
      </c>
      <c r="AN97" t="n">
        <v>0</v>
      </c>
      <c r="AO97" t="n">
        <v>0</v>
      </c>
      <c r="AP97" t="n">
        <v>0</v>
      </c>
      <c r="AQ97" t="n">
        <v>24</v>
      </c>
      <c r="AR97" t="n">
        <v>0</v>
      </c>
    </row>
    <row r="98">
      <c r="A98" t="n">
        <v>203163</v>
      </c>
      <c r="B98" t="inlineStr">
        <is>
          <t xml:space="preserve">عدم تطبیق زمان بازدید در پروتوتایپ و پیاده سازی </t>
        </is>
      </c>
      <c r="D98" t="inlineStr">
        <is>
          <t>Medium</t>
        </is>
      </c>
      <c r="E98" t="n">
        <v>1</v>
      </c>
      <c r="F98" t="inlineStr">
        <is>
          <t>Active</t>
        </is>
      </c>
      <c r="G98" t="inlineStr">
        <is>
          <t>UI</t>
        </is>
      </c>
      <c r="H98" t="inlineStr">
        <is>
          <t>UI (رابط کاربری)</t>
        </is>
      </c>
      <c r="I98" t="inlineStr">
        <is>
          <t>Bizagi_Team</t>
        </is>
      </c>
      <c r="J98" t="inlineStr">
        <is>
          <t>SAJAK</t>
        </is>
      </c>
      <c r="K98" t="inlineStr">
        <is>
          <t>Estate_Sprint 45</t>
        </is>
      </c>
      <c r="M98" t="inlineStr">
        <is>
          <t>Seyfollahi Artin</t>
        </is>
      </c>
      <c r="Q98" s="42" t="n">
        <v>46015.56020833334</v>
      </c>
      <c r="S98" t="n">
        <v>0</v>
      </c>
      <c r="T98" s="42" t="n">
        <v>46015.56020833334</v>
      </c>
      <c r="AA98" t="n">
        <v>0</v>
      </c>
      <c r="AD98" t="n">
        <v>2</v>
      </c>
      <c r="AE98" t="n">
        <v>2</v>
      </c>
      <c r="AF98" t="n">
        <v>0</v>
      </c>
      <c r="AI98" t="n">
        <v>0</v>
      </c>
      <c r="AJ98" t="n">
        <v>0</v>
      </c>
      <c r="AM98" t="n">
        <v>2</v>
      </c>
      <c r="AN98" t="n">
        <v>0</v>
      </c>
      <c r="AO98" t="n">
        <v>0</v>
      </c>
      <c r="AP98" t="n">
        <v>0</v>
      </c>
      <c r="AQ98" t="n">
        <v>24</v>
      </c>
      <c r="AR98" t="n">
        <v>0</v>
      </c>
    </row>
    <row r="99">
      <c r="A99" t="n">
        <v>203181</v>
      </c>
      <c r="B99" t="inlineStr">
        <is>
          <t xml:space="preserve">عدم وجود شماره موبایل نماینده بنیاد مسکن در فرم تعیین زمان بازدید </t>
        </is>
      </c>
      <c r="D99" t="inlineStr">
        <is>
          <t>Medium</t>
        </is>
      </c>
      <c r="E99" t="n">
        <v>2</v>
      </c>
      <c r="F99" t="inlineStr">
        <is>
          <t>Open</t>
        </is>
      </c>
      <c r="G99" t="inlineStr">
        <is>
          <t>Other</t>
        </is>
      </c>
      <c r="I99" t="inlineStr">
        <is>
          <t>Bizagi_Team</t>
        </is>
      </c>
      <c r="J99" t="inlineStr">
        <is>
          <t>SAJAK</t>
        </is>
      </c>
      <c r="K99" t="inlineStr">
        <is>
          <t>Estate_Sprint 45</t>
        </is>
      </c>
      <c r="M99" t="inlineStr">
        <is>
          <t>Erfani Alireza</t>
        </is>
      </c>
      <c r="Q99" s="42" t="n">
        <v>46015.3785300926</v>
      </c>
      <c r="S99" t="n">
        <v>0</v>
      </c>
      <c r="T99" s="42" t="n">
        <v>46015.3785300926</v>
      </c>
      <c r="AA99" t="n">
        <v>0</v>
      </c>
      <c r="AD99" t="n">
        <v>2</v>
      </c>
      <c r="AE99" t="n">
        <v>2</v>
      </c>
      <c r="AF99" t="n">
        <v>0</v>
      </c>
      <c r="AI99" t="n">
        <v>0</v>
      </c>
      <c r="AJ99" t="n">
        <v>0</v>
      </c>
      <c r="AM99" t="n">
        <v>3</v>
      </c>
      <c r="AN99" t="n">
        <v>0</v>
      </c>
      <c r="AO99" t="n">
        <v>0</v>
      </c>
      <c r="AP99" t="n">
        <v>0</v>
      </c>
      <c r="AQ99" t="n">
        <v>24</v>
      </c>
      <c r="AR99" t="n">
        <v>0</v>
      </c>
    </row>
    <row r="100">
      <c r="A100" t="n">
        <v>203305</v>
      </c>
      <c r="B100" t="inlineStr">
        <is>
          <t xml:space="preserve"> آسیب پذیری Log IP Spoofing در UtilitiesHelper.cs </t>
        </is>
      </c>
      <c r="D100" t="inlineStr">
        <is>
          <t>Medium</t>
        </is>
      </c>
      <c r="E100" t="n">
        <v>2</v>
      </c>
      <c r="F100" t="inlineStr">
        <is>
          <t>Open</t>
        </is>
      </c>
      <c r="G100" t="inlineStr">
        <is>
          <t>Other</t>
        </is>
      </c>
      <c r="J100" t="inlineStr">
        <is>
          <t>SAJAK</t>
        </is>
      </c>
      <c r="K100" t="inlineStr">
        <is>
          <t>Tech_Sprint 45</t>
        </is>
      </c>
      <c r="M100" t="inlineStr">
        <is>
          <t>Sayad Mehdi</t>
        </is>
      </c>
      <c r="Q100" s="42" t="n">
        <v>46015.64615740741</v>
      </c>
      <c r="S100" t="n">
        <v>0</v>
      </c>
      <c r="T100" s="42" t="n">
        <v>46015.64615740741</v>
      </c>
      <c r="AA100" t="n">
        <v>0</v>
      </c>
      <c r="AD100" t="n">
        <v>2</v>
      </c>
      <c r="AE100" t="n">
        <v>2</v>
      </c>
      <c r="AF100" t="n">
        <v>0</v>
      </c>
      <c r="AI100" t="n">
        <v>0</v>
      </c>
      <c r="AJ100" t="n">
        <v>0</v>
      </c>
      <c r="AM100" t="n">
        <v>2</v>
      </c>
      <c r="AN100" t="n">
        <v>0</v>
      </c>
      <c r="AO100" t="n">
        <v>0</v>
      </c>
      <c r="AP100" t="n">
        <v>0</v>
      </c>
      <c r="AQ100" t="n">
        <v>24</v>
      </c>
      <c r="AR100" t="n">
        <v>0</v>
      </c>
    </row>
    <row r="101">
      <c r="A101" t="n">
        <v>203261</v>
      </c>
      <c r="B101" t="inlineStr">
        <is>
          <t>فرم تکمیل اطلاعات : بروز پیام خطا در فرآیند هنگام کلیک بر دکمه «ارسال به رئیس واحد»/1382</t>
        </is>
      </c>
      <c r="D101" t="inlineStr">
        <is>
          <t>Medium</t>
        </is>
      </c>
      <c r="E101" t="n">
        <v>2</v>
      </c>
      <c r="F101" t="inlineStr">
        <is>
          <t>Open</t>
        </is>
      </c>
      <c r="G101" t="inlineStr">
        <is>
          <t>Other</t>
        </is>
      </c>
      <c r="J101" t="inlineStr">
        <is>
          <t>Dem</t>
        </is>
      </c>
      <c r="K101" t="inlineStr">
        <is>
          <t>DemBiz</t>
        </is>
      </c>
      <c r="M101" t="inlineStr">
        <is>
          <t>Baniamer Shaghayegh</t>
        </is>
      </c>
      <c r="Q101" s="42" t="n">
        <v>46015.53317129629</v>
      </c>
      <c r="S101" t="n">
        <v>0</v>
      </c>
      <c r="T101" s="42" t="n">
        <v>46015.53317129629</v>
      </c>
      <c r="AA101" t="n">
        <v>0</v>
      </c>
      <c r="AD101" t="n">
        <v>2</v>
      </c>
      <c r="AE101" t="n">
        <v>2</v>
      </c>
      <c r="AF101" t="n">
        <v>0</v>
      </c>
      <c r="AI101" t="n">
        <v>0</v>
      </c>
      <c r="AJ101" t="n">
        <v>0</v>
      </c>
      <c r="AM101" t="n">
        <v>2</v>
      </c>
      <c r="AN101" t="n">
        <v>0</v>
      </c>
      <c r="AO101" t="n">
        <v>0</v>
      </c>
      <c r="AP101" t="n">
        <v>0</v>
      </c>
      <c r="AQ101" t="n">
        <v>24</v>
      </c>
      <c r="AR101" t="n">
        <v>0</v>
      </c>
    </row>
    <row r="102">
      <c r="A102" t="n">
        <v>203279</v>
      </c>
      <c r="B102" t="inlineStr">
        <is>
          <t>اختلاف موارد مشخص شده در فرم اول شروع جلسه هیات در پیاده سازی و تحلیل</t>
        </is>
      </c>
      <c r="D102" t="inlineStr">
        <is>
          <t>Medium</t>
        </is>
      </c>
      <c r="E102" t="n">
        <v>2</v>
      </c>
      <c r="F102" t="inlineStr">
        <is>
          <t>Open</t>
        </is>
      </c>
      <c r="G102" t="inlineStr">
        <is>
          <t>Other</t>
        </is>
      </c>
      <c r="I102" t="inlineStr">
        <is>
          <t>Bizagi_Team</t>
        </is>
      </c>
      <c r="J102" t="inlineStr">
        <is>
          <t>SAJAK</t>
        </is>
      </c>
      <c r="K102" t="inlineStr">
        <is>
          <t>Estate_Sprint 45</t>
        </is>
      </c>
      <c r="M102" t="inlineStr">
        <is>
          <t>Mousavi Azadeh</t>
        </is>
      </c>
      <c r="Q102" s="42" t="n">
        <v>46015.60247685185</v>
      </c>
      <c r="S102" t="n">
        <v>0</v>
      </c>
      <c r="T102" s="42" t="n">
        <v>46015.60247685185</v>
      </c>
      <c r="AA102" t="n">
        <v>0</v>
      </c>
      <c r="AD102" t="n">
        <v>2</v>
      </c>
      <c r="AE102" t="n">
        <v>2</v>
      </c>
      <c r="AF102" t="n">
        <v>0</v>
      </c>
      <c r="AI102" t="n">
        <v>0</v>
      </c>
      <c r="AJ102" t="n">
        <v>0</v>
      </c>
      <c r="AM102" t="n">
        <v>2</v>
      </c>
      <c r="AN102" t="n">
        <v>0</v>
      </c>
      <c r="AO102" t="n">
        <v>0</v>
      </c>
      <c r="AP102" t="n">
        <v>0</v>
      </c>
      <c r="AQ102" t="n">
        <v>24</v>
      </c>
      <c r="AR102" t="n">
        <v>0</v>
      </c>
    </row>
    <row r="103">
      <c r="A103" t="n">
        <v>203282</v>
      </c>
      <c r="B103" t="inlineStr">
        <is>
          <t>آسیب پذیری DoS(مصرف منابع) از طریق الگوی Keys و GetAll  روی redis</t>
        </is>
      </c>
      <c r="D103" t="inlineStr">
        <is>
          <t>Medium</t>
        </is>
      </c>
      <c r="E103" t="n">
        <v>2</v>
      </c>
      <c r="F103" t="inlineStr">
        <is>
          <t>Open</t>
        </is>
      </c>
      <c r="G103" t="inlineStr">
        <is>
          <t>Other</t>
        </is>
      </c>
      <c r="J103" t="inlineStr">
        <is>
          <t>SAJAK</t>
        </is>
      </c>
      <c r="K103" t="inlineStr">
        <is>
          <t>Tech_Sprint 45</t>
        </is>
      </c>
      <c r="M103" t="inlineStr">
        <is>
          <t>Sayad Mehdi</t>
        </is>
      </c>
      <c r="Q103" s="42" t="n">
        <v>46015.61144675926</v>
      </c>
      <c r="S103" t="n">
        <v>0</v>
      </c>
      <c r="T103" s="42" t="n">
        <v>46015.61144675926</v>
      </c>
      <c r="AA103" t="n">
        <v>0</v>
      </c>
      <c r="AD103" t="n">
        <v>2</v>
      </c>
      <c r="AE103" t="n">
        <v>2</v>
      </c>
      <c r="AF103" t="n">
        <v>0</v>
      </c>
      <c r="AI103" t="n">
        <v>0</v>
      </c>
      <c r="AJ103" t="n">
        <v>0</v>
      </c>
      <c r="AM103" t="n">
        <v>2</v>
      </c>
      <c r="AN103" t="n">
        <v>0</v>
      </c>
      <c r="AO103" t="n">
        <v>0</v>
      </c>
      <c r="AP103" t="n">
        <v>0</v>
      </c>
      <c r="AQ103" t="n">
        <v>24</v>
      </c>
      <c r="AR103" t="n">
        <v>0</v>
      </c>
    </row>
    <row r="104">
      <c r="A104" t="n">
        <v>203283</v>
      </c>
      <c r="B104" t="inlineStr">
        <is>
          <t>آسیب‌پذیری Stack Overflow و DoS (بازگشتی بی‌نهایت) در RpkResponse</t>
        </is>
      </c>
      <c r="D104" t="inlineStr">
        <is>
          <t>Medium</t>
        </is>
      </c>
      <c r="E104" t="n">
        <v>2</v>
      </c>
      <c r="F104" t="inlineStr">
        <is>
          <t>Open</t>
        </is>
      </c>
      <c r="G104" t="inlineStr">
        <is>
          <t>Other</t>
        </is>
      </c>
      <c r="J104" t="inlineStr">
        <is>
          <t>SAJAK</t>
        </is>
      </c>
      <c r="K104" t="inlineStr">
        <is>
          <t>Tech_Sprint 45</t>
        </is>
      </c>
      <c r="M104" t="inlineStr">
        <is>
          <t>Sayad Mehdi</t>
        </is>
      </c>
      <c r="Q104" s="42" t="n">
        <v>46015.61204861111</v>
      </c>
      <c r="S104" t="n">
        <v>0</v>
      </c>
      <c r="T104" s="42" t="n">
        <v>46015.61204861111</v>
      </c>
      <c r="AA104" t="n">
        <v>0</v>
      </c>
      <c r="AD104" t="n">
        <v>2</v>
      </c>
      <c r="AE104" t="n">
        <v>2</v>
      </c>
      <c r="AF104" t="n">
        <v>0</v>
      </c>
      <c r="AI104" t="n">
        <v>0</v>
      </c>
      <c r="AJ104" t="n">
        <v>0</v>
      </c>
      <c r="AM104" t="n">
        <v>2</v>
      </c>
      <c r="AN104" t="n">
        <v>0</v>
      </c>
      <c r="AO104" t="n">
        <v>0</v>
      </c>
      <c r="AP104" t="n">
        <v>0</v>
      </c>
      <c r="AQ104" t="n">
        <v>24</v>
      </c>
      <c r="AR104" t="n">
        <v>0</v>
      </c>
    </row>
    <row r="105">
      <c r="A105" t="n">
        <v>203288</v>
      </c>
      <c r="B105" t="inlineStr">
        <is>
          <t>آسیب‌پذیری DoS طریق ورودی Json مخرب در ObjectExtensionHelper</t>
        </is>
      </c>
      <c r="D105" t="inlineStr">
        <is>
          <t>Medium</t>
        </is>
      </c>
      <c r="E105" t="n">
        <v>2</v>
      </c>
      <c r="F105" t="inlineStr">
        <is>
          <t>Open</t>
        </is>
      </c>
      <c r="G105" t="inlineStr">
        <is>
          <t>Other</t>
        </is>
      </c>
      <c r="J105" t="inlineStr">
        <is>
          <t>SAJAK</t>
        </is>
      </c>
      <c r="K105" t="inlineStr">
        <is>
          <t>Tech_Sprint 45</t>
        </is>
      </c>
      <c r="M105" t="inlineStr">
        <is>
          <t>Sayad Mehdi</t>
        </is>
      </c>
      <c r="Q105" s="42" t="n">
        <v>46015.62152777778</v>
      </c>
      <c r="S105" t="n">
        <v>0</v>
      </c>
      <c r="T105" s="42" t="n">
        <v>46015.62152777778</v>
      </c>
      <c r="AA105" t="n">
        <v>0</v>
      </c>
      <c r="AD105" t="n">
        <v>2</v>
      </c>
      <c r="AE105" t="n">
        <v>2</v>
      </c>
      <c r="AF105" t="n">
        <v>0</v>
      </c>
      <c r="AI105" t="n">
        <v>0</v>
      </c>
      <c r="AJ105" t="n">
        <v>0</v>
      </c>
      <c r="AM105" t="n">
        <v>2</v>
      </c>
      <c r="AN105" t="n">
        <v>0</v>
      </c>
      <c r="AO105" t="n">
        <v>0</v>
      </c>
      <c r="AP105" t="n">
        <v>0</v>
      </c>
      <c r="AQ105" t="n">
        <v>24</v>
      </c>
      <c r="AR105" t="n">
        <v>0</v>
      </c>
    </row>
    <row r="106">
      <c r="A106" t="n">
        <v>202701</v>
      </c>
      <c r="B106" t="inlineStr">
        <is>
          <t>تغییر اطلاعات پایه "نوع طرح هادی" به جای "وضعیت طرح"  روی محیط قرمز</t>
        </is>
      </c>
      <c r="D106" t="inlineStr">
        <is>
          <t>Medium</t>
        </is>
      </c>
      <c r="E106" t="n">
        <v>2</v>
      </c>
      <c r="F106" t="inlineStr">
        <is>
          <t>Open</t>
        </is>
      </c>
      <c r="G106" t="inlineStr">
        <is>
          <t>Other</t>
        </is>
      </c>
      <c r="I106" t="inlineStr">
        <is>
          <t>Bizagi_Team</t>
        </is>
      </c>
      <c r="J106" t="inlineStr">
        <is>
          <t>SAJAK</t>
        </is>
      </c>
      <c r="K106" t="inlineStr">
        <is>
          <t>Estate_Sprint 45</t>
        </is>
      </c>
      <c r="M106" t="inlineStr">
        <is>
          <t>Erfani Alireza</t>
        </is>
      </c>
      <c r="Q106" s="42" t="n">
        <v>46013.6672800926</v>
      </c>
      <c r="S106" t="n">
        <v>0</v>
      </c>
      <c r="T106" s="42" t="n">
        <v>46013.6672800926</v>
      </c>
      <c r="AA106" t="n">
        <v>0</v>
      </c>
      <c r="AD106" t="n">
        <v>2</v>
      </c>
      <c r="AE106" t="n">
        <v>2</v>
      </c>
      <c r="AF106" t="n">
        <v>0</v>
      </c>
      <c r="AI106" t="n">
        <v>0</v>
      </c>
      <c r="AJ106" t="n">
        <v>0</v>
      </c>
      <c r="AM106" t="n">
        <v>4</v>
      </c>
      <c r="AN106" t="n">
        <v>0</v>
      </c>
      <c r="AO106" t="n">
        <v>0</v>
      </c>
      <c r="AP106" t="n">
        <v>0</v>
      </c>
      <c r="AQ106" t="n">
        <v>24</v>
      </c>
      <c r="AR106" t="n">
        <v>0</v>
      </c>
    </row>
    <row r="107">
      <c r="A107" t="n">
        <v>202688</v>
      </c>
      <c r="B107" t="inlineStr">
        <is>
          <t xml:space="preserve">عدم تطابق فیلدهای سطح هیات در پروتوتایپ و پیاده سازی </t>
        </is>
      </c>
      <c r="D107" t="inlineStr">
        <is>
          <t>Medium</t>
        </is>
      </c>
      <c r="E107" t="n">
        <v>2</v>
      </c>
      <c r="F107" t="inlineStr">
        <is>
          <t>Open</t>
        </is>
      </c>
      <c r="G107" t="inlineStr">
        <is>
          <t>Other</t>
        </is>
      </c>
      <c r="I107" t="inlineStr">
        <is>
          <t>Bizagi_Team</t>
        </is>
      </c>
      <c r="J107" t="inlineStr">
        <is>
          <t>SAJAK</t>
        </is>
      </c>
      <c r="K107" t="inlineStr">
        <is>
          <t>Estate_Sprint 45</t>
        </is>
      </c>
      <c r="M107" t="inlineStr">
        <is>
          <t>Mousavi Azadeh</t>
        </is>
      </c>
      <c r="Q107" s="42" t="n">
        <v>46013.59232638889</v>
      </c>
      <c r="S107" t="n">
        <v>0</v>
      </c>
      <c r="T107" s="42" t="n">
        <v>46013.59232638889</v>
      </c>
      <c r="AA107" t="n">
        <v>0</v>
      </c>
      <c r="AD107" t="n">
        <v>2</v>
      </c>
      <c r="AE107" t="n">
        <v>2</v>
      </c>
      <c r="AF107" t="n">
        <v>0</v>
      </c>
      <c r="AI107" t="n">
        <v>0</v>
      </c>
      <c r="AJ107" t="n">
        <v>0</v>
      </c>
      <c r="AM107" t="n">
        <v>4</v>
      </c>
      <c r="AN107" t="n">
        <v>0</v>
      </c>
      <c r="AO107" t="n">
        <v>0</v>
      </c>
      <c r="AP107" t="n">
        <v>0</v>
      </c>
      <c r="AQ107" t="n">
        <v>24</v>
      </c>
      <c r="AR107" t="n">
        <v>0</v>
      </c>
    </row>
    <row r="108">
      <c r="A108" t="n">
        <v>202692</v>
      </c>
      <c r="B108" t="inlineStr">
        <is>
          <t>دریافت خطای بیزنسی اشتباه در هنگام انتخاب نقشه بردار و نماینده ثبتی توسط رئیس  واحد ثبتی</t>
        </is>
      </c>
      <c r="D108" t="inlineStr">
        <is>
          <t>Medium</t>
        </is>
      </c>
      <c r="E108" t="n">
        <v>2</v>
      </c>
      <c r="F108" t="inlineStr">
        <is>
          <t>Open</t>
        </is>
      </c>
      <c r="G108" t="inlineStr">
        <is>
          <t>Other</t>
        </is>
      </c>
      <c r="I108" t="inlineStr">
        <is>
          <t>Bizagi_Team</t>
        </is>
      </c>
      <c r="J108" t="inlineStr">
        <is>
          <t>SAJAK</t>
        </is>
      </c>
      <c r="K108" t="inlineStr">
        <is>
          <t>Estate_Sprint 45</t>
        </is>
      </c>
      <c r="M108" t="inlineStr">
        <is>
          <t>Erfani Alireza</t>
        </is>
      </c>
      <c r="Q108" s="42" t="n">
        <v>46013.64165509259</v>
      </c>
      <c r="S108" t="n">
        <v>0</v>
      </c>
      <c r="T108" s="42" t="n">
        <v>46013.64165509259</v>
      </c>
      <c r="AA108" t="n">
        <v>0</v>
      </c>
      <c r="AD108" t="n">
        <v>2</v>
      </c>
      <c r="AE108" t="n">
        <v>2</v>
      </c>
      <c r="AF108" t="n">
        <v>0</v>
      </c>
      <c r="AI108" t="n">
        <v>0</v>
      </c>
      <c r="AJ108" t="n">
        <v>0</v>
      </c>
      <c r="AM108" t="n">
        <v>4</v>
      </c>
      <c r="AN108" t="n">
        <v>0</v>
      </c>
      <c r="AO108" t="n">
        <v>0</v>
      </c>
      <c r="AP108" t="n">
        <v>0</v>
      </c>
      <c r="AQ108" t="n">
        <v>24</v>
      </c>
      <c r="AR108" t="n">
        <v>0</v>
      </c>
    </row>
    <row r="109">
      <c r="A109" t="n">
        <v>201990</v>
      </c>
      <c r="B109" t="inlineStr">
        <is>
          <t>AE_SAJA\\ خطا در ارجاع ارسال پرونده متقاضیان</t>
        </is>
      </c>
      <c r="D109" t="inlineStr">
        <is>
          <t>Medium</t>
        </is>
      </c>
      <c r="E109" t="n">
        <v>1</v>
      </c>
      <c r="F109" t="inlineStr">
        <is>
          <t>Closed</t>
        </is>
      </c>
      <c r="G109" t="inlineStr">
        <is>
          <t>Other</t>
        </is>
      </c>
      <c r="J109" t="inlineStr">
        <is>
          <t>Infrastructure Bizagi Extension</t>
        </is>
      </c>
      <c r="K109" t="inlineStr">
        <is>
          <t>SP-87</t>
        </is>
      </c>
      <c r="L109" t="inlineStr">
        <is>
          <t>Completed</t>
        </is>
      </c>
      <c r="M109" t="inlineStr">
        <is>
          <t>Nemati Hasan</t>
        </is>
      </c>
      <c r="N109" t="inlineStr">
        <is>
          <t>Tedadi Abbas</t>
        </is>
      </c>
      <c r="O109" s="42" t="n">
        <v>46014.69478009259</v>
      </c>
      <c r="Q109" s="42" t="n">
        <v>46014.69478009259</v>
      </c>
      <c r="S109" t="n">
        <v>0</v>
      </c>
      <c r="T109" s="42" t="n">
        <v>46014.69478009259</v>
      </c>
      <c r="Z109" s="42" t="n">
        <v>46014.69478009259</v>
      </c>
      <c r="AA109" t="n">
        <v>0</v>
      </c>
      <c r="AD109" t="n">
        <v>2</v>
      </c>
      <c r="AE109" t="n">
        <v>2</v>
      </c>
      <c r="AF109" t="n">
        <v>0</v>
      </c>
      <c r="AI109" t="n">
        <v>0</v>
      </c>
      <c r="AJ109" t="n">
        <v>0</v>
      </c>
      <c r="AK109" t="n">
        <v>0</v>
      </c>
      <c r="AL109" t="n">
        <v>0</v>
      </c>
      <c r="AN109" t="n">
        <v>0</v>
      </c>
      <c r="AO109" t="n">
        <v>0</v>
      </c>
      <c r="AP109" t="n">
        <v>0</v>
      </c>
      <c r="AQ109" t="n">
        <v>24</v>
      </c>
      <c r="AR109" t="n">
        <v>0</v>
      </c>
    </row>
    <row r="110">
      <c r="A110" t="n">
        <v>202037</v>
      </c>
      <c r="B110" t="inlineStr">
        <is>
          <t>فرآیند بایگانی اسناد ریالی - تسک ثبت اطلاعات صورتجلسه؛ فرم ثبت اسناد داخل کارتن: مشکل در ورود اطلاعات به فیلدهای تاریخ و عدم امکان انتخاب دکمه اعمال</t>
        </is>
      </c>
      <c r="D110" t="inlineStr">
        <is>
          <t>Medium</t>
        </is>
      </c>
      <c r="E110" t="n">
        <v>2</v>
      </c>
      <c r="F110" t="inlineStr">
        <is>
          <t>Closed</t>
        </is>
      </c>
      <c r="G110" t="inlineStr">
        <is>
          <t>Other</t>
        </is>
      </c>
      <c r="J110" t="inlineStr">
        <is>
          <t>Stagnant Archive</t>
        </is>
      </c>
      <c r="K110" t="inlineStr">
        <is>
          <t>Sp_22</t>
        </is>
      </c>
      <c r="L110" t="inlineStr">
        <is>
          <t>Cannot Reproduce</t>
        </is>
      </c>
      <c r="M110" t="inlineStr">
        <is>
          <t>Faraji Sanaz</t>
        </is>
      </c>
      <c r="N110" t="inlineStr">
        <is>
          <t>Sharifi Shayan</t>
        </is>
      </c>
      <c r="O110" s="42" t="n">
        <v>46013.65451388889</v>
      </c>
      <c r="Q110" s="42" t="n">
        <v>46013.65451388889</v>
      </c>
      <c r="S110" t="n">
        <v>0</v>
      </c>
      <c r="T110" s="42" t="n">
        <v>46013.65451388889</v>
      </c>
      <c r="Z110" s="42" t="n">
        <v>46013.65451388889</v>
      </c>
      <c r="AA110" t="n">
        <v>0</v>
      </c>
      <c r="AD110" t="n">
        <v>2</v>
      </c>
      <c r="AE110" t="n">
        <v>2</v>
      </c>
      <c r="AF110" t="n">
        <v>0</v>
      </c>
      <c r="AI110" t="n">
        <v>0</v>
      </c>
      <c r="AJ110" t="n">
        <v>0</v>
      </c>
      <c r="AK110" t="n">
        <v>0</v>
      </c>
      <c r="AL110" t="n">
        <v>0</v>
      </c>
      <c r="AN110" t="n">
        <v>0</v>
      </c>
      <c r="AO110" t="n">
        <v>0</v>
      </c>
      <c r="AP110" t="n">
        <v>0</v>
      </c>
      <c r="AQ110" t="n">
        <v>24</v>
      </c>
      <c r="AR110" t="n">
        <v>0</v>
      </c>
    </row>
    <row r="111">
      <c r="A111" t="n">
        <v>202038</v>
      </c>
      <c r="B111" t="inlineStr">
        <is>
          <t>با کلیک روی دکمه «انصراف» در حالت ویرایش درخواست مصوب‌شده، پیام خطای فرآیندی نمایش داده می‌شود/1382</t>
        </is>
      </c>
      <c r="D111" t="inlineStr">
        <is>
          <t>Medium</t>
        </is>
      </c>
      <c r="E111" t="n">
        <v>2</v>
      </c>
      <c r="F111" t="inlineStr">
        <is>
          <t>Closed</t>
        </is>
      </c>
      <c r="G111" t="inlineStr">
        <is>
          <t>Other</t>
        </is>
      </c>
      <c r="J111" t="inlineStr">
        <is>
          <t>Dem</t>
        </is>
      </c>
      <c r="K111" t="inlineStr">
        <is>
          <t>DemBiz</t>
        </is>
      </c>
      <c r="L111" t="inlineStr">
        <is>
          <t>Completed</t>
        </is>
      </c>
      <c r="M111" t="inlineStr">
        <is>
          <t>Hoseini Fatemeh</t>
        </is>
      </c>
      <c r="N111" t="inlineStr">
        <is>
          <t>Hajizadeh Elnaz</t>
        </is>
      </c>
      <c r="O111" s="42" t="n">
        <v>46012.69495370371</v>
      </c>
      <c r="Q111" s="42" t="n">
        <v>46012.69495370371</v>
      </c>
      <c r="S111" t="n">
        <v>0</v>
      </c>
      <c r="T111" s="42" t="n">
        <v>46012.69495370371</v>
      </c>
      <c r="Z111" s="42" t="n">
        <v>46012.69495370371</v>
      </c>
      <c r="AA111" t="n">
        <v>0</v>
      </c>
      <c r="AD111" t="n">
        <v>2</v>
      </c>
      <c r="AE111" t="n">
        <v>2</v>
      </c>
      <c r="AF111" t="n">
        <v>0</v>
      </c>
      <c r="AI111" t="n">
        <v>0</v>
      </c>
      <c r="AJ111" t="n">
        <v>0</v>
      </c>
      <c r="AK111" t="n">
        <v>0</v>
      </c>
      <c r="AL111" t="n">
        <v>0</v>
      </c>
      <c r="AN111" t="n">
        <v>0</v>
      </c>
      <c r="AO111" t="n">
        <v>0</v>
      </c>
      <c r="AP111" t="n">
        <v>0</v>
      </c>
      <c r="AQ111" t="n">
        <v>24</v>
      </c>
      <c r="AR111" t="n">
        <v>0</v>
      </c>
    </row>
    <row r="112">
      <c r="A112" t="n">
        <v>202600</v>
      </c>
      <c r="B112" t="inlineStr">
        <is>
          <t>ثبت هیات جدید برای کاربر دبیر هیات و عدم نمایش آن توسط کاربر دبیر هیات</t>
        </is>
      </c>
      <c r="D112" t="inlineStr">
        <is>
          <t>Medium</t>
        </is>
      </c>
      <c r="E112" t="n">
        <v>2</v>
      </c>
      <c r="F112" t="inlineStr">
        <is>
          <t>Open</t>
        </is>
      </c>
      <c r="G112" t="inlineStr">
        <is>
          <t>Other</t>
        </is>
      </c>
      <c r="I112" t="inlineStr">
        <is>
          <t>Bizagi_Team</t>
        </is>
      </c>
      <c r="J112" t="inlineStr">
        <is>
          <t>SAJAK</t>
        </is>
      </c>
      <c r="K112" t="inlineStr">
        <is>
          <t>Estate_Sprint 45</t>
        </is>
      </c>
      <c r="M112" t="inlineStr">
        <is>
          <t>Mousavi Azadeh</t>
        </is>
      </c>
      <c r="Q112" s="42" t="n">
        <v>46013.400625</v>
      </c>
      <c r="S112" t="n">
        <v>0</v>
      </c>
      <c r="T112" s="42" t="n">
        <v>46013.400625</v>
      </c>
      <c r="AA112" t="n">
        <v>0</v>
      </c>
      <c r="AD112" t="n">
        <v>2</v>
      </c>
      <c r="AE112" t="n">
        <v>2</v>
      </c>
      <c r="AF112" t="n">
        <v>0</v>
      </c>
      <c r="AI112" t="n">
        <v>0</v>
      </c>
      <c r="AJ112" t="n">
        <v>0</v>
      </c>
      <c r="AM112" t="n">
        <v>4</v>
      </c>
      <c r="AN112" t="n">
        <v>0</v>
      </c>
      <c r="AO112" t="n">
        <v>0</v>
      </c>
      <c r="AP112" t="n">
        <v>0</v>
      </c>
      <c r="AQ112" t="n">
        <v>24</v>
      </c>
      <c r="AR112" t="n">
        <v>0</v>
      </c>
    </row>
    <row r="113">
      <c r="A113" t="n">
        <v>202097</v>
      </c>
      <c r="B113" t="inlineStr">
        <is>
          <t xml:space="preserve">نحوه نمایش روستا درست نیست </t>
        </is>
      </c>
      <c r="D113" t="inlineStr">
        <is>
          <t>Medium</t>
        </is>
      </c>
      <c r="E113" t="n">
        <v>1</v>
      </c>
      <c r="F113" t="inlineStr">
        <is>
          <t>Open</t>
        </is>
      </c>
      <c r="G113" t="inlineStr">
        <is>
          <t>Other</t>
        </is>
      </c>
      <c r="I113" t="inlineStr">
        <is>
          <t>Bizagi_Team</t>
        </is>
      </c>
      <c r="J113" t="inlineStr">
        <is>
          <t>SAJAK</t>
        </is>
      </c>
      <c r="K113" t="inlineStr">
        <is>
          <t>Estate_Sprint 45</t>
        </is>
      </c>
      <c r="M113" t="inlineStr">
        <is>
          <t>Tedadi Abbas</t>
        </is>
      </c>
      <c r="Q113" s="42" t="n">
        <v>46018.41699074074</v>
      </c>
      <c r="S113" t="n">
        <v>0</v>
      </c>
      <c r="T113" s="42" t="n">
        <v>46018.41699074074</v>
      </c>
      <c r="AA113" t="n">
        <v>0</v>
      </c>
      <c r="AD113" t="n">
        <v>2</v>
      </c>
      <c r="AE113" t="n">
        <v>2</v>
      </c>
      <c r="AF113" t="n">
        <v>0</v>
      </c>
      <c r="AI113" t="n">
        <v>0</v>
      </c>
      <c r="AJ113" t="n">
        <v>0</v>
      </c>
      <c r="AM113" t="n">
        <v>-1</v>
      </c>
      <c r="AN113" t="n">
        <v>0</v>
      </c>
      <c r="AO113" t="n">
        <v>0</v>
      </c>
      <c r="AP113" t="n">
        <v>0</v>
      </c>
      <c r="AQ113" t="n">
        <v>24</v>
      </c>
      <c r="AR113" t="n">
        <v>0</v>
      </c>
    </row>
    <row r="114">
      <c r="A114" t="n">
        <v>202105</v>
      </c>
      <c r="B114" t="inlineStr">
        <is>
          <t xml:space="preserve">نام سامانه سجا است وارد سامانه می شویم در صفحه هیچ کجا نام سجا نوشته نشده است </t>
        </is>
      </c>
      <c r="D114" t="inlineStr">
        <is>
          <t>Medium</t>
        </is>
      </c>
      <c r="E114" t="n">
        <v>2</v>
      </c>
      <c r="F114" t="inlineStr">
        <is>
          <t>Open</t>
        </is>
      </c>
      <c r="G114" t="inlineStr">
        <is>
          <t>Other</t>
        </is>
      </c>
      <c r="I114" t="inlineStr">
        <is>
          <t>Bizagi_Team</t>
        </is>
      </c>
      <c r="J114" t="inlineStr">
        <is>
          <t>SAJAK</t>
        </is>
      </c>
      <c r="K114" t="inlineStr">
        <is>
          <t>Estate_Sprint 45</t>
        </is>
      </c>
      <c r="M114" t="inlineStr">
        <is>
          <t>Erfani Alireza</t>
        </is>
      </c>
      <c r="Q114" s="42" t="n">
        <v>46012.62260416667</v>
      </c>
      <c r="S114" t="n">
        <v>0</v>
      </c>
      <c r="T114" s="42" t="n">
        <v>46012.62260416667</v>
      </c>
      <c r="AA114" t="n">
        <v>0</v>
      </c>
      <c r="AD114" t="n">
        <v>2</v>
      </c>
      <c r="AE114" t="n">
        <v>2</v>
      </c>
      <c r="AF114" t="n">
        <v>0</v>
      </c>
      <c r="AI114" t="n">
        <v>0</v>
      </c>
      <c r="AJ114" t="n">
        <v>0</v>
      </c>
      <c r="AM114" t="n">
        <v>5</v>
      </c>
      <c r="AN114" t="n">
        <v>0</v>
      </c>
      <c r="AO114" t="n">
        <v>0</v>
      </c>
      <c r="AP114" t="n">
        <v>0</v>
      </c>
      <c r="AQ114" t="n">
        <v>24</v>
      </c>
      <c r="AR114" t="n">
        <v>0</v>
      </c>
    </row>
    <row r="115">
      <c r="A115" t="n">
        <v>202008</v>
      </c>
      <c r="B115" t="inlineStr">
        <is>
          <t>فرم لینک ثبت هم‌زمان صورت‌های مالی ، جدول در لینک‌ها در پنل «اطلاعات پایه صورت‌های مالی» نمایش داده نمی‌شود/1382</t>
        </is>
      </c>
      <c r="D115" t="inlineStr">
        <is>
          <t>Medium</t>
        </is>
      </c>
      <c r="E115" t="n">
        <v>2</v>
      </c>
      <c r="F115" t="inlineStr">
        <is>
          <t>Active</t>
        </is>
      </c>
      <c r="G115" t="inlineStr">
        <is>
          <t>Other</t>
        </is>
      </c>
      <c r="J115" t="inlineStr">
        <is>
          <t>Dem</t>
        </is>
      </c>
      <c r="K115" t="inlineStr">
        <is>
          <t>DemBiz</t>
        </is>
      </c>
      <c r="M115" t="inlineStr">
        <is>
          <t>Hoseini Fatemeh</t>
        </is>
      </c>
      <c r="Q115" s="42" t="n">
        <v>46012.67494212963</v>
      </c>
      <c r="S115" t="n">
        <v>0</v>
      </c>
      <c r="T115" s="42" t="n">
        <v>46012.67494212963</v>
      </c>
      <c r="AA115" t="n">
        <v>0</v>
      </c>
      <c r="AD115" t="n">
        <v>2</v>
      </c>
      <c r="AE115" t="n">
        <v>2</v>
      </c>
      <c r="AF115" t="n">
        <v>0</v>
      </c>
      <c r="AI115" t="n">
        <v>0</v>
      </c>
      <c r="AJ115" t="n">
        <v>0</v>
      </c>
      <c r="AM115" t="n">
        <v>5</v>
      </c>
      <c r="AN115" t="n">
        <v>0</v>
      </c>
      <c r="AO115" t="n">
        <v>0</v>
      </c>
      <c r="AP115" t="n">
        <v>0</v>
      </c>
      <c r="AQ115" t="n">
        <v>24</v>
      </c>
      <c r="AR115" t="n">
        <v>0</v>
      </c>
    </row>
    <row r="116">
      <c r="A116" t="n">
        <v>202013</v>
      </c>
      <c r="B116" t="inlineStr">
        <is>
          <t>فرم لینک کپی اطلاعات از سایر پیشنهادات،نظریه کارشناسی  کپی نمی‌شود /1382</t>
        </is>
      </c>
      <c r="D116" t="inlineStr">
        <is>
          <t>Medium</t>
        </is>
      </c>
      <c r="E116" t="n">
        <v>2</v>
      </c>
      <c r="F116" t="inlineStr">
        <is>
          <t>Closed</t>
        </is>
      </c>
      <c r="G116" t="inlineStr">
        <is>
          <t>Other</t>
        </is>
      </c>
      <c r="J116" t="inlineStr">
        <is>
          <t>Dem</t>
        </is>
      </c>
      <c r="K116" t="inlineStr">
        <is>
          <t>DemBiz</t>
        </is>
      </c>
      <c r="L116" t="inlineStr">
        <is>
          <t>Completed</t>
        </is>
      </c>
      <c r="M116" t="inlineStr">
        <is>
          <t>Hoseini Fatemeh</t>
        </is>
      </c>
      <c r="N116" t="inlineStr">
        <is>
          <t>Hajizadeh Elnaz</t>
        </is>
      </c>
      <c r="O116" s="42" t="n">
        <v>46012.67701388889</v>
      </c>
      <c r="Q116" s="42" t="n">
        <v>46012.67701388889</v>
      </c>
      <c r="S116" t="n">
        <v>0</v>
      </c>
      <c r="T116" s="42" t="n">
        <v>46012.67701388889</v>
      </c>
      <c r="Z116" s="42" t="n">
        <v>46012.67701388889</v>
      </c>
      <c r="AA116" t="n">
        <v>0</v>
      </c>
      <c r="AD116" t="n">
        <v>2</v>
      </c>
      <c r="AE116" t="n">
        <v>2</v>
      </c>
      <c r="AF116" t="n">
        <v>0</v>
      </c>
      <c r="AI116" t="n">
        <v>0</v>
      </c>
      <c r="AJ116" t="n">
        <v>0</v>
      </c>
      <c r="AK116" t="n">
        <v>0</v>
      </c>
      <c r="AL116" t="n">
        <v>0</v>
      </c>
      <c r="AN116" t="n">
        <v>0</v>
      </c>
      <c r="AO116" t="n">
        <v>0</v>
      </c>
      <c r="AP116" t="n">
        <v>0</v>
      </c>
      <c r="AQ116" t="n">
        <v>24</v>
      </c>
      <c r="AR116" t="n">
        <v>0</v>
      </c>
    </row>
    <row r="117">
      <c r="A117" t="n">
        <v>203523</v>
      </c>
      <c r="B117" t="inlineStr">
        <is>
          <t>فرآیند کاربران سامانه</t>
        </is>
      </c>
      <c r="D117" t="inlineStr">
        <is>
          <t>Medium</t>
        </is>
      </c>
      <c r="E117" t="n">
        <v>2</v>
      </c>
      <c r="F117" t="inlineStr">
        <is>
          <t>Open</t>
        </is>
      </c>
      <c r="G117" t="inlineStr">
        <is>
          <t>Other</t>
        </is>
      </c>
      <c r="J117" t="inlineStr">
        <is>
          <t>Post Bank</t>
        </is>
      </c>
      <c r="K117" t="inlineStr">
        <is>
          <t>Sprint 21</t>
        </is>
      </c>
      <c r="M117" t="inlineStr">
        <is>
          <t>Heidari Forouzan</t>
        </is>
      </c>
      <c r="Q117" s="42" t="n">
        <v>46018.3981712963</v>
      </c>
      <c r="S117" t="n">
        <v>0</v>
      </c>
      <c r="T117" s="42" t="n">
        <v>46018.3981712963</v>
      </c>
      <c r="AA117" t="n">
        <v>0</v>
      </c>
      <c r="AD117" t="n">
        <v>2</v>
      </c>
      <c r="AE117" t="n">
        <v>2</v>
      </c>
      <c r="AF117" t="n">
        <v>0</v>
      </c>
      <c r="AI117" t="n">
        <v>0</v>
      </c>
      <c r="AJ117" t="n">
        <v>0</v>
      </c>
      <c r="AM117" t="n">
        <v>-1</v>
      </c>
      <c r="AN117" t="n">
        <v>0</v>
      </c>
      <c r="AO117" t="n">
        <v>0</v>
      </c>
      <c r="AP117" t="n">
        <v>0</v>
      </c>
      <c r="AQ117" t="n">
        <v>24</v>
      </c>
      <c r="AR117" t="n">
        <v>0</v>
      </c>
    </row>
    <row r="118">
      <c r="A118" t="n">
        <v>203534</v>
      </c>
      <c r="B118" t="inlineStr">
        <is>
          <t>رکورد های خالی و شماره اسناد تکراری در فرایند کاربران سامانه</t>
        </is>
      </c>
      <c r="D118" t="inlineStr">
        <is>
          <t>Medium</t>
        </is>
      </c>
      <c r="E118" t="n">
        <v>2</v>
      </c>
      <c r="F118" t="inlineStr">
        <is>
          <t>Open</t>
        </is>
      </c>
      <c r="G118" t="inlineStr">
        <is>
          <t>Other</t>
        </is>
      </c>
      <c r="J118" t="inlineStr">
        <is>
          <t>Post Bank</t>
        </is>
      </c>
      <c r="K118" t="inlineStr">
        <is>
          <t>Sprint 21</t>
        </is>
      </c>
      <c r="M118" t="inlineStr">
        <is>
          <t>Heidari Forouzan</t>
        </is>
      </c>
      <c r="Q118" s="42" t="n">
        <v>46018.41331018518</v>
      </c>
      <c r="S118" t="n">
        <v>0</v>
      </c>
      <c r="T118" s="42" t="n">
        <v>46018.41331018518</v>
      </c>
      <c r="AA118" t="n">
        <v>0</v>
      </c>
      <c r="AD118" t="n">
        <v>2</v>
      </c>
      <c r="AE118" t="n">
        <v>2</v>
      </c>
      <c r="AF118" t="n">
        <v>0</v>
      </c>
      <c r="AI118" t="n">
        <v>0</v>
      </c>
      <c r="AJ118" t="n">
        <v>0</v>
      </c>
      <c r="AM118" t="n">
        <v>-1</v>
      </c>
      <c r="AN118" t="n">
        <v>0</v>
      </c>
      <c r="AO118" t="n">
        <v>0</v>
      </c>
      <c r="AP118" t="n">
        <v>0</v>
      </c>
      <c r="AQ118" t="n">
        <v>24</v>
      </c>
      <c r="AR118" t="n">
        <v>0</v>
      </c>
    </row>
    <row r="119">
      <c r="A119" t="n">
        <v>203536</v>
      </c>
      <c r="B119" t="inlineStr">
        <is>
          <t>ارور به محض لاگین/3232</t>
        </is>
      </c>
      <c r="D119" t="inlineStr">
        <is>
          <t>Medium</t>
        </is>
      </c>
      <c r="E119" t="n">
        <v>2</v>
      </c>
      <c r="F119" t="inlineStr">
        <is>
          <t>Open</t>
        </is>
      </c>
      <c r="G119" t="inlineStr">
        <is>
          <t>Other</t>
        </is>
      </c>
      <c r="J119" t="inlineStr">
        <is>
          <t>Post Bank</t>
        </is>
      </c>
      <c r="K119" t="inlineStr">
        <is>
          <t>Sprint 21</t>
        </is>
      </c>
      <c r="M119" t="inlineStr">
        <is>
          <t>Heidari Forouzan</t>
        </is>
      </c>
      <c r="Q119" s="42" t="n">
        <v>46018.43106481482</v>
      </c>
      <c r="S119" t="n">
        <v>0</v>
      </c>
      <c r="T119" s="42" t="n">
        <v>46018.43106481482</v>
      </c>
      <c r="AA119" t="n">
        <v>0</v>
      </c>
      <c r="AD119" t="n">
        <v>2</v>
      </c>
      <c r="AE119" t="n">
        <v>2</v>
      </c>
      <c r="AF119" t="n">
        <v>0</v>
      </c>
      <c r="AI119" t="n">
        <v>0</v>
      </c>
      <c r="AJ119" t="n">
        <v>0</v>
      </c>
      <c r="AM119" t="n">
        <v>-1</v>
      </c>
      <c r="AN119" t="n">
        <v>0</v>
      </c>
      <c r="AO119" t="n">
        <v>0</v>
      </c>
      <c r="AP119" t="n">
        <v>0</v>
      </c>
      <c r="AQ119" t="n">
        <v>24</v>
      </c>
      <c r="AR119" t="n">
        <v>0</v>
      </c>
    </row>
    <row r="120">
      <c r="A120" t="n">
        <v>203537</v>
      </c>
      <c r="B120" t="inlineStr">
        <is>
          <t>درخواست بایگانی اسناد - تحویل اسناد به  انبار عدم کنترل ثبت تاریخ بزرگتر از روز جاری در خروج از انبار</t>
        </is>
      </c>
      <c r="D120" t="inlineStr">
        <is>
          <t>Medium</t>
        </is>
      </c>
      <c r="E120" t="n">
        <v>1</v>
      </c>
      <c r="F120" t="inlineStr">
        <is>
          <t>New</t>
        </is>
      </c>
      <c r="G120" t="inlineStr">
        <is>
          <t>Other</t>
        </is>
      </c>
      <c r="J120" t="inlineStr">
        <is>
          <t>Stagnant Archive</t>
        </is>
      </c>
      <c r="K120" t="inlineStr">
        <is>
          <t>Sp_23</t>
        </is>
      </c>
      <c r="M120" t="inlineStr">
        <is>
          <t>Homayoun Mohammad</t>
        </is>
      </c>
      <c r="Q120" s="42" t="n">
        <v>46018.45825231481</v>
      </c>
      <c r="S120" t="n">
        <v>0</v>
      </c>
      <c r="T120" s="42" t="n">
        <v>46018.45825231481</v>
      </c>
      <c r="AA120" t="n">
        <v>0</v>
      </c>
      <c r="AD120" t="n">
        <v>2</v>
      </c>
      <c r="AE120" t="n">
        <v>2</v>
      </c>
      <c r="AF120" t="n">
        <v>0</v>
      </c>
      <c r="AI120" t="n">
        <v>0</v>
      </c>
      <c r="AJ120" t="n">
        <v>0</v>
      </c>
      <c r="AM120" t="n">
        <v>-1</v>
      </c>
      <c r="AN120" t="n">
        <v>0</v>
      </c>
      <c r="AO120" t="n">
        <v>0</v>
      </c>
      <c r="AP120" t="n">
        <v>0</v>
      </c>
      <c r="AQ120" t="n">
        <v>24</v>
      </c>
      <c r="AR120" t="n">
        <v>0</v>
      </c>
    </row>
    <row r="121">
      <c r="A121" t="n">
        <v>203539</v>
      </c>
      <c r="B121" t="inlineStr">
        <is>
          <t>باگ 429 برای تمام فرایندهای باجه/3232</t>
        </is>
      </c>
      <c r="D121" t="inlineStr">
        <is>
          <t>Medium</t>
        </is>
      </c>
      <c r="E121" t="n">
        <v>2</v>
      </c>
      <c r="F121" t="inlineStr">
        <is>
          <t>Open</t>
        </is>
      </c>
      <c r="G121" t="inlineStr">
        <is>
          <t>Other</t>
        </is>
      </c>
      <c r="J121" t="inlineStr">
        <is>
          <t>Post Bank</t>
        </is>
      </c>
      <c r="K121" t="inlineStr">
        <is>
          <t>Sprint 21</t>
        </is>
      </c>
      <c r="M121" t="inlineStr">
        <is>
          <t>Heidari Forouzan</t>
        </is>
      </c>
      <c r="Q121" s="42" t="n">
        <v>46018.43832175926</v>
      </c>
      <c r="S121" t="n">
        <v>0</v>
      </c>
      <c r="T121" s="42" t="n">
        <v>46018.43832175926</v>
      </c>
      <c r="AA121" t="n">
        <v>0</v>
      </c>
      <c r="AD121" t="n">
        <v>2</v>
      </c>
      <c r="AE121" t="n">
        <v>2</v>
      </c>
      <c r="AF121" t="n">
        <v>0</v>
      </c>
      <c r="AI121" t="n">
        <v>0</v>
      </c>
      <c r="AJ121" t="n">
        <v>0</v>
      </c>
      <c r="AM121" t="n">
        <v>-1</v>
      </c>
      <c r="AN121" t="n">
        <v>0</v>
      </c>
      <c r="AO121" t="n">
        <v>0</v>
      </c>
      <c r="AP121" t="n">
        <v>0</v>
      </c>
      <c r="AQ121" t="n">
        <v>24</v>
      </c>
      <c r="AR121" t="n">
        <v>0</v>
      </c>
    </row>
    <row r="122">
      <c r="A122" t="n">
        <v>203540</v>
      </c>
      <c r="B122" t="inlineStr">
        <is>
          <t xml:space="preserve">نمایش خطا در هنگام شروع جلسه هیات </t>
        </is>
      </c>
      <c r="D122" t="inlineStr">
        <is>
          <t>Medium</t>
        </is>
      </c>
      <c r="E122" t="n">
        <v>2</v>
      </c>
      <c r="F122" t="inlineStr">
        <is>
          <t>Open</t>
        </is>
      </c>
      <c r="G122" t="inlineStr">
        <is>
          <t>Other</t>
        </is>
      </c>
      <c r="J122" t="inlineStr">
        <is>
          <t>SAJAK</t>
        </is>
      </c>
      <c r="K122" t="inlineStr">
        <is>
          <t>Estate_Sprint 45</t>
        </is>
      </c>
      <c r="M122" t="inlineStr">
        <is>
          <t>Mousavi Azadeh</t>
        </is>
      </c>
      <c r="Q122" s="42" t="n">
        <v>46018.44252314815</v>
      </c>
      <c r="S122" t="n">
        <v>0</v>
      </c>
      <c r="T122" s="42" t="n">
        <v>46018.44252314815</v>
      </c>
      <c r="AA122" t="n">
        <v>0</v>
      </c>
      <c r="AD122" t="n">
        <v>2</v>
      </c>
      <c r="AE122" t="n">
        <v>2</v>
      </c>
      <c r="AF122" t="n">
        <v>0</v>
      </c>
      <c r="AI122" t="n">
        <v>0</v>
      </c>
      <c r="AJ122" t="n">
        <v>0</v>
      </c>
      <c r="AM122" t="n">
        <v>-1</v>
      </c>
      <c r="AN122" t="n">
        <v>0</v>
      </c>
      <c r="AO122" t="n">
        <v>0</v>
      </c>
      <c r="AP122" t="n">
        <v>0</v>
      </c>
      <c r="AQ122" t="n">
        <v>24</v>
      </c>
      <c r="AR122" t="n">
        <v>0</v>
      </c>
    </row>
    <row r="123">
      <c r="A123" t="n">
        <v>203542</v>
      </c>
      <c r="B123" t="inlineStr">
        <is>
          <t>ارور 404 در فرایند نمایش اطلاعات باجه/3232</t>
        </is>
      </c>
      <c r="D123" t="inlineStr">
        <is>
          <t>Medium</t>
        </is>
      </c>
      <c r="E123" t="n">
        <v>2</v>
      </c>
      <c r="F123" t="inlineStr">
        <is>
          <t>Open</t>
        </is>
      </c>
      <c r="G123" t="inlineStr">
        <is>
          <t>Other</t>
        </is>
      </c>
      <c r="J123" t="inlineStr">
        <is>
          <t>Post Bank</t>
        </is>
      </c>
      <c r="K123" t="inlineStr">
        <is>
          <t>Sprint 21</t>
        </is>
      </c>
      <c r="M123" t="inlineStr">
        <is>
          <t>Heidari Forouzan</t>
        </is>
      </c>
      <c r="Q123" s="42" t="n">
        <v>46018.46640046296</v>
      </c>
      <c r="S123" t="n">
        <v>0</v>
      </c>
      <c r="T123" s="42" t="n">
        <v>46018.46640046296</v>
      </c>
      <c r="AA123" t="n">
        <v>0</v>
      </c>
      <c r="AD123" t="n">
        <v>2</v>
      </c>
      <c r="AE123" t="n">
        <v>2</v>
      </c>
      <c r="AF123" t="n">
        <v>0</v>
      </c>
      <c r="AI123" t="n">
        <v>0</v>
      </c>
      <c r="AJ123" t="n">
        <v>0</v>
      </c>
      <c r="AM123" t="n">
        <v>-1</v>
      </c>
      <c r="AN123" t="n">
        <v>0</v>
      </c>
      <c r="AO123" t="n">
        <v>0</v>
      </c>
      <c r="AP123" t="n">
        <v>0</v>
      </c>
      <c r="AQ123" t="n">
        <v>24</v>
      </c>
      <c r="AR123" t="n">
        <v>0</v>
      </c>
    </row>
    <row r="124">
      <c r="A124" t="n">
        <v>203309</v>
      </c>
      <c r="B124" t="inlineStr">
        <is>
          <t>خطای 500 اتچ فایل/1365</t>
        </is>
      </c>
      <c r="D124" t="inlineStr">
        <is>
          <t>Medium</t>
        </is>
      </c>
      <c r="E124" t="n">
        <v>2</v>
      </c>
      <c r="F124" t="inlineStr">
        <is>
          <t>Open</t>
        </is>
      </c>
      <c r="G124" t="inlineStr">
        <is>
          <t>Other</t>
        </is>
      </c>
      <c r="J124" t="inlineStr">
        <is>
          <t>Post Bank</t>
        </is>
      </c>
      <c r="K124" t="inlineStr">
        <is>
          <t>Sprint 21</t>
        </is>
      </c>
      <c r="M124" t="inlineStr">
        <is>
          <t>Heidari Forouzan</t>
        </is>
      </c>
      <c r="Q124" s="42" t="n">
        <v>46015.65438657408</v>
      </c>
      <c r="S124" t="n">
        <v>0</v>
      </c>
      <c r="T124" s="42" t="n">
        <v>46015.65438657408</v>
      </c>
      <c r="AA124" t="n">
        <v>0</v>
      </c>
      <c r="AD124" t="n">
        <v>2</v>
      </c>
      <c r="AE124" t="n">
        <v>2</v>
      </c>
      <c r="AF124" t="n">
        <v>0</v>
      </c>
      <c r="AI124" t="n">
        <v>0</v>
      </c>
      <c r="AJ124" t="n">
        <v>0</v>
      </c>
      <c r="AM124" t="n">
        <v>2</v>
      </c>
      <c r="AN124" t="n">
        <v>0</v>
      </c>
      <c r="AO124" t="n">
        <v>0</v>
      </c>
      <c r="AP124" t="n">
        <v>0</v>
      </c>
      <c r="AQ124" t="n">
        <v>24</v>
      </c>
      <c r="AR124" t="n">
        <v>0</v>
      </c>
    </row>
    <row r="125">
      <c r="A125" t="n">
        <v>201389</v>
      </c>
      <c r="B125" t="inlineStr">
        <is>
          <t>برگزاری جلسه هیات - فرم طرح پرونده در هیات- خالی بودن نوع درخواست مرجع</t>
        </is>
      </c>
      <c r="D125" t="inlineStr">
        <is>
          <t>Medium</t>
        </is>
      </c>
      <c r="E125" t="n">
        <v>2</v>
      </c>
      <c r="F125" t="inlineStr">
        <is>
          <t>Resolved</t>
        </is>
      </c>
      <c r="G125" t="inlineStr">
        <is>
          <t>Other</t>
        </is>
      </c>
      <c r="I125" t="inlineStr">
        <is>
          <t>Bizagi_Team</t>
        </is>
      </c>
      <c r="J125" t="inlineStr">
        <is>
          <t>SAJAK</t>
        </is>
      </c>
      <c r="K125" t="inlineStr">
        <is>
          <t>Estate_Sprint 44</t>
        </is>
      </c>
      <c r="M125" t="inlineStr">
        <is>
          <t>Tedadi Abbas</t>
        </is>
      </c>
      <c r="P125" s="42" t="n">
        <v>46011.62142361111</v>
      </c>
      <c r="Q125" s="42" t="n">
        <v>46011.62142361111</v>
      </c>
      <c r="S125" t="n">
        <v>0</v>
      </c>
      <c r="T125" s="42" t="n">
        <v>46011.62142361111</v>
      </c>
      <c r="AA125" t="n">
        <v>0</v>
      </c>
      <c r="AD125" t="n">
        <v>2</v>
      </c>
      <c r="AE125" t="n">
        <v>2</v>
      </c>
      <c r="AF125" t="n">
        <v>0</v>
      </c>
      <c r="AI125" t="n">
        <v>0</v>
      </c>
      <c r="AJ125" t="n">
        <v>0</v>
      </c>
      <c r="AN125" t="n">
        <v>0</v>
      </c>
      <c r="AO125" t="n">
        <v>0</v>
      </c>
      <c r="AP125" t="n">
        <v>0</v>
      </c>
      <c r="AQ125" t="n">
        <v>24</v>
      </c>
      <c r="AR125" t="n">
        <v>0</v>
      </c>
    </row>
    <row r="126">
      <c r="A126" t="n">
        <v>201418</v>
      </c>
      <c r="B126" t="inlineStr">
        <is>
          <t>مشکلات دیتایی فرایندی مربوط به PersonStructure</t>
        </is>
      </c>
      <c r="D126" t="inlineStr">
        <is>
          <t>Medium</t>
        </is>
      </c>
      <c r="E126" t="n">
        <v>2</v>
      </c>
      <c r="F126" t="inlineStr">
        <is>
          <t>Open</t>
        </is>
      </c>
      <c r="G126" t="inlineStr">
        <is>
          <t>Other</t>
        </is>
      </c>
      <c r="J126" t="inlineStr">
        <is>
          <t>Post Bank</t>
        </is>
      </c>
      <c r="K126" t="inlineStr">
        <is>
          <t>Sprint 21</t>
        </is>
      </c>
      <c r="M126" t="inlineStr">
        <is>
          <t>Arshi Mahmood</t>
        </is>
      </c>
      <c r="Q126" s="42" t="n">
        <v>46008.64784722222</v>
      </c>
      <c r="S126" t="n">
        <v>0</v>
      </c>
      <c r="T126" s="42" t="n">
        <v>46008.64784722222</v>
      </c>
      <c r="AA126" t="n">
        <v>0</v>
      </c>
      <c r="AD126" t="n">
        <v>2</v>
      </c>
      <c r="AE126" t="n">
        <v>2</v>
      </c>
      <c r="AF126" t="n">
        <v>0</v>
      </c>
      <c r="AI126" t="n">
        <v>0</v>
      </c>
      <c r="AJ126" t="n">
        <v>0</v>
      </c>
      <c r="AM126" t="n">
        <v>9</v>
      </c>
      <c r="AN126" t="n">
        <v>0</v>
      </c>
      <c r="AO126" t="n">
        <v>0</v>
      </c>
      <c r="AP126" t="n">
        <v>0</v>
      </c>
      <c r="AQ126" t="n">
        <v>24</v>
      </c>
      <c r="AR126" t="n">
        <v>0</v>
      </c>
    </row>
    <row r="127">
      <c r="A127" t="n">
        <v>200817</v>
      </c>
      <c r="B127" t="inlineStr">
        <is>
          <t>بایگانی /ارور لاگین یوزر زاغری  s.kh</t>
        </is>
      </c>
      <c r="D127" t="inlineStr">
        <is>
          <t>Medium</t>
        </is>
      </c>
      <c r="E127" t="n">
        <v>2</v>
      </c>
      <c r="F127" t="inlineStr">
        <is>
          <t>Closed</t>
        </is>
      </c>
      <c r="G127" t="inlineStr">
        <is>
          <t>Other</t>
        </is>
      </c>
      <c r="J127" t="inlineStr">
        <is>
          <t>Stagnant Archive</t>
        </is>
      </c>
      <c r="K127" t="inlineStr">
        <is>
          <t>Sp_22</t>
        </is>
      </c>
      <c r="L127" t="inlineStr">
        <is>
          <t>Completed</t>
        </is>
      </c>
      <c r="M127" t="inlineStr">
        <is>
          <t>Homayoun Mohammad</t>
        </is>
      </c>
      <c r="N127" t="inlineStr">
        <is>
          <t>Khodabakhsh Sadaf</t>
        </is>
      </c>
      <c r="O127" s="42" t="n">
        <v>46008.60043981481</v>
      </c>
      <c r="Q127" s="42" t="n">
        <v>46008.60043981481</v>
      </c>
      <c r="S127" t="n">
        <v>0</v>
      </c>
      <c r="T127" s="42" t="n">
        <v>46008.60043981481</v>
      </c>
      <c r="Z127" s="42" t="n">
        <v>46008.60043981481</v>
      </c>
      <c r="AA127" t="n">
        <v>0</v>
      </c>
      <c r="AD127" t="n">
        <v>2</v>
      </c>
      <c r="AE127" t="n">
        <v>2</v>
      </c>
      <c r="AF127" t="n">
        <v>0</v>
      </c>
      <c r="AI127" t="n">
        <v>0</v>
      </c>
      <c r="AJ127" t="n">
        <v>0</v>
      </c>
      <c r="AK127" t="n">
        <v>0</v>
      </c>
      <c r="AL127" t="n">
        <v>0</v>
      </c>
      <c r="AN127" t="n">
        <v>0</v>
      </c>
      <c r="AO127" t="n">
        <v>0</v>
      </c>
      <c r="AP127" t="n">
        <v>0</v>
      </c>
      <c r="AQ127" t="n">
        <v>24</v>
      </c>
      <c r="AR127" t="n">
        <v>0</v>
      </c>
    </row>
    <row r="128">
      <c r="A128" t="n">
        <v>200528</v>
      </c>
      <c r="B128" t="inlineStr">
        <is>
          <t xml:space="preserve">بعد از کلیک بر روی شروع جلسه فرمی که باز می شود در گرید می بایست ستون درخواست های ادعا قرار داشته باشد و در انتهای فرم دکمه شروع جلسه هیئت می بایست قرار داشته باشد به جای ارسال </t>
        </is>
      </c>
      <c r="D128" t="inlineStr">
        <is>
          <t>Medium</t>
        </is>
      </c>
      <c r="E128" t="n">
        <v>3</v>
      </c>
      <c r="F128" t="inlineStr">
        <is>
          <t>Open</t>
        </is>
      </c>
      <c r="G128" t="inlineStr">
        <is>
          <t>Other</t>
        </is>
      </c>
      <c r="I128" t="inlineStr">
        <is>
          <t>Bizagi_Team</t>
        </is>
      </c>
      <c r="J128" t="inlineStr">
        <is>
          <t>SAJAK</t>
        </is>
      </c>
      <c r="K128" t="inlineStr">
        <is>
          <t>Estate_Sprint 45</t>
        </is>
      </c>
      <c r="M128" t="inlineStr">
        <is>
          <t>Shamsfard Ahmad</t>
        </is>
      </c>
      <c r="Q128" s="42" t="n">
        <v>46011.46910879629</v>
      </c>
      <c r="S128" t="n">
        <v>0</v>
      </c>
      <c r="T128" s="42" t="n">
        <v>46011.46910879629</v>
      </c>
      <c r="AA128" t="n">
        <v>0</v>
      </c>
      <c r="AD128" t="n">
        <v>2</v>
      </c>
      <c r="AE128" t="n">
        <v>2</v>
      </c>
      <c r="AF128" t="n">
        <v>0</v>
      </c>
      <c r="AI128" t="n">
        <v>0</v>
      </c>
      <c r="AJ128" t="n">
        <v>0</v>
      </c>
      <c r="AM128" t="n">
        <v>6</v>
      </c>
      <c r="AN128" t="n">
        <v>0</v>
      </c>
      <c r="AO128" t="n">
        <v>0</v>
      </c>
      <c r="AP128" t="n">
        <v>0</v>
      </c>
      <c r="AQ128" t="n">
        <v>24</v>
      </c>
      <c r="AR128" t="n">
        <v>0</v>
      </c>
    </row>
    <row r="129">
      <c r="A129" t="n">
        <v>200593</v>
      </c>
      <c r="B129" t="inlineStr">
        <is>
          <t>خطای 500 هنگام نکست کردن فرآیند های کارتابل مدیریت شعب استان</t>
        </is>
      </c>
      <c r="D129" t="inlineStr">
        <is>
          <t>Medium</t>
        </is>
      </c>
      <c r="E129" t="n">
        <v>2</v>
      </c>
      <c r="F129" t="inlineStr">
        <is>
          <t>Closed</t>
        </is>
      </c>
      <c r="G129" t="inlineStr">
        <is>
          <t>Other</t>
        </is>
      </c>
      <c r="J129" t="inlineStr">
        <is>
          <t>Post Bank</t>
        </is>
      </c>
      <c r="K129" t="inlineStr">
        <is>
          <t>Sprint 20</t>
        </is>
      </c>
      <c r="L129" t="inlineStr">
        <is>
          <t>Completed</t>
        </is>
      </c>
      <c r="M129" t="inlineStr">
        <is>
          <t>Arshi Mahmood</t>
        </is>
      </c>
      <c r="N129" t="inlineStr">
        <is>
          <t>Mohseni Hadise</t>
        </is>
      </c>
      <c r="O129" s="42" t="n">
        <v>46007.4291087963</v>
      </c>
      <c r="Q129" s="42" t="n">
        <v>46007.4291087963</v>
      </c>
      <c r="S129" t="n">
        <v>0</v>
      </c>
      <c r="T129" s="42" t="n">
        <v>46007.4291087963</v>
      </c>
      <c r="Z129" s="42" t="n">
        <v>46007.4291087963</v>
      </c>
      <c r="AA129" t="n">
        <v>0</v>
      </c>
      <c r="AD129" t="n">
        <v>2</v>
      </c>
      <c r="AE129" t="n">
        <v>2</v>
      </c>
      <c r="AF129" t="n">
        <v>0</v>
      </c>
      <c r="AI129" t="n">
        <v>0</v>
      </c>
      <c r="AJ129" t="n">
        <v>0</v>
      </c>
      <c r="AK129" t="n">
        <v>0</v>
      </c>
      <c r="AL129" t="n">
        <v>0</v>
      </c>
      <c r="AN129" t="n">
        <v>0</v>
      </c>
      <c r="AO129" t="n">
        <v>0</v>
      </c>
      <c r="AP129" t="n">
        <v>0</v>
      </c>
      <c r="AQ129" t="n">
        <v>24</v>
      </c>
      <c r="AR129" t="n">
        <v>0</v>
      </c>
    </row>
    <row r="130">
      <c r="A130" t="n">
        <v>200600</v>
      </c>
      <c r="B130" t="inlineStr">
        <is>
          <t>اصلاح شماره نامه ها</t>
        </is>
      </c>
      <c r="D130" t="inlineStr">
        <is>
          <t>Medium</t>
        </is>
      </c>
      <c r="E130" t="n">
        <v>2</v>
      </c>
      <c r="F130" t="inlineStr">
        <is>
          <t>Closed</t>
        </is>
      </c>
      <c r="G130" t="inlineStr">
        <is>
          <t>Other</t>
        </is>
      </c>
      <c r="J130" t="inlineStr">
        <is>
          <t>Post Bank</t>
        </is>
      </c>
      <c r="K130" t="inlineStr">
        <is>
          <t>Sprint 21</t>
        </is>
      </c>
      <c r="L130" t="inlineStr">
        <is>
          <t>Completed</t>
        </is>
      </c>
      <c r="M130" t="inlineStr">
        <is>
          <t>Arshi Mahmood</t>
        </is>
      </c>
      <c r="N130" t="inlineStr">
        <is>
          <t>Mohseni Hadise</t>
        </is>
      </c>
      <c r="O130" s="42" t="n">
        <v>46014.43414351852</v>
      </c>
      <c r="Q130" s="42" t="n">
        <v>46014.43414351852</v>
      </c>
      <c r="S130" t="n">
        <v>0</v>
      </c>
      <c r="T130" s="42" t="n">
        <v>46014.43414351852</v>
      </c>
      <c r="Z130" s="42" t="n">
        <v>46014.43414351852</v>
      </c>
      <c r="AA130" t="n">
        <v>0</v>
      </c>
      <c r="AD130" t="n">
        <v>2</v>
      </c>
      <c r="AE130" t="n">
        <v>2</v>
      </c>
      <c r="AF130" t="n">
        <v>0</v>
      </c>
      <c r="AI130" t="n">
        <v>0</v>
      </c>
      <c r="AJ130" t="n">
        <v>0</v>
      </c>
      <c r="AK130" t="n">
        <v>0</v>
      </c>
      <c r="AL130" t="n">
        <v>0</v>
      </c>
      <c r="AN130" t="n">
        <v>0</v>
      </c>
      <c r="AO130" t="n">
        <v>0</v>
      </c>
      <c r="AP130" t="n">
        <v>0</v>
      </c>
      <c r="AQ130" t="n">
        <v>24</v>
      </c>
      <c r="AR130" t="n">
        <v>0</v>
      </c>
    </row>
    <row r="131">
      <c r="A131" t="n">
        <v>200619</v>
      </c>
      <c r="B131" t="inlineStr">
        <is>
          <t>بازیابی -باگ عدم کنترل اسناد درخواستی مشابه       s.kh</t>
        </is>
      </c>
      <c r="D131" t="inlineStr">
        <is>
          <t>Medium</t>
        </is>
      </c>
      <c r="E131" t="n">
        <v>1</v>
      </c>
      <c r="F131" t="inlineStr">
        <is>
          <t>New</t>
        </is>
      </c>
      <c r="G131" t="inlineStr">
        <is>
          <t>Other</t>
        </is>
      </c>
      <c r="J131" t="inlineStr">
        <is>
          <t>Stagnant Archive</t>
        </is>
      </c>
      <c r="K131" t="inlineStr">
        <is>
          <t>Sp_23</t>
        </is>
      </c>
      <c r="M131" t="inlineStr">
        <is>
          <t>Homayoun Mohammad</t>
        </is>
      </c>
      <c r="Q131" s="42" t="n">
        <v>46018.41773148148</v>
      </c>
      <c r="S131" t="n">
        <v>0</v>
      </c>
      <c r="T131" s="42" t="n">
        <v>46018.41773148148</v>
      </c>
      <c r="AA131" t="n">
        <v>0</v>
      </c>
      <c r="AD131" t="n">
        <v>2</v>
      </c>
      <c r="AE131" t="n">
        <v>2</v>
      </c>
      <c r="AF131" t="n">
        <v>0</v>
      </c>
      <c r="AI131" t="n">
        <v>0</v>
      </c>
      <c r="AJ131" t="n">
        <v>0</v>
      </c>
      <c r="AM131" t="n">
        <v>-1</v>
      </c>
      <c r="AN131" t="n">
        <v>0</v>
      </c>
      <c r="AO131" t="n">
        <v>0</v>
      </c>
      <c r="AP131" t="n">
        <v>0</v>
      </c>
      <c r="AQ131" t="n">
        <v>24</v>
      </c>
      <c r="AR131" t="n">
        <v>0</v>
      </c>
    </row>
    <row r="132">
      <c r="A132" t="n">
        <v>200620</v>
      </c>
      <c r="B132" t="inlineStr">
        <is>
          <t>بایگانی /عدم نمایش تعطیل رسمی در تقویم  s.kh -  NFWARCH</t>
        </is>
      </c>
      <c r="D132" t="inlineStr">
        <is>
          <t>Medium</t>
        </is>
      </c>
      <c r="E132" t="n">
        <v>2</v>
      </c>
      <c r="F132" t="inlineStr">
        <is>
          <t>Open</t>
        </is>
      </c>
      <c r="G132" t="inlineStr">
        <is>
          <t>Other</t>
        </is>
      </c>
      <c r="J132" t="inlineStr">
        <is>
          <t>Infrastructure Bizagi Extension</t>
        </is>
      </c>
      <c r="K132" t="inlineStr">
        <is>
          <t>SP_88</t>
        </is>
      </c>
      <c r="M132" t="inlineStr">
        <is>
          <t>Roohi Jamshid</t>
        </is>
      </c>
      <c r="Q132" s="42" t="n">
        <v>46004.92895833333</v>
      </c>
      <c r="S132" t="n">
        <v>0</v>
      </c>
      <c r="T132" s="42" t="n">
        <v>46004.92895833333</v>
      </c>
      <c r="AA132" t="n">
        <v>0</v>
      </c>
      <c r="AD132" t="n">
        <v>2</v>
      </c>
      <c r="AE132" t="n">
        <v>2</v>
      </c>
      <c r="AF132" t="n">
        <v>0</v>
      </c>
      <c r="AI132" t="n">
        <v>0</v>
      </c>
      <c r="AJ132" t="n">
        <v>0</v>
      </c>
      <c r="AM132" t="n">
        <v>13</v>
      </c>
      <c r="AN132" t="n">
        <v>0</v>
      </c>
      <c r="AO132" t="n">
        <v>0</v>
      </c>
      <c r="AP132" t="n">
        <v>0</v>
      </c>
      <c r="AQ132" t="n">
        <v>24</v>
      </c>
      <c r="AR132" t="n">
        <v>0</v>
      </c>
    </row>
    <row r="133">
      <c r="A133" t="n">
        <v>200839</v>
      </c>
      <c r="B133" t="inlineStr">
        <is>
          <t>AE_SAJA\\ مشکل در اجرای اکسپرشن گیت وی</t>
        </is>
      </c>
      <c r="D133" t="inlineStr">
        <is>
          <t>Medium</t>
        </is>
      </c>
      <c r="E133" t="n">
        <v>2</v>
      </c>
      <c r="F133" t="inlineStr">
        <is>
          <t>Closed</t>
        </is>
      </c>
      <c r="G133" t="inlineStr">
        <is>
          <t>Other</t>
        </is>
      </c>
      <c r="J133" t="inlineStr">
        <is>
          <t>Infrastructure Bizagi Extension</t>
        </is>
      </c>
      <c r="K133" t="inlineStr">
        <is>
          <t>SP_88</t>
        </is>
      </c>
      <c r="L133" t="inlineStr">
        <is>
          <t>Completed</t>
        </is>
      </c>
      <c r="M133" t="inlineStr">
        <is>
          <t>Nemati Hasan</t>
        </is>
      </c>
      <c r="N133" t="inlineStr">
        <is>
          <t>Tedadi Abbas</t>
        </is>
      </c>
      <c r="O133" s="42" t="n">
        <v>46014.70180555555</v>
      </c>
      <c r="Q133" s="42" t="n">
        <v>46014.70180555555</v>
      </c>
      <c r="S133" t="n">
        <v>0</v>
      </c>
      <c r="T133" s="42" t="n">
        <v>46014.70180555555</v>
      </c>
      <c r="Z133" s="42" t="n">
        <v>46014.70180555555</v>
      </c>
      <c r="AA133" t="n">
        <v>0</v>
      </c>
      <c r="AD133" t="n">
        <v>2</v>
      </c>
      <c r="AE133" t="n">
        <v>2</v>
      </c>
      <c r="AF133" t="n">
        <v>0</v>
      </c>
      <c r="AI133" t="n">
        <v>0</v>
      </c>
      <c r="AJ133" t="n">
        <v>0</v>
      </c>
      <c r="AK133" t="n">
        <v>0</v>
      </c>
      <c r="AL133" t="n">
        <v>0</v>
      </c>
      <c r="AN133" t="n">
        <v>0</v>
      </c>
      <c r="AO133" t="n">
        <v>0</v>
      </c>
      <c r="AP133" t="n">
        <v>0</v>
      </c>
      <c r="AQ133" t="n">
        <v>24</v>
      </c>
      <c r="AR133" t="n">
        <v>0</v>
      </c>
    </row>
    <row r="134">
      <c r="A134" t="n">
        <v>200889</v>
      </c>
      <c r="B134" t="inlineStr">
        <is>
          <t>24) مدیریت گزارشات / عدم نمایش دیتا در گزارش رهگیری درخواست/ اداره ساختمان</t>
        </is>
      </c>
      <c r="D134" t="inlineStr">
        <is>
          <t>Medium</t>
        </is>
      </c>
      <c r="E134" t="n">
        <v>2</v>
      </c>
      <c r="F134" t="inlineStr">
        <is>
          <t>Closed</t>
        </is>
      </c>
      <c r="G134" t="inlineStr">
        <is>
          <t>Other</t>
        </is>
      </c>
      <c r="J134" t="inlineStr">
        <is>
          <t>Was</t>
        </is>
      </c>
      <c r="K134" t="inlineStr">
        <is>
          <t>Sp_88</t>
        </is>
      </c>
      <c r="L134" t="inlineStr">
        <is>
          <t>Completed</t>
        </is>
      </c>
      <c r="M134" t="inlineStr">
        <is>
          <t>AzarSina Reza</t>
        </is>
      </c>
      <c r="N134" t="inlineStr">
        <is>
          <t>Mokaber Melika</t>
        </is>
      </c>
      <c r="O134" s="42" t="n">
        <v>46011.42612268519</v>
      </c>
      <c r="Q134" s="42" t="n">
        <v>46011.42612268519</v>
      </c>
      <c r="S134" t="n">
        <v>0</v>
      </c>
      <c r="T134" s="42" t="n">
        <v>46011.42612268519</v>
      </c>
      <c r="Z134" s="42" t="n">
        <v>46011.42612268519</v>
      </c>
      <c r="AA134" t="n">
        <v>0</v>
      </c>
      <c r="AD134" t="n">
        <v>2</v>
      </c>
      <c r="AE134" t="n">
        <v>2</v>
      </c>
      <c r="AF134" t="n">
        <v>0</v>
      </c>
      <c r="AI134" t="n">
        <v>0</v>
      </c>
      <c r="AJ134" t="n">
        <v>0</v>
      </c>
      <c r="AK134" t="n">
        <v>0</v>
      </c>
      <c r="AL134" t="n">
        <v>0</v>
      </c>
      <c r="AN134" t="n">
        <v>0</v>
      </c>
      <c r="AO134" t="n">
        <v>0</v>
      </c>
      <c r="AP134" t="n">
        <v>0</v>
      </c>
      <c r="AQ134" t="n">
        <v>24</v>
      </c>
      <c r="AR134" t="n">
        <v>0</v>
      </c>
    </row>
    <row r="135">
      <c r="A135" t="n">
        <v>201966</v>
      </c>
      <c r="B135" t="inlineStr">
        <is>
          <t xml:space="preserve">فرایند بازیابی،تحویل در انبار :کنترل ثبت معرفی نامه حتی در صورت اتچ کردن آن           </t>
        </is>
      </c>
      <c r="D135" t="inlineStr">
        <is>
          <t>Medium</t>
        </is>
      </c>
      <c r="E135" t="n">
        <v>2</v>
      </c>
      <c r="F135" t="inlineStr">
        <is>
          <t>New</t>
        </is>
      </c>
      <c r="G135" t="inlineStr">
        <is>
          <t>Other</t>
        </is>
      </c>
      <c r="J135" t="inlineStr">
        <is>
          <t>Stagnant Archive</t>
        </is>
      </c>
      <c r="K135" t="inlineStr">
        <is>
          <t>Sp_23</t>
        </is>
      </c>
      <c r="M135" t="inlineStr">
        <is>
          <t>Homayoun Mohammad</t>
        </is>
      </c>
      <c r="Q135" s="42" t="n">
        <v>46018.45655092593</v>
      </c>
      <c r="S135" t="n">
        <v>0</v>
      </c>
      <c r="T135" s="42" t="n">
        <v>46018.45655092593</v>
      </c>
      <c r="AA135" t="n">
        <v>0</v>
      </c>
      <c r="AD135" t="n">
        <v>2</v>
      </c>
      <c r="AE135" t="n">
        <v>2</v>
      </c>
      <c r="AF135" t="n">
        <v>0</v>
      </c>
      <c r="AI135" t="n">
        <v>0</v>
      </c>
      <c r="AJ135" t="n">
        <v>0</v>
      </c>
      <c r="AM135" t="n">
        <v>-1</v>
      </c>
      <c r="AN135" t="n">
        <v>0</v>
      </c>
      <c r="AO135" t="n">
        <v>0</v>
      </c>
      <c r="AP135" t="n">
        <v>0</v>
      </c>
      <c r="AQ135" t="n">
        <v>24</v>
      </c>
      <c r="AR135" t="n">
        <v>0</v>
      </c>
    </row>
    <row r="136">
      <c r="A136" t="n">
        <v>201968</v>
      </c>
      <c r="B136" t="inlineStr">
        <is>
          <t xml:space="preserve">فرایند بازیابی،تحویل در انبار :عدم نمایش تاریخ خروج از انبار در پنل رسید بازیابی           </t>
        </is>
      </c>
      <c r="D136" t="inlineStr">
        <is>
          <t>Medium</t>
        </is>
      </c>
      <c r="E136" t="n">
        <v>1</v>
      </c>
      <c r="F136" t="inlineStr">
        <is>
          <t>New</t>
        </is>
      </c>
      <c r="G136" t="inlineStr">
        <is>
          <t>Other</t>
        </is>
      </c>
      <c r="J136" t="inlineStr">
        <is>
          <t>Stagnant Archive</t>
        </is>
      </c>
      <c r="K136" t="inlineStr">
        <is>
          <t>Sp_23</t>
        </is>
      </c>
      <c r="M136" t="inlineStr">
        <is>
          <t>Homayoun Mohammad</t>
        </is>
      </c>
      <c r="Q136" s="42" t="n">
        <v>46018.45700231481</v>
      </c>
      <c r="S136" t="n">
        <v>0</v>
      </c>
      <c r="T136" s="42" t="n">
        <v>46018.45700231481</v>
      </c>
      <c r="AA136" t="n">
        <v>0</v>
      </c>
      <c r="AD136" t="n">
        <v>2</v>
      </c>
      <c r="AE136" t="n">
        <v>2</v>
      </c>
      <c r="AF136" t="n">
        <v>0</v>
      </c>
      <c r="AI136" t="n">
        <v>0</v>
      </c>
      <c r="AJ136" t="n">
        <v>0</v>
      </c>
      <c r="AM136" t="n">
        <v>-1</v>
      </c>
      <c r="AN136" t="n">
        <v>0</v>
      </c>
      <c r="AO136" t="n">
        <v>0</v>
      </c>
      <c r="AP136" t="n">
        <v>0</v>
      </c>
      <c r="AQ136" t="n">
        <v>24</v>
      </c>
      <c r="AR136" t="n">
        <v>0</v>
      </c>
    </row>
    <row r="137">
      <c r="A137" t="n">
        <v>201857</v>
      </c>
      <c r="B137" t="inlineStr">
        <is>
          <t>بایگانی اسناد - ثبت اطلاعات صورتجلسه؛ ثبت شماره جلد تکراری برای یک تاریخ سند مشخص در یک کارتن</t>
        </is>
      </c>
      <c r="D137" t="inlineStr">
        <is>
          <t>Medium</t>
        </is>
      </c>
      <c r="E137" t="n">
        <v>3</v>
      </c>
      <c r="F137" t="inlineStr">
        <is>
          <t>New</t>
        </is>
      </c>
      <c r="G137" t="inlineStr">
        <is>
          <t>Other</t>
        </is>
      </c>
      <c r="J137" t="inlineStr">
        <is>
          <t>Stagnant Archive</t>
        </is>
      </c>
      <c r="K137" t="inlineStr">
        <is>
          <t>Sp_23</t>
        </is>
      </c>
      <c r="M137" t="inlineStr">
        <is>
          <t>Homayoun Mohammad</t>
        </is>
      </c>
      <c r="Q137" s="42" t="n">
        <v>46018.43569444444</v>
      </c>
      <c r="S137" t="n">
        <v>0</v>
      </c>
      <c r="T137" s="42" t="n">
        <v>46018.43569444444</v>
      </c>
      <c r="AA137" t="n">
        <v>0</v>
      </c>
      <c r="AD137" t="n">
        <v>2</v>
      </c>
      <c r="AE137" t="n">
        <v>2</v>
      </c>
      <c r="AF137" t="n">
        <v>0</v>
      </c>
      <c r="AI137" t="n">
        <v>0</v>
      </c>
      <c r="AJ137" t="n">
        <v>0</v>
      </c>
      <c r="AM137" t="n">
        <v>-1</v>
      </c>
      <c r="AN137" t="n">
        <v>0</v>
      </c>
      <c r="AO137" t="n">
        <v>0</v>
      </c>
      <c r="AP137" t="n">
        <v>0</v>
      </c>
      <c r="AQ137" t="n">
        <v>24</v>
      </c>
      <c r="AR137" t="n">
        <v>0</v>
      </c>
    </row>
    <row r="138">
      <c r="A138" t="n">
        <v>201202</v>
      </c>
      <c r="B138" t="inlineStr">
        <is>
          <t>بایگانی اسناد ریالی - ثبت درخواست. نشانگر ثبت اطلاعات در جای درستی نمایش داده شده است</t>
        </is>
      </c>
      <c r="D138" t="inlineStr">
        <is>
          <t>Medium</t>
        </is>
      </c>
      <c r="E138" t="n">
        <v>4</v>
      </c>
      <c r="F138" t="inlineStr">
        <is>
          <t>New</t>
        </is>
      </c>
      <c r="G138" t="inlineStr">
        <is>
          <t>Other</t>
        </is>
      </c>
      <c r="J138" t="inlineStr">
        <is>
          <t>Stagnant Archive</t>
        </is>
      </c>
      <c r="K138" t="inlineStr">
        <is>
          <t>Sp_23</t>
        </is>
      </c>
      <c r="M138" t="inlineStr">
        <is>
          <t>Homayoun Mohammad</t>
        </is>
      </c>
      <c r="Q138" s="42" t="n">
        <v>46018.41873842593</v>
      </c>
      <c r="S138" t="n">
        <v>0</v>
      </c>
      <c r="T138" s="42" t="n">
        <v>46018.41873842593</v>
      </c>
      <c r="AA138" t="n">
        <v>0</v>
      </c>
      <c r="AD138" t="n">
        <v>2</v>
      </c>
      <c r="AE138" t="n">
        <v>2</v>
      </c>
      <c r="AF138" t="n">
        <v>0</v>
      </c>
      <c r="AI138" t="n">
        <v>0</v>
      </c>
      <c r="AJ138" t="n">
        <v>0</v>
      </c>
      <c r="AM138" t="n">
        <v>-1</v>
      </c>
      <c r="AN138" t="n">
        <v>0</v>
      </c>
      <c r="AO138" t="n">
        <v>0</v>
      </c>
      <c r="AP138" t="n">
        <v>0</v>
      </c>
      <c r="AQ138" t="n">
        <v>24</v>
      </c>
      <c r="AR138" t="n">
        <v>0</v>
      </c>
    </row>
    <row r="139">
      <c r="A139" t="n">
        <v>201218</v>
      </c>
      <c r="B139" t="inlineStr">
        <is>
          <t>بایگانی اسناد - ثبت درخواست. رویت فرم درخواست در وضعیتی غیر از ثبت اولیه. عدم نمایش جدول پاراف در انتهای فرم</t>
        </is>
      </c>
      <c r="D139" t="inlineStr">
        <is>
          <t>Medium</t>
        </is>
      </c>
      <c r="E139" t="n">
        <v>2</v>
      </c>
      <c r="F139" t="inlineStr">
        <is>
          <t>New</t>
        </is>
      </c>
      <c r="G139" t="inlineStr">
        <is>
          <t>Other</t>
        </is>
      </c>
      <c r="J139" t="inlineStr">
        <is>
          <t>Stagnant Archive</t>
        </is>
      </c>
      <c r="K139" t="inlineStr">
        <is>
          <t>Sp_23</t>
        </is>
      </c>
      <c r="M139" t="inlineStr">
        <is>
          <t>Homayoun Mohammad</t>
        </is>
      </c>
      <c r="Q139" s="42" t="n">
        <v>46018.42021990741</v>
      </c>
      <c r="S139" t="n">
        <v>0</v>
      </c>
      <c r="T139" s="42" t="n">
        <v>46018.42021990741</v>
      </c>
      <c r="AA139" t="n">
        <v>0</v>
      </c>
      <c r="AD139" t="n">
        <v>2</v>
      </c>
      <c r="AE139" t="n">
        <v>2</v>
      </c>
      <c r="AF139" t="n">
        <v>0</v>
      </c>
      <c r="AI139" t="n">
        <v>0</v>
      </c>
      <c r="AJ139" t="n">
        <v>0</v>
      </c>
      <c r="AM139" t="n">
        <v>-1</v>
      </c>
      <c r="AN139" t="n">
        <v>0</v>
      </c>
      <c r="AO139" t="n">
        <v>0</v>
      </c>
      <c r="AP139" t="n">
        <v>0</v>
      </c>
      <c r="AQ139" t="n">
        <v>24</v>
      </c>
      <c r="AR139" t="n">
        <v>0</v>
      </c>
    </row>
    <row r="140">
      <c r="A140" t="n">
        <v>201242</v>
      </c>
      <c r="B140" t="inlineStr">
        <is>
          <t>بایگانی اسناد - کنترل عدم حذف پاراف در صورت عودت یا ارسال تسک به مراحل بعدی</t>
        </is>
      </c>
      <c r="D140" t="inlineStr">
        <is>
          <t>Medium</t>
        </is>
      </c>
      <c r="E140" t="n">
        <v>2</v>
      </c>
      <c r="F140" t="inlineStr">
        <is>
          <t>New</t>
        </is>
      </c>
      <c r="G140" t="inlineStr">
        <is>
          <t>Other</t>
        </is>
      </c>
      <c r="J140" t="inlineStr">
        <is>
          <t>Stagnant Archive</t>
        </is>
      </c>
      <c r="K140" t="inlineStr">
        <is>
          <t>Sp_23</t>
        </is>
      </c>
      <c r="M140" t="inlineStr">
        <is>
          <t>Homayoun Mohammad</t>
        </is>
      </c>
      <c r="Q140" s="42" t="n">
        <v>46018.43422453704</v>
      </c>
      <c r="S140" t="n">
        <v>0</v>
      </c>
      <c r="T140" s="42" t="n">
        <v>46018.43422453704</v>
      </c>
      <c r="AA140" t="n">
        <v>0</v>
      </c>
      <c r="AD140" t="n">
        <v>2</v>
      </c>
      <c r="AE140" t="n">
        <v>2</v>
      </c>
      <c r="AF140" t="n">
        <v>0</v>
      </c>
      <c r="AI140" t="n">
        <v>0</v>
      </c>
      <c r="AJ140" t="n">
        <v>0</v>
      </c>
      <c r="AM140" t="n">
        <v>-1</v>
      </c>
      <c r="AN140" t="n">
        <v>0</v>
      </c>
      <c r="AO140" t="n">
        <v>0</v>
      </c>
      <c r="AP140" t="n">
        <v>0</v>
      </c>
      <c r="AQ140" t="n">
        <v>24</v>
      </c>
      <c r="AR140" t="n">
        <v>0</v>
      </c>
    </row>
    <row r="141">
      <c r="A141" t="n">
        <v>201956</v>
      </c>
      <c r="B141" t="inlineStr">
        <is>
          <t xml:space="preserve">فرایند بازیابی،اخذ تایید معاون :ایجاد مکرر تسک اخذ تایید معاون با عدم تایید توسط کارشناس       </t>
        </is>
      </c>
      <c r="D141" t="inlineStr">
        <is>
          <t>Medium</t>
        </is>
      </c>
      <c r="E141" t="n">
        <v>1</v>
      </c>
      <c r="F141" t="inlineStr">
        <is>
          <t>New</t>
        </is>
      </c>
      <c r="G141" t="inlineStr">
        <is>
          <t>Other</t>
        </is>
      </c>
      <c r="J141" t="inlineStr">
        <is>
          <t>Stagnant Archive</t>
        </is>
      </c>
      <c r="K141" t="inlineStr">
        <is>
          <t>Sp_23</t>
        </is>
      </c>
      <c r="M141" t="inlineStr">
        <is>
          <t>Homayoun Mohammad</t>
        </is>
      </c>
      <c r="Q141" s="42" t="n">
        <v>46018.43952546296</v>
      </c>
      <c r="S141" t="n">
        <v>0</v>
      </c>
      <c r="T141" s="42" t="n">
        <v>46018.43952546296</v>
      </c>
      <c r="AA141" t="n">
        <v>0</v>
      </c>
      <c r="AD141" t="n">
        <v>2</v>
      </c>
      <c r="AE141" t="n">
        <v>2</v>
      </c>
      <c r="AF141" t="n">
        <v>0</v>
      </c>
      <c r="AI141" t="n">
        <v>0</v>
      </c>
      <c r="AJ141" t="n">
        <v>0</v>
      </c>
      <c r="AM141" t="n">
        <v>-1</v>
      </c>
      <c r="AN141" t="n">
        <v>0</v>
      </c>
      <c r="AO141" t="n">
        <v>0</v>
      </c>
      <c r="AP141" t="n">
        <v>0</v>
      </c>
      <c r="AQ141" t="n">
        <v>24</v>
      </c>
      <c r="AR141" t="n">
        <v>0</v>
      </c>
    </row>
    <row r="142">
      <c r="A142" t="n">
        <v>201957</v>
      </c>
      <c r="B142" t="inlineStr">
        <is>
          <t xml:space="preserve">فرایند بازیابی،درخواست اولیه :عدم تفکیک جلد های موجود در کارتن در پنل اسناد درخواستی        </t>
        </is>
      </c>
      <c r="D142" t="inlineStr">
        <is>
          <t>Medium</t>
        </is>
      </c>
      <c r="E142" t="n">
        <v>2</v>
      </c>
      <c r="F142" t="inlineStr">
        <is>
          <t>Open</t>
        </is>
      </c>
      <c r="G142" t="inlineStr">
        <is>
          <t>Other</t>
        </is>
      </c>
      <c r="J142" t="inlineStr">
        <is>
          <t>Stagnant Archive</t>
        </is>
      </c>
      <c r="K142" t="inlineStr">
        <is>
          <t>Sp_23</t>
        </is>
      </c>
      <c r="M142" t="inlineStr">
        <is>
          <t>Ghafarian Ghazaleh</t>
        </is>
      </c>
      <c r="Q142" s="42" t="n">
        <v>46011.98954861111</v>
      </c>
      <c r="S142" t="n">
        <v>0</v>
      </c>
      <c r="T142" s="42" t="n">
        <v>46011.98954861111</v>
      </c>
      <c r="AA142" t="n">
        <v>0</v>
      </c>
      <c r="AD142" t="n">
        <v>2</v>
      </c>
      <c r="AE142" t="n">
        <v>2</v>
      </c>
      <c r="AF142" t="n">
        <v>0</v>
      </c>
      <c r="AI142" t="n">
        <v>0</v>
      </c>
      <c r="AJ142" t="n">
        <v>0</v>
      </c>
      <c r="AM142" t="n">
        <v>6</v>
      </c>
      <c r="AN142" t="n">
        <v>0</v>
      </c>
      <c r="AO142" t="n">
        <v>0</v>
      </c>
      <c r="AP142" t="n">
        <v>0</v>
      </c>
      <c r="AQ142" t="n">
        <v>24</v>
      </c>
      <c r="AR142" t="n">
        <v>0</v>
      </c>
    </row>
    <row r="143">
      <c r="A143" t="n">
        <v>201958</v>
      </c>
      <c r="B143" t="inlineStr">
        <is>
          <t xml:space="preserve">فرایند بازیابی،درخواست اولیه :نمایش نتایج سند در بازه های متفاوت و وضعیت نامشخص          </t>
        </is>
      </c>
      <c r="D143" t="inlineStr">
        <is>
          <t>Medium</t>
        </is>
      </c>
      <c r="E143" t="n">
        <v>1</v>
      </c>
      <c r="F143" t="inlineStr">
        <is>
          <t>New</t>
        </is>
      </c>
      <c r="G143" t="inlineStr">
        <is>
          <t>Other</t>
        </is>
      </c>
      <c r="J143" t="inlineStr">
        <is>
          <t>Stagnant Archive</t>
        </is>
      </c>
      <c r="K143" t="inlineStr">
        <is>
          <t>Sp_23</t>
        </is>
      </c>
      <c r="M143" t="inlineStr">
        <is>
          <t>Homayoun Mohammad</t>
        </is>
      </c>
      <c r="Q143" s="42" t="n">
        <v>46018.45494212963</v>
      </c>
      <c r="S143" t="n">
        <v>0</v>
      </c>
      <c r="T143" s="42" t="n">
        <v>46018.45494212963</v>
      </c>
      <c r="AA143" t="n">
        <v>0</v>
      </c>
      <c r="AD143" t="n">
        <v>2</v>
      </c>
      <c r="AE143" t="n">
        <v>2</v>
      </c>
      <c r="AF143" t="n">
        <v>0</v>
      </c>
      <c r="AI143" t="n">
        <v>0</v>
      </c>
      <c r="AJ143" t="n">
        <v>0</v>
      </c>
      <c r="AM143" t="n">
        <v>-1</v>
      </c>
      <c r="AN143" t="n">
        <v>0</v>
      </c>
      <c r="AO143" t="n">
        <v>0</v>
      </c>
      <c r="AP143" t="n">
        <v>0</v>
      </c>
      <c r="AQ143" t="n">
        <v>24</v>
      </c>
      <c r="AR143" t="n">
        <v>0</v>
      </c>
    </row>
    <row r="144">
      <c r="A144" t="n">
        <v>201959</v>
      </c>
      <c r="B144" t="inlineStr">
        <is>
          <t xml:space="preserve">فرایند بازیابی،تحویل در انبار :عدم نمایش نام پنل ها           </t>
        </is>
      </c>
      <c r="D144" t="inlineStr">
        <is>
          <t>Medium</t>
        </is>
      </c>
      <c r="E144" t="n">
        <v>2</v>
      </c>
      <c r="F144" t="inlineStr">
        <is>
          <t>New</t>
        </is>
      </c>
      <c r="G144" t="inlineStr">
        <is>
          <t>Other</t>
        </is>
      </c>
      <c r="J144" t="inlineStr">
        <is>
          <t>Stagnant Archive</t>
        </is>
      </c>
      <c r="K144" t="inlineStr">
        <is>
          <t>Sp_23</t>
        </is>
      </c>
      <c r="M144" t="inlineStr">
        <is>
          <t>Homayoun Mohammad</t>
        </is>
      </c>
      <c r="Q144" s="42" t="n">
        <v>46018.45571759259</v>
      </c>
      <c r="S144" t="n">
        <v>0</v>
      </c>
      <c r="T144" s="42" t="n">
        <v>46018.45571759259</v>
      </c>
      <c r="AA144" t="n">
        <v>0</v>
      </c>
      <c r="AD144" t="n">
        <v>2</v>
      </c>
      <c r="AE144" t="n">
        <v>2</v>
      </c>
      <c r="AF144" t="n">
        <v>0</v>
      </c>
      <c r="AI144" t="n">
        <v>0</v>
      </c>
      <c r="AJ144" t="n">
        <v>0</v>
      </c>
      <c r="AM144" t="n">
        <v>-1</v>
      </c>
      <c r="AN144" t="n">
        <v>0</v>
      </c>
      <c r="AO144" t="n">
        <v>0</v>
      </c>
      <c r="AP144" t="n">
        <v>0</v>
      </c>
      <c r="AQ144" t="n">
        <v>24</v>
      </c>
      <c r="AR144" t="n">
        <v>0</v>
      </c>
    </row>
    <row r="145">
      <c r="A145" t="n">
        <v>201960</v>
      </c>
      <c r="B145" t="inlineStr">
        <is>
          <t xml:space="preserve">درج شهر و روستا به صورت مجزا بر روی محیط قرمز </t>
        </is>
      </c>
      <c r="D145" t="inlineStr">
        <is>
          <t>Medium</t>
        </is>
      </c>
      <c r="E145" t="n">
        <v>1</v>
      </c>
      <c r="F145" t="inlineStr">
        <is>
          <t>New</t>
        </is>
      </c>
      <c r="G145" t="inlineStr">
        <is>
          <t>Other</t>
        </is>
      </c>
      <c r="I145" t="inlineStr">
        <is>
          <t>Bizagi_Team</t>
        </is>
      </c>
      <c r="J145" t="inlineStr">
        <is>
          <t>SAJAK</t>
        </is>
      </c>
      <c r="K145" t="inlineStr">
        <is>
          <t>Estate_Sprint 45</t>
        </is>
      </c>
      <c r="M145" t="inlineStr">
        <is>
          <t>Tedadi Abbas</t>
        </is>
      </c>
      <c r="Q145" s="42" t="n">
        <v>46018.39863425926</v>
      </c>
      <c r="S145" t="n">
        <v>0</v>
      </c>
      <c r="T145" s="42" t="n">
        <v>46018.39863425926</v>
      </c>
      <c r="AA145" t="n">
        <v>0</v>
      </c>
      <c r="AD145" t="n">
        <v>2</v>
      </c>
      <c r="AE145" t="n">
        <v>2</v>
      </c>
      <c r="AF145" t="n">
        <v>0</v>
      </c>
      <c r="AI145" t="n">
        <v>0</v>
      </c>
      <c r="AJ145" t="n">
        <v>0</v>
      </c>
      <c r="AM145" t="n">
        <v>-1</v>
      </c>
      <c r="AN145" t="n">
        <v>0</v>
      </c>
      <c r="AO145" t="n">
        <v>0</v>
      </c>
      <c r="AP145" t="n">
        <v>0</v>
      </c>
      <c r="AQ145" t="n">
        <v>24</v>
      </c>
      <c r="AR145" t="n">
        <v>0</v>
      </c>
    </row>
    <row r="146">
      <c r="A146" t="n">
        <v>201961</v>
      </c>
      <c r="B146" t="inlineStr">
        <is>
          <t>نمایش نادرست progress bar</t>
        </is>
      </c>
      <c r="D146" t="inlineStr">
        <is>
          <t>Medium</t>
        </is>
      </c>
      <c r="E146" t="n">
        <v>2</v>
      </c>
      <c r="F146" t="inlineStr">
        <is>
          <t>Open</t>
        </is>
      </c>
      <c r="G146" t="inlineStr">
        <is>
          <t>Other</t>
        </is>
      </c>
      <c r="I146" t="inlineStr">
        <is>
          <t>Bizagi_Team</t>
        </is>
      </c>
      <c r="J146" t="inlineStr">
        <is>
          <t>SAJAK</t>
        </is>
      </c>
      <c r="K146" t="inlineStr">
        <is>
          <t>Estate_Sprint 45</t>
        </is>
      </c>
      <c r="M146" t="inlineStr">
        <is>
          <t>Tedadi Abbas</t>
        </is>
      </c>
      <c r="Q146" s="42" t="n">
        <v>46012.60296296296</v>
      </c>
      <c r="S146" t="n">
        <v>0</v>
      </c>
      <c r="T146" s="42" t="n">
        <v>46012.60296296296</v>
      </c>
      <c r="AA146" t="n">
        <v>0</v>
      </c>
      <c r="AD146" t="n">
        <v>2</v>
      </c>
      <c r="AE146" t="n">
        <v>2</v>
      </c>
      <c r="AF146" t="n">
        <v>0</v>
      </c>
      <c r="AI146" t="n">
        <v>0</v>
      </c>
      <c r="AJ146" t="n">
        <v>0</v>
      </c>
      <c r="AM146" t="n">
        <v>5</v>
      </c>
      <c r="AN146" t="n">
        <v>0</v>
      </c>
      <c r="AO146" t="n">
        <v>0</v>
      </c>
      <c r="AP146" t="n">
        <v>0</v>
      </c>
      <c r="AQ146" t="n">
        <v>24</v>
      </c>
      <c r="AR146" t="n">
        <v>0</v>
      </c>
    </row>
    <row r="147">
      <c r="A147" t="n">
        <v>201763</v>
      </c>
      <c r="B147" t="inlineStr">
        <is>
          <t xml:space="preserve">AE_SAJA\\ مشکل در زمان استفاده از فانکشن مربوط به دریافت نام تسک جاری در فرم ها </t>
        </is>
      </c>
      <c r="D147" t="inlineStr">
        <is>
          <t>Medium</t>
        </is>
      </c>
      <c r="E147" t="n">
        <v>2</v>
      </c>
      <c r="F147" t="inlineStr">
        <is>
          <t>Ready for Retest</t>
        </is>
      </c>
      <c r="G147" t="inlineStr">
        <is>
          <t>Other</t>
        </is>
      </c>
      <c r="J147" t="inlineStr">
        <is>
          <t>Infrastructure Bizagi Extension</t>
        </is>
      </c>
      <c r="K147" t="inlineStr">
        <is>
          <t>SP_88</t>
        </is>
      </c>
      <c r="M147" t="inlineStr">
        <is>
          <t>Nemati Hasan</t>
        </is>
      </c>
      <c r="Q147" s="42" t="n">
        <v>46015.67881944445</v>
      </c>
      <c r="S147" t="n">
        <v>0</v>
      </c>
      <c r="T147" s="42" t="n">
        <v>46015.67881944445</v>
      </c>
      <c r="AA147" t="n">
        <v>0</v>
      </c>
      <c r="AD147" t="n">
        <v>2</v>
      </c>
      <c r="AE147" t="n">
        <v>2</v>
      </c>
      <c r="AF147" t="n">
        <v>0</v>
      </c>
      <c r="AI147" t="n">
        <v>0</v>
      </c>
      <c r="AJ147" t="n">
        <v>0</v>
      </c>
      <c r="AN147" t="n">
        <v>0</v>
      </c>
      <c r="AO147" t="n">
        <v>0</v>
      </c>
      <c r="AP147" t="n">
        <v>0</v>
      </c>
      <c r="AQ147" t="n">
        <v>24</v>
      </c>
      <c r="AR147" t="n">
        <v>0</v>
      </c>
    </row>
    <row r="148">
      <c r="A148" t="n">
        <v>201765</v>
      </c>
      <c r="B148" t="inlineStr">
        <is>
          <t xml:space="preserve">AE_SAJA\\  مشکل در عملکرد فانکشن sort() </t>
        </is>
      </c>
      <c r="D148" t="inlineStr">
        <is>
          <t>Medium</t>
        </is>
      </c>
      <c r="E148" t="n">
        <v>2</v>
      </c>
      <c r="F148" t="inlineStr">
        <is>
          <t>Active</t>
        </is>
      </c>
      <c r="G148" t="inlineStr">
        <is>
          <t>Other</t>
        </is>
      </c>
      <c r="J148" t="inlineStr">
        <is>
          <t>Infrastructure Bizagi Extension</t>
        </is>
      </c>
      <c r="K148" t="inlineStr">
        <is>
          <t>Athena_Sprint 89</t>
        </is>
      </c>
      <c r="M148" t="inlineStr">
        <is>
          <t>Nemati Hasan</t>
        </is>
      </c>
      <c r="Q148" s="42" t="n">
        <v>46013.66560185186</v>
      </c>
      <c r="S148" t="n">
        <v>0</v>
      </c>
      <c r="T148" s="42" t="n">
        <v>46013.66560185186</v>
      </c>
      <c r="AA148" t="n">
        <v>0</v>
      </c>
      <c r="AD148" t="n">
        <v>2</v>
      </c>
      <c r="AE148" t="n">
        <v>2</v>
      </c>
      <c r="AF148" t="n">
        <v>0</v>
      </c>
      <c r="AI148" t="n">
        <v>0</v>
      </c>
      <c r="AJ148" t="n">
        <v>0</v>
      </c>
      <c r="AM148" t="n">
        <v>4</v>
      </c>
      <c r="AN148" t="n">
        <v>0</v>
      </c>
      <c r="AO148" t="n">
        <v>0</v>
      </c>
      <c r="AP148" t="n">
        <v>0</v>
      </c>
      <c r="AQ148" t="n">
        <v>24</v>
      </c>
      <c r="AR148" t="n">
        <v>0</v>
      </c>
    </row>
    <row r="149">
      <c r="A149" t="n">
        <v>201793</v>
      </c>
      <c r="B149" t="inlineStr">
        <is>
          <t>AE_SAJA\\ محاسبه اشتباه کد رهگیری</t>
        </is>
      </c>
      <c r="D149" t="inlineStr">
        <is>
          <t>Medium</t>
        </is>
      </c>
      <c r="E149" t="n">
        <v>2</v>
      </c>
      <c r="F149" t="inlineStr">
        <is>
          <t>Closed</t>
        </is>
      </c>
      <c r="G149" t="inlineStr">
        <is>
          <t>Other</t>
        </is>
      </c>
      <c r="J149" t="inlineStr">
        <is>
          <t>Infrastructure Bizagi Extension</t>
        </is>
      </c>
      <c r="K149" t="inlineStr">
        <is>
          <t>SP_88</t>
        </is>
      </c>
      <c r="L149" t="inlineStr">
        <is>
          <t>Completed</t>
        </is>
      </c>
      <c r="M149" t="inlineStr">
        <is>
          <t>Nemati Hasan</t>
        </is>
      </c>
      <c r="N149" t="inlineStr">
        <is>
          <t>Kalaei Saman</t>
        </is>
      </c>
      <c r="O149" s="42" t="n">
        <v>46013.66450231482</v>
      </c>
      <c r="Q149" s="42" t="n">
        <v>46013.66450231482</v>
      </c>
      <c r="S149" t="n">
        <v>0</v>
      </c>
      <c r="T149" s="42" t="n">
        <v>46013.66450231482</v>
      </c>
      <c r="Z149" s="42" t="n">
        <v>46013.66450231482</v>
      </c>
      <c r="AA149" t="n">
        <v>0</v>
      </c>
      <c r="AD149" t="n">
        <v>2</v>
      </c>
      <c r="AE149" t="n">
        <v>2</v>
      </c>
      <c r="AF149" t="n">
        <v>0</v>
      </c>
      <c r="AI149" t="n">
        <v>0</v>
      </c>
      <c r="AJ149" t="n">
        <v>0</v>
      </c>
      <c r="AK149" t="n">
        <v>0</v>
      </c>
      <c r="AL149" t="n">
        <v>0</v>
      </c>
      <c r="AN149" t="n">
        <v>0</v>
      </c>
      <c r="AO149" t="n">
        <v>0</v>
      </c>
      <c r="AP149" t="n">
        <v>0</v>
      </c>
      <c r="AQ149" t="n">
        <v>24</v>
      </c>
      <c r="AR149" t="n">
        <v>0</v>
      </c>
    </row>
    <row r="150">
      <c r="A150" t="n">
        <v>201807</v>
      </c>
      <c r="B150" t="inlineStr">
        <is>
          <t>ورود به سیستم: نمایش خطای fetch نامعتبر هنگام لاگین و نیاز به کلیک چندباره روی OK برای ورود به داشبورد</t>
        </is>
      </c>
      <c r="D150" t="inlineStr">
        <is>
          <t>Medium</t>
        </is>
      </c>
      <c r="E150" t="n">
        <v>1</v>
      </c>
      <c r="F150" t="inlineStr">
        <is>
          <t>Closed</t>
        </is>
      </c>
      <c r="G150" t="inlineStr">
        <is>
          <t>Other</t>
        </is>
      </c>
      <c r="J150" t="inlineStr">
        <is>
          <t>Infrastructure Bizagi Extension</t>
        </is>
      </c>
      <c r="K150" t="inlineStr">
        <is>
          <t>SP-87</t>
        </is>
      </c>
      <c r="L150" t="inlineStr">
        <is>
          <t>Completed</t>
        </is>
      </c>
      <c r="M150" t="inlineStr">
        <is>
          <t>Taleb Amirreza</t>
        </is>
      </c>
      <c r="N150" t="inlineStr">
        <is>
          <t>Roohi Jamshid</t>
        </is>
      </c>
      <c r="O150" s="42" t="n">
        <v>46014.6662037037</v>
      </c>
      <c r="Q150" s="42" t="n">
        <v>46014.6662037037</v>
      </c>
      <c r="S150" t="n">
        <v>0</v>
      </c>
      <c r="T150" s="42" t="n">
        <v>46014.6662037037</v>
      </c>
      <c r="Z150" s="42" t="n">
        <v>46014.6662037037</v>
      </c>
      <c r="AA150" t="n">
        <v>0</v>
      </c>
      <c r="AD150" t="n">
        <v>2</v>
      </c>
      <c r="AE150" t="n">
        <v>2</v>
      </c>
      <c r="AF150" t="n">
        <v>0</v>
      </c>
      <c r="AI150" t="n">
        <v>0</v>
      </c>
      <c r="AJ150" t="n">
        <v>0</v>
      </c>
      <c r="AK150" t="n">
        <v>0</v>
      </c>
      <c r="AL150" t="n">
        <v>0</v>
      </c>
      <c r="AN150" t="n">
        <v>0</v>
      </c>
      <c r="AO150" t="n">
        <v>0</v>
      </c>
      <c r="AP150" t="n">
        <v>0</v>
      </c>
      <c r="AQ150" t="n">
        <v>24</v>
      </c>
      <c r="AR150" t="n">
        <v>0</v>
      </c>
    </row>
    <row r="151">
      <c r="A151" t="n">
        <v>201816</v>
      </c>
      <c r="B151" t="inlineStr">
        <is>
          <t>AE_SAJA\\ ننداختن افزودن گرید روزنامه ها</t>
        </is>
      </c>
      <c r="D151" t="inlineStr">
        <is>
          <t>Medium</t>
        </is>
      </c>
      <c r="E151" t="n">
        <v>3</v>
      </c>
      <c r="F151" t="inlineStr">
        <is>
          <t>Open</t>
        </is>
      </c>
      <c r="G151" t="inlineStr">
        <is>
          <t>Other</t>
        </is>
      </c>
      <c r="J151" t="inlineStr">
        <is>
          <t>SAJAK</t>
        </is>
      </c>
      <c r="M151" t="inlineStr">
        <is>
          <t>Nemati Hasan</t>
        </is>
      </c>
      <c r="Q151" s="42" t="n">
        <v>46011.60212962963</v>
      </c>
      <c r="S151" t="n">
        <v>0</v>
      </c>
      <c r="T151" s="42" t="n">
        <v>46011.60212962963</v>
      </c>
      <c r="AA151" t="n">
        <v>0</v>
      </c>
      <c r="AD151" t="n">
        <v>2</v>
      </c>
      <c r="AE151" t="n">
        <v>2</v>
      </c>
      <c r="AF151" t="n">
        <v>0</v>
      </c>
      <c r="AI151" t="n">
        <v>0</v>
      </c>
      <c r="AJ151" t="n">
        <v>0</v>
      </c>
      <c r="AM151" t="n">
        <v>6</v>
      </c>
      <c r="AN151" t="n">
        <v>0</v>
      </c>
      <c r="AO151" t="n">
        <v>0</v>
      </c>
      <c r="AP151" t="n">
        <v>0</v>
      </c>
      <c r="AQ151" t="n">
        <v>24</v>
      </c>
      <c r="AR151" t="n">
        <v>0</v>
      </c>
    </row>
    <row r="152">
      <c r="A152" t="n">
        <v>201822</v>
      </c>
      <c r="B152" t="inlineStr">
        <is>
          <t>دریافت خطا در حین جست و جوی پرونده با کد رهگیری برای اضافه کردن به جلسه هیات</t>
        </is>
      </c>
      <c r="D152" t="inlineStr">
        <is>
          <t>Medium</t>
        </is>
      </c>
      <c r="E152" t="n">
        <v>2</v>
      </c>
      <c r="F152" t="inlineStr">
        <is>
          <t>Removed</t>
        </is>
      </c>
      <c r="G152" t="inlineStr">
        <is>
          <t>Other</t>
        </is>
      </c>
      <c r="I152" t="inlineStr">
        <is>
          <t>Bizagi_Team</t>
        </is>
      </c>
      <c r="J152" t="inlineStr">
        <is>
          <t>SAJAK</t>
        </is>
      </c>
      <c r="K152" t="inlineStr">
        <is>
          <t>Estate_Sprint 45</t>
        </is>
      </c>
      <c r="M152" t="inlineStr">
        <is>
          <t>Tedadi Abbas</t>
        </is>
      </c>
      <c r="Q152" s="42" t="n">
        <v>46011.6146875</v>
      </c>
      <c r="S152" t="n">
        <v>0</v>
      </c>
      <c r="T152" s="42" t="n">
        <v>46011.6146875</v>
      </c>
      <c r="AA152" t="n">
        <v>0</v>
      </c>
      <c r="AD152" t="n">
        <v>2</v>
      </c>
      <c r="AE152" t="n">
        <v>2</v>
      </c>
      <c r="AF152" t="n">
        <v>0</v>
      </c>
      <c r="AI152" t="n">
        <v>0</v>
      </c>
      <c r="AJ152" t="n">
        <v>0</v>
      </c>
      <c r="AN152" t="n">
        <v>0</v>
      </c>
      <c r="AO152" t="n">
        <v>0</v>
      </c>
      <c r="AP152" t="n">
        <v>0</v>
      </c>
      <c r="AQ152" t="n">
        <v>24</v>
      </c>
      <c r="AR152" t="n">
        <v>0</v>
      </c>
    </row>
    <row r="153">
      <c r="A153" t="n">
        <v>201131</v>
      </c>
      <c r="B153" t="inlineStr">
        <is>
          <t>حذف شدن متقاضی ها از لیست متقاضیان کارشناس حوزه باجه ها</t>
        </is>
      </c>
      <c r="D153" t="inlineStr">
        <is>
          <t>Medium</t>
        </is>
      </c>
      <c r="E153" t="n">
        <v>2</v>
      </c>
      <c r="F153" t="inlineStr">
        <is>
          <t>Active</t>
        </is>
      </c>
      <c r="G153" t="inlineStr">
        <is>
          <t>Other</t>
        </is>
      </c>
      <c r="J153" t="inlineStr">
        <is>
          <t>Post Bank</t>
        </is>
      </c>
      <c r="K153" t="inlineStr">
        <is>
          <t>Sprint 21</t>
        </is>
      </c>
      <c r="M153" t="inlineStr">
        <is>
          <t>Arshi Mahmood</t>
        </is>
      </c>
      <c r="Q153" s="42" t="n">
        <v>46013.72313657407</v>
      </c>
      <c r="S153" t="n">
        <v>0</v>
      </c>
      <c r="T153" s="42" t="n">
        <v>46013.72313657407</v>
      </c>
      <c r="AA153" t="n">
        <v>0</v>
      </c>
      <c r="AD153" t="n">
        <v>2</v>
      </c>
      <c r="AE153" t="n">
        <v>2</v>
      </c>
      <c r="AF153" t="n">
        <v>0</v>
      </c>
      <c r="AI153" t="n">
        <v>0</v>
      </c>
      <c r="AJ153" t="n">
        <v>0</v>
      </c>
      <c r="AM153" t="n">
        <v>4</v>
      </c>
      <c r="AN153" t="n">
        <v>0</v>
      </c>
      <c r="AO153" t="n">
        <v>0</v>
      </c>
      <c r="AP153" t="n">
        <v>0</v>
      </c>
      <c r="AQ153" t="n">
        <v>24</v>
      </c>
      <c r="AR153" t="n">
        <v>0</v>
      </c>
    </row>
    <row r="154">
      <c r="A154" t="n">
        <v>201145</v>
      </c>
      <c r="B154" t="inlineStr">
        <is>
          <t>اصلاح اطلاعات / پاکسازی اطلاعات انبار واحد سازمانی / عدم حذف شدن اسناد با پاکسازی اسناد در پنل پشتیبانی / پنل پشتیبانی</t>
        </is>
      </c>
      <c r="D154" t="inlineStr">
        <is>
          <t>Medium</t>
        </is>
      </c>
      <c r="E154" t="n">
        <v>2</v>
      </c>
      <c r="F154" t="inlineStr">
        <is>
          <t>Closed</t>
        </is>
      </c>
      <c r="G154" t="inlineStr">
        <is>
          <t>Other</t>
        </is>
      </c>
      <c r="J154" t="inlineStr">
        <is>
          <t>Was</t>
        </is>
      </c>
      <c r="K154" t="inlineStr">
        <is>
          <t>Sp_88</t>
        </is>
      </c>
      <c r="L154" t="inlineStr">
        <is>
          <t>Completed</t>
        </is>
      </c>
      <c r="M154" t="inlineStr">
        <is>
          <t>Sedghi Amir</t>
        </is>
      </c>
      <c r="N154" t="inlineStr">
        <is>
          <t>Mokaber Melika</t>
        </is>
      </c>
      <c r="O154" s="42" t="n">
        <v>46007.70628472222</v>
      </c>
      <c r="Q154" s="42" t="n">
        <v>46007.70628472222</v>
      </c>
      <c r="S154" t="n">
        <v>0</v>
      </c>
      <c r="T154" s="42" t="n">
        <v>46007.70628472222</v>
      </c>
      <c r="Z154" s="42" t="n">
        <v>46007.70628472222</v>
      </c>
      <c r="AA154" t="n">
        <v>0</v>
      </c>
      <c r="AD154" t="n">
        <v>2</v>
      </c>
      <c r="AE154" t="n">
        <v>2</v>
      </c>
      <c r="AF154" t="n">
        <v>0</v>
      </c>
      <c r="AI154" t="n">
        <v>0</v>
      </c>
      <c r="AJ154" t="n">
        <v>0</v>
      </c>
      <c r="AK154" t="n">
        <v>0</v>
      </c>
      <c r="AL154" t="n">
        <v>0</v>
      </c>
      <c r="AN154" t="n">
        <v>0</v>
      </c>
      <c r="AO154" t="n">
        <v>0</v>
      </c>
      <c r="AP154" t="n">
        <v>0</v>
      </c>
      <c r="AQ154" t="n">
        <v>24</v>
      </c>
      <c r="AR154" t="n">
        <v>0</v>
      </c>
    </row>
    <row r="155">
      <c r="A155" t="n">
        <v>201152</v>
      </c>
      <c r="B155" t="inlineStr">
        <is>
          <t>مدیریت گزارشات / گزارش اموال مستقر در شعبه و اداره به تفکیک گروه دارایی / عدم نمایش خروجی و خطا در فرم / بانک ملت</t>
        </is>
      </c>
      <c r="D155" t="inlineStr">
        <is>
          <t>Medium</t>
        </is>
      </c>
      <c r="E155" t="n">
        <v>2</v>
      </c>
      <c r="F155" t="inlineStr">
        <is>
          <t>Closed</t>
        </is>
      </c>
      <c r="G155" t="inlineStr">
        <is>
          <t>Other</t>
        </is>
      </c>
      <c r="J155" t="inlineStr">
        <is>
          <t>Was</t>
        </is>
      </c>
      <c r="K155" t="inlineStr">
        <is>
          <t>Sp_88</t>
        </is>
      </c>
      <c r="L155" t="inlineStr">
        <is>
          <t>Completed</t>
        </is>
      </c>
      <c r="M155" t="inlineStr">
        <is>
          <t>Sedghi Amir</t>
        </is>
      </c>
      <c r="N155" t="inlineStr">
        <is>
          <t>Mokaber Melika</t>
        </is>
      </c>
      <c r="O155" s="42" t="n">
        <v>46012.47677083333</v>
      </c>
      <c r="Q155" s="42" t="n">
        <v>46012.47677083333</v>
      </c>
      <c r="S155" t="n">
        <v>0</v>
      </c>
      <c r="T155" s="42" t="n">
        <v>46012.47677083333</v>
      </c>
      <c r="Z155" s="42" t="n">
        <v>46012.47677083333</v>
      </c>
      <c r="AA155" t="n">
        <v>0</v>
      </c>
      <c r="AD155" t="n">
        <v>2</v>
      </c>
      <c r="AE155" t="n">
        <v>2</v>
      </c>
      <c r="AF155" t="n">
        <v>0</v>
      </c>
      <c r="AI155" t="n">
        <v>0</v>
      </c>
      <c r="AJ155" t="n">
        <v>0</v>
      </c>
      <c r="AK155" t="n">
        <v>0</v>
      </c>
      <c r="AL155" t="n">
        <v>0</v>
      </c>
      <c r="AN155" t="n">
        <v>0</v>
      </c>
      <c r="AO155" t="n">
        <v>0</v>
      </c>
      <c r="AP155" t="n">
        <v>0</v>
      </c>
      <c r="AQ155" t="n">
        <v>24</v>
      </c>
      <c r="AR155" t="n">
        <v>0</v>
      </c>
    </row>
    <row r="156">
      <c r="A156" t="n">
        <v>199287</v>
      </c>
      <c r="B156" t="inlineStr">
        <is>
          <t>ایراد داشتن ساید بار در حالت بسته</t>
        </is>
      </c>
      <c r="D156" t="inlineStr">
        <is>
          <t>Medium</t>
        </is>
      </c>
      <c r="E156" t="n">
        <v>2</v>
      </c>
      <c r="F156" t="inlineStr">
        <is>
          <t>Active</t>
        </is>
      </c>
      <c r="G156" t="inlineStr">
        <is>
          <t>Other</t>
        </is>
      </c>
      <c r="J156" t="inlineStr">
        <is>
          <t>Infrastructure Bizagi Extension</t>
        </is>
      </c>
      <c r="K156" t="inlineStr">
        <is>
          <t>SP_88</t>
        </is>
      </c>
      <c r="M156" t="inlineStr">
        <is>
          <t>Jafari Saeed</t>
        </is>
      </c>
      <c r="Q156" s="42" t="n">
        <v>45993.72766203704</v>
      </c>
      <c r="S156" t="n">
        <v>0</v>
      </c>
      <c r="T156" s="42" t="n">
        <v>45993.72766203704</v>
      </c>
      <c r="AA156" t="n">
        <v>0</v>
      </c>
      <c r="AD156" t="n">
        <v>2</v>
      </c>
      <c r="AE156" t="n">
        <v>2</v>
      </c>
      <c r="AF156" t="n">
        <v>0</v>
      </c>
      <c r="AI156" t="n">
        <v>0</v>
      </c>
      <c r="AJ156" t="n">
        <v>0</v>
      </c>
      <c r="AM156" t="n">
        <v>24</v>
      </c>
      <c r="AN156" t="n">
        <v>0</v>
      </c>
      <c r="AO156" t="n">
        <v>0</v>
      </c>
      <c r="AP156" t="n">
        <v>0</v>
      </c>
      <c r="AQ156" t="n">
        <v>24</v>
      </c>
      <c r="AR156" t="n">
        <v>0</v>
      </c>
    </row>
    <row r="157">
      <c r="A157" t="n">
        <v>199294</v>
      </c>
      <c r="B157" t="inlineStr">
        <is>
          <t>عدم امکان انجام فرآیند ایجاد اطلاعات پایه&gt; عنوان تخلف/NFWPB</t>
        </is>
      </c>
      <c r="D157" t="inlineStr">
        <is>
          <t>Medium</t>
        </is>
      </c>
      <c r="E157" t="n">
        <v>2</v>
      </c>
      <c r="F157" t="inlineStr">
        <is>
          <t>Closed</t>
        </is>
      </c>
      <c r="G157" t="inlineStr">
        <is>
          <t>Other</t>
        </is>
      </c>
      <c r="J157" t="inlineStr">
        <is>
          <t>Infrastructure Bizagi Extension</t>
        </is>
      </c>
      <c r="K157" t="inlineStr">
        <is>
          <t>SP_88</t>
        </is>
      </c>
      <c r="L157" t="inlineStr">
        <is>
          <t>Completed</t>
        </is>
      </c>
      <c r="M157" t="inlineStr">
        <is>
          <t>Rezaee Reza</t>
        </is>
      </c>
      <c r="N157" t="inlineStr">
        <is>
          <t>Mohseni Hadise</t>
        </is>
      </c>
      <c r="O157" s="42" t="n">
        <v>46012.67423611111</v>
      </c>
      <c r="Q157" s="42" t="n">
        <v>46012.67423611111</v>
      </c>
      <c r="S157" t="n">
        <v>0</v>
      </c>
      <c r="T157" s="42" t="n">
        <v>46012.67423611111</v>
      </c>
      <c r="Z157" s="42" t="n">
        <v>46012.67423611111</v>
      </c>
      <c r="AA157" t="n">
        <v>0</v>
      </c>
      <c r="AD157" t="n">
        <v>2</v>
      </c>
      <c r="AE157" t="n">
        <v>2</v>
      </c>
      <c r="AF157" t="n">
        <v>0</v>
      </c>
      <c r="AI157" t="n">
        <v>0</v>
      </c>
      <c r="AJ157" t="n">
        <v>0</v>
      </c>
      <c r="AK157" t="n">
        <v>0</v>
      </c>
      <c r="AL157" t="n">
        <v>0</v>
      </c>
      <c r="AN157" t="n">
        <v>0</v>
      </c>
      <c r="AO157" t="n">
        <v>0</v>
      </c>
      <c r="AP157" t="n">
        <v>0</v>
      </c>
      <c r="AQ157" t="n">
        <v>24</v>
      </c>
      <c r="AR157" t="n">
        <v>0</v>
      </c>
    </row>
    <row r="158">
      <c r="A158" t="n">
        <v>199300</v>
      </c>
      <c r="B158" t="inlineStr">
        <is>
          <t>AE_SAJA\\ مشکل ظاهری کمبو سرچ</t>
        </is>
      </c>
      <c r="D158" t="inlineStr">
        <is>
          <t>Medium</t>
        </is>
      </c>
      <c r="E158" t="n">
        <v>2</v>
      </c>
      <c r="F158" t="inlineStr">
        <is>
          <t>Ready for Retest</t>
        </is>
      </c>
      <c r="G158" t="inlineStr">
        <is>
          <t>Other</t>
        </is>
      </c>
      <c r="J158" t="inlineStr">
        <is>
          <t>Infrastructure Bizagi Extension</t>
        </is>
      </c>
      <c r="K158" t="inlineStr">
        <is>
          <t>SP_88</t>
        </is>
      </c>
      <c r="M158" t="inlineStr">
        <is>
          <t>Jafari Saeed</t>
        </is>
      </c>
      <c r="Q158" s="42" t="n">
        <v>46007.61861111111</v>
      </c>
      <c r="S158" t="n">
        <v>0</v>
      </c>
      <c r="T158" s="42" t="n">
        <v>46007.61861111111</v>
      </c>
      <c r="AA158" t="n">
        <v>0</v>
      </c>
      <c r="AD158" t="n">
        <v>2</v>
      </c>
      <c r="AE158" t="n">
        <v>2</v>
      </c>
      <c r="AF158" t="n">
        <v>0</v>
      </c>
      <c r="AI158" t="n">
        <v>0</v>
      </c>
      <c r="AJ158" t="n">
        <v>0</v>
      </c>
      <c r="AN158" t="n">
        <v>0</v>
      </c>
      <c r="AO158" t="n">
        <v>0</v>
      </c>
      <c r="AP158" t="n">
        <v>0</v>
      </c>
      <c r="AQ158" t="n">
        <v>24</v>
      </c>
      <c r="AR158" t="n">
        <v>0</v>
      </c>
    </row>
    <row r="159">
      <c r="A159" t="n">
        <v>199305</v>
      </c>
      <c r="B159" t="inlineStr">
        <is>
          <t>زمانی که داشتم باگ 193349 تست میکردم برای چندثانیه داخل این پاپ اپ صبر کردم و خطاهای مختلف داد</t>
        </is>
      </c>
      <c r="D159" t="inlineStr">
        <is>
          <t>Medium</t>
        </is>
      </c>
      <c r="E159" t="n">
        <v>2</v>
      </c>
      <c r="F159" t="inlineStr">
        <is>
          <t>Active</t>
        </is>
      </c>
      <c r="G159" t="inlineStr">
        <is>
          <t>Other</t>
        </is>
      </c>
      <c r="J159" t="inlineStr">
        <is>
          <t>Infrastructure Bizagi Extension</t>
        </is>
      </c>
      <c r="K159" t="inlineStr">
        <is>
          <t>SP_88</t>
        </is>
      </c>
      <c r="M159" t="inlineStr">
        <is>
          <t>Nemati Hasan</t>
        </is>
      </c>
      <c r="Q159" s="42" t="n">
        <v>45999.67539351852</v>
      </c>
      <c r="S159" t="n">
        <v>0</v>
      </c>
      <c r="T159" s="42" t="n">
        <v>45999.67539351852</v>
      </c>
      <c r="AA159" t="n">
        <v>0</v>
      </c>
      <c r="AD159" t="n">
        <v>2</v>
      </c>
      <c r="AE159" t="n">
        <v>2</v>
      </c>
      <c r="AF159" t="n">
        <v>0</v>
      </c>
      <c r="AI159" t="n">
        <v>0</v>
      </c>
      <c r="AJ159" t="n">
        <v>0</v>
      </c>
      <c r="AM159" t="n">
        <v>18</v>
      </c>
      <c r="AN159" t="n">
        <v>0</v>
      </c>
      <c r="AO159" t="n">
        <v>0</v>
      </c>
      <c r="AP159" t="n">
        <v>0</v>
      </c>
      <c r="AQ159" t="n">
        <v>24</v>
      </c>
      <c r="AR159" t="n">
        <v>0</v>
      </c>
    </row>
    <row r="160">
      <c r="A160" t="n">
        <v>199306</v>
      </c>
      <c r="B160" t="inlineStr">
        <is>
          <t xml:space="preserve">AE_SAJA\\نمایش دادن دیتا های کمبو و خطا در فرم </t>
        </is>
      </c>
      <c r="D160" t="inlineStr">
        <is>
          <t>Medium</t>
        </is>
      </c>
      <c r="E160" t="n">
        <v>1</v>
      </c>
      <c r="F160" t="inlineStr">
        <is>
          <t>Ready for Retest</t>
        </is>
      </c>
      <c r="G160" t="inlineStr">
        <is>
          <t>Other</t>
        </is>
      </c>
      <c r="J160" t="inlineStr">
        <is>
          <t>Infrastructure Bizagi Extension</t>
        </is>
      </c>
      <c r="K160" t="inlineStr">
        <is>
          <t>SP-87</t>
        </is>
      </c>
      <c r="M160" t="inlineStr">
        <is>
          <t>Nemati Hasan</t>
        </is>
      </c>
      <c r="Q160" s="42" t="n">
        <v>46012.55170138889</v>
      </c>
      <c r="S160" t="n">
        <v>0</v>
      </c>
      <c r="T160" s="42" t="n">
        <v>46012.55170138889</v>
      </c>
      <c r="AA160" t="n">
        <v>0</v>
      </c>
      <c r="AD160" t="n">
        <v>2</v>
      </c>
      <c r="AE160" t="n">
        <v>2</v>
      </c>
      <c r="AF160" t="n">
        <v>0</v>
      </c>
      <c r="AI160" t="n">
        <v>0</v>
      </c>
      <c r="AJ160" t="n">
        <v>0</v>
      </c>
      <c r="AN160" t="n">
        <v>0</v>
      </c>
      <c r="AO160" t="n">
        <v>0</v>
      </c>
      <c r="AP160" t="n">
        <v>0</v>
      </c>
      <c r="AQ160" t="n">
        <v>24</v>
      </c>
      <c r="AR160" t="n">
        <v>0</v>
      </c>
    </row>
    <row r="161">
      <c r="A161" t="n">
        <v>199315</v>
      </c>
      <c r="B161" t="inlineStr">
        <is>
          <t>بایگانی اسناد - لود شدن فرم ثبت کارتن های صورتجلسه - NFWArch</t>
        </is>
      </c>
      <c r="D161" t="inlineStr">
        <is>
          <t>Medium</t>
        </is>
      </c>
      <c r="E161" t="n">
        <v>2</v>
      </c>
      <c r="F161" t="inlineStr">
        <is>
          <t>Ready for Retest</t>
        </is>
      </c>
      <c r="G161" t="inlineStr">
        <is>
          <t>Other</t>
        </is>
      </c>
      <c r="J161" t="inlineStr">
        <is>
          <t>Stagnant Archive</t>
        </is>
      </c>
      <c r="K161" t="inlineStr">
        <is>
          <t>Sp_23</t>
        </is>
      </c>
      <c r="M161" t="inlineStr">
        <is>
          <t>Davar Hamed</t>
        </is>
      </c>
      <c r="Q161" s="42" t="n">
        <v>46015.67894675926</v>
      </c>
      <c r="S161" t="n">
        <v>0</v>
      </c>
      <c r="T161" s="42" t="n">
        <v>46015.67894675926</v>
      </c>
      <c r="AA161" t="n">
        <v>0</v>
      </c>
      <c r="AD161" t="n">
        <v>2</v>
      </c>
      <c r="AE161" t="n">
        <v>2</v>
      </c>
      <c r="AF161" t="n">
        <v>0</v>
      </c>
      <c r="AI161" t="n">
        <v>0</v>
      </c>
      <c r="AJ161" t="n">
        <v>0</v>
      </c>
      <c r="AN161" t="n">
        <v>0</v>
      </c>
      <c r="AO161" t="n">
        <v>0</v>
      </c>
      <c r="AP161" t="n">
        <v>0</v>
      </c>
      <c r="AQ161" t="n">
        <v>24</v>
      </c>
      <c r="AR161" t="n">
        <v>0</v>
      </c>
    </row>
    <row r="162">
      <c r="A162" t="n">
        <v>199328</v>
      </c>
      <c r="B162" t="inlineStr">
        <is>
          <t>دکمه انصراف در فرم اطلاعات درخواست غیرتسهیلاتی جهت ویرایش پیغام خطا می دهد</t>
        </is>
      </c>
      <c r="D162" t="inlineStr">
        <is>
          <t>Medium</t>
        </is>
      </c>
      <c r="E162" t="n">
        <v>1</v>
      </c>
      <c r="F162" t="inlineStr">
        <is>
          <t>Closed</t>
        </is>
      </c>
      <c r="G162" t="inlineStr">
        <is>
          <t>Other</t>
        </is>
      </c>
      <c r="J162" t="inlineStr">
        <is>
          <t>Dem</t>
        </is>
      </c>
      <c r="K162" t="inlineStr">
        <is>
          <t>DemBiz</t>
        </is>
      </c>
      <c r="M162" t="inlineStr">
        <is>
          <t>Moradi Mohammad</t>
        </is>
      </c>
      <c r="N162" t="inlineStr">
        <is>
          <t>Hajizadeh Elnaz</t>
        </is>
      </c>
      <c r="O162" s="42" t="n">
        <v>45999.60077546296</v>
      </c>
      <c r="Q162" s="42" t="n">
        <v>45999.60077546296</v>
      </c>
      <c r="S162" t="n">
        <v>0</v>
      </c>
      <c r="T162" s="42" t="n">
        <v>45999.60077546296</v>
      </c>
      <c r="Z162" s="42" t="n">
        <v>45999.60077546296</v>
      </c>
      <c r="AA162" t="n">
        <v>0</v>
      </c>
      <c r="AD162" t="n">
        <v>2</v>
      </c>
      <c r="AE162" t="n">
        <v>2</v>
      </c>
      <c r="AF162" t="n">
        <v>0</v>
      </c>
      <c r="AI162" t="n">
        <v>0</v>
      </c>
      <c r="AJ162" t="n">
        <v>0</v>
      </c>
      <c r="AK162" t="n">
        <v>0</v>
      </c>
      <c r="AL162" t="n">
        <v>0</v>
      </c>
      <c r="AN162" t="n">
        <v>0</v>
      </c>
      <c r="AO162" t="n">
        <v>0</v>
      </c>
      <c r="AP162" t="n">
        <v>0</v>
      </c>
      <c r="AQ162" t="n">
        <v>24</v>
      </c>
      <c r="AR162" t="n">
        <v>0</v>
      </c>
    </row>
    <row r="163">
      <c r="A163" t="n">
        <v>199337</v>
      </c>
      <c r="B163" t="inlineStr">
        <is>
          <t>لیست کالا موجودی / عدم انتقال موجودی به سال بعد - اموال و انبار بانک ملت / آذر ماه 1404</t>
        </is>
      </c>
      <c r="D163" t="inlineStr">
        <is>
          <t>Medium</t>
        </is>
      </c>
      <c r="E163" t="n">
        <v>2</v>
      </c>
      <c r="F163" t="inlineStr">
        <is>
          <t>Open</t>
        </is>
      </c>
      <c r="G163" t="inlineStr">
        <is>
          <t>Other</t>
        </is>
      </c>
      <c r="J163" t="inlineStr">
        <is>
          <t>Was</t>
        </is>
      </c>
      <c r="K163" t="inlineStr">
        <is>
          <t>Feature</t>
        </is>
      </c>
      <c r="M163" t="inlineStr">
        <is>
          <t>Sedghi Amir</t>
        </is>
      </c>
      <c r="Q163" s="42" t="n">
        <v>46007.75606481481</v>
      </c>
      <c r="S163" t="n">
        <v>0</v>
      </c>
      <c r="T163" s="42" t="n">
        <v>46007.75606481481</v>
      </c>
      <c r="AA163" t="n">
        <v>0</v>
      </c>
      <c r="AD163" t="n">
        <v>2</v>
      </c>
      <c r="AE163" t="n">
        <v>2</v>
      </c>
      <c r="AF163" t="n">
        <v>0</v>
      </c>
      <c r="AI163" t="n">
        <v>0</v>
      </c>
      <c r="AJ163" t="n">
        <v>0</v>
      </c>
      <c r="AM163" t="n">
        <v>10</v>
      </c>
      <c r="AN163" t="n">
        <v>0</v>
      </c>
      <c r="AO163" t="n">
        <v>0</v>
      </c>
      <c r="AP163" t="n">
        <v>0</v>
      </c>
      <c r="AQ163" t="n">
        <v>24</v>
      </c>
      <c r="AR163" t="n">
        <v>0</v>
      </c>
    </row>
    <row r="164">
      <c r="A164" t="n">
        <v>199341</v>
      </c>
      <c r="B164" t="inlineStr">
        <is>
          <t>گزارشات / نمایش تمام کالاهای فعال و غیر فعال و موجودی دار و غیر موجودی دار - اموال و انبار بانک ملت / آذر ماه 1404</t>
        </is>
      </c>
      <c r="D164" t="inlineStr">
        <is>
          <t>Medium</t>
        </is>
      </c>
      <c r="E164" t="n">
        <v>2</v>
      </c>
      <c r="F164" t="inlineStr">
        <is>
          <t>Closed</t>
        </is>
      </c>
      <c r="G164" t="inlineStr">
        <is>
          <t>Other</t>
        </is>
      </c>
      <c r="J164" t="inlineStr">
        <is>
          <t>Was</t>
        </is>
      </c>
      <c r="K164" t="inlineStr">
        <is>
          <t>Sp_88</t>
        </is>
      </c>
      <c r="L164" t="inlineStr">
        <is>
          <t>Completed</t>
        </is>
      </c>
      <c r="M164" t="inlineStr">
        <is>
          <t>Sedghi Amir</t>
        </is>
      </c>
      <c r="N164" t="inlineStr">
        <is>
          <t>Mokaber Melika</t>
        </is>
      </c>
      <c r="O164" s="42" t="n">
        <v>46007.74684027778</v>
      </c>
      <c r="Q164" s="42" t="n">
        <v>46007.74684027778</v>
      </c>
      <c r="S164" t="n">
        <v>0</v>
      </c>
      <c r="T164" s="42" t="n">
        <v>46007.74684027778</v>
      </c>
      <c r="Z164" s="42" t="n">
        <v>46007.74684027778</v>
      </c>
      <c r="AA164" t="n">
        <v>0</v>
      </c>
      <c r="AD164" t="n">
        <v>2</v>
      </c>
      <c r="AE164" t="n">
        <v>2</v>
      </c>
      <c r="AF164" t="n">
        <v>0</v>
      </c>
      <c r="AI164" t="n">
        <v>0</v>
      </c>
      <c r="AJ164" t="n">
        <v>0</v>
      </c>
      <c r="AK164" t="n">
        <v>0</v>
      </c>
      <c r="AL164" t="n">
        <v>0</v>
      </c>
      <c r="AN164" t="n">
        <v>0</v>
      </c>
      <c r="AO164" t="n">
        <v>0</v>
      </c>
      <c r="AP164" t="n">
        <v>0</v>
      </c>
      <c r="AQ164" t="n">
        <v>24</v>
      </c>
      <c r="AR164" t="n">
        <v>0</v>
      </c>
    </row>
    <row r="165">
      <c r="A165" t="n">
        <v>199378</v>
      </c>
      <c r="B165" t="inlineStr">
        <is>
          <t xml:space="preserve">بایگانی اسناد - فرم صورتجلسه. نمایش اطلاعات اسناد کارتن ها در جدول "اسناد داخل کارتن"  </t>
        </is>
      </c>
      <c r="D165" t="inlineStr">
        <is>
          <t>Medium</t>
        </is>
      </c>
      <c r="E165" t="n">
        <v>2</v>
      </c>
      <c r="F165" t="inlineStr">
        <is>
          <t>Ready for Retest</t>
        </is>
      </c>
      <c r="G165" t="inlineStr">
        <is>
          <t>Other</t>
        </is>
      </c>
      <c r="J165" t="inlineStr">
        <is>
          <t>Stagnant Archive</t>
        </is>
      </c>
      <c r="K165" t="inlineStr">
        <is>
          <t>Sp_23</t>
        </is>
      </c>
      <c r="M165" t="inlineStr">
        <is>
          <t>Navab Erfan</t>
        </is>
      </c>
      <c r="Q165" s="42" t="n">
        <v>46015.65702546296</v>
      </c>
      <c r="S165" t="n">
        <v>0</v>
      </c>
      <c r="T165" s="42" t="n">
        <v>46015.65702546296</v>
      </c>
      <c r="AA165" t="n">
        <v>0</v>
      </c>
      <c r="AD165" t="n">
        <v>2</v>
      </c>
      <c r="AE165" t="n">
        <v>2</v>
      </c>
      <c r="AF165" t="n">
        <v>0</v>
      </c>
      <c r="AI165" t="n">
        <v>0</v>
      </c>
      <c r="AJ165" t="n">
        <v>0</v>
      </c>
      <c r="AN165" t="n">
        <v>0</v>
      </c>
      <c r="AO165" t="n">
        <v>0</v>
      </c>
      <c r="AP165" t="n">
        <v>0</v>
      </c>
      <c r="AQ165" t="n">
        <v>24</v>
      </c>
      <c r="AR165" t="n">
        <v>0</v>
      </c>
    </row>
    <row r="166">
      <c r="A166" t="n">
        <v>199382</v>
      </c>
      <c r="B166" t="inlineStr">
        <is>
          <t>بایگانی اسناد - ثبت اسناد کارتن های صورتجلسه</t>
        </is>
      </c>
      <c r="D166" t="inlineStr">
        <is>
          <t>Medium</t>
        </is>
      </c>
      <c r="E166" t="n">
        <v>2</v>
      </c>
      <c r="F166" t="inlineStr">
        <is>
          <t>New</t>
        </is>
      </c>
      <c r="G166" t="inlineStr">
        <is>
          <t>Other</t>
        </is>
      </c>
      <c r="J166" t="inlineStr">
        <is>
          <t>Stagnant Archive</t>
        </is>
      </c>
      <c r="K166" t="inlineStr">
        <is>
          <t>Sp_22</t>
        </is>
      </c>
      <c r="M166" t="inlineStr">
        <is>
          <t>Hajkhalil Mehrzad</t>
        </is>
      </c>
      <c r="Q166" s="42" t="n">
        <v>45994.42599537037</v>
      </c>
      <c r="S166" t="n">
        <v>0</v>
      </c>
      <c r="T166" s="42" t="n">
        <v>45994.42599537037</v>
      </c>
      <c r="AA166" t="n">
        <v>0</v>
      </c>
      <c r="AD166" t="n">
        <v>2</v>
      </c>
      <c r="AE166" t="n">
        <v>2</v>
      </c>
      <c r="AF166" t="n">
        <v>0</v>
      </c>
      <c r="AI166" t="n">
        <v>0</v>
      </c>
      <c r="AJ166" t="n">
        <v>0</v>
      </c>
      <c r="AM166" t="n">
        <v>23</v>
      </c>
      <c r="AN166" t="n">
        <v>0</v>
      </c>
      <c r="AO166" t="n">
        <v>0</v>
      </c>
      <c r="AP166" t="n">
        <v>0</v>
      </c>
      <c r="AQ166" t="n">
        <v>24</v>
      </c>
      <c r="AR166" t="n">
        <v>0</v>
      </c>
    </row>
    <row r="167">
      <c r="A167" t="n">
        <v>199385</v>
      </c>
      <c r="B167" t="inlineStr">
        <is>
          <t>بایگانی اسناد - حذف پاراف در نود بازگشت از انباردار به معاون</t>
        </is>
      </c>
      <c r="D167" t="inlineStr">
        <is>
          <t>Medium</t>
        </is>
      </c>
      <c r="E167" t="n">
        <v>2</v>
      </c>
      <c r="F167" t="inlineStr">
        <is>
          <t>Closed</t>
        </is>
      </c>
      <c r="G167" t="inlineStr">
        <is>
          <t>Other</t>
        </is>
      </c>
      <c r="J167" t="inlineStr">
        <is>
          <t>Stagnant Archive</t>
        </is>
      </c>
      <c r="K167" t="inlineStr">
        <is>
          <t>Sp_22</t>
        </is>
      </c>
      <c r="M167" t="inlineStr">
        <is>
          <t>Homayoun Mohammad</t>
        </is>
      </c>
      <c r="N167" t="inlineStr">
        <is>
          <t>Monfared Mobina</t>
        </is>
      </c>
      <c r="O167" s="42" t="n">
        <v>45998.5663425926</v>
      </c>
      <c r="Q167" s="42" t="n">
        <v>45998.5663425926</v>
      </c>
      <c r="S167" t="n">
        <v>0</v>
      </c>
      <c r="T167" s="42" t="n">
        <v>45998.5663425926</v>
      </c>
      <c r="Z167" s="42" t="n">
        <v>45998.5663425926</v>
      </c>
      <c r="AA167" t="n">
        <v>0</v>
      </c>
      <c r="AD167" t="n">
        <v>2</v>
      </c>
      <c r="AE167" t="n">
        <v>2</v>
      </c>
      <c r="AF167" t="n">
        <v>0</v>
      </c>
      <c r="AI167" t="n">
        <v>0</v>
      </c>
      <c r="AJ167" t="n">
        <v>0</v>
      </c>
      <c r="AK167" t="n">
        <v>0</v>
      </c>
      <c r="AL167" t="n">
        <v>0</v>
      </c>
      <c r="AN167" t="n">
        <v>0</v>
      </c>
      <c r="AO167" t="n">
        <v>0</v>
      </c>
      <c r="AP167" t="n">
        <v>0</v>
      </c>
      <c r="AQ167" t="n">
        <v>24</v>
      </c>
      <c r="AR167" t="n">
        <v>0</v>
      </c>
    </row>
    <row r="168">
      <c r="A168" t="n">
        <v>199386</v>
      </c>
      <c r="B168" t="inlineStr">
        <is>
          <t>بایگانی اسناد - ویرایش یا حذف پاراف ثبت شده توسط شخص ثبت کننده پاراف در مرحله ارسال مجدد تسک به کارتابل شخص</t>
        </is>
      </c>
      <c r="D168" t="inlineStr">
        <is>
          <t>Medium</t>
        </is>
      </c>
      <c r="E168" t="n">
        <v>2</v>
      </c>
      <c r="F168" t="inlineStr">
        <is>
          <t>Closed</t>
        </is>
      </c>
      <c r="G168" t="inlineStr">
        <is>
          <t>Other</t>
        </is>
      </c>
      <c r="J168" t="inlineStr">
        <is>
          <t>Stagnant Archive</t>
        </is>
      </c>
      <c r="K168" t="inlineStr">
        <is>
          <t>Sp_22</t>
        </is>
      </c>
      <c r="M168" t="inlineStr">
        <is>
          <t>Homayoun Mohammad</t>
        </is>
      </c>
      <c r="N168" t="inlineStr">
        <is>
          <t>Monfared Mobina</t>
        </is>
      </c>
      <c r="O168" s="42" t="n">
        <v>45998.66332175926</v>
      </c>
      <c r="Q168" s="42" t="n">
        <v>45998.66332175926</v>
      </c>
      <c r="S168" t="n">
        <v>0</v>
      </c>
      <c r="T168" s="42" t="n">
        <v>45998.66332175926</v>
      </c>
      <c r="Z168" s="42" t="n">
        <v>45998.66332175926</v>
      </c>
      <c r="AA168" t="n">
        <v>0</v>
      </c>
      <c r="AD168" t="n">
        <v>2</v>
      </c>
      <c r="AE168" t="n">
        <v>2</v>
      </c>
      <c r="AF168" t="n">
        <v>0</v>
      </c>
      <c r="AI168" t="n">
        <v>0</v>
      </c>
      <c r="AJ168" t="n">
        <v>0</v>
      </c>
      <c r="AK168" t="n">
        <v>0</v>
      </c>
      <c r="AL168" t="n">
        <v>0</v>
      </c>
      <c r="AN168" t="n">
        <v>0</v>
      </c>
      <c r="AO168" t="n">
        <v>0</v>
      </c>
      <c r="AP168" t="n">
        <v>0</v>
      </c>
      <c r="AQ168" t="n">
        <v>24</v>
      </c>
      <c r="AR168" t="n">
        <v>0</v>
      </c>
    </row>
    <row r="169">
      <c r="A169" t="n">
        <v>199387</v>
      </c>
      <c r="B169" t="inlineStr">
        <is>
          <t>سلام</t>
        </is>
      </c>
      <c r="D169" t="inlineStr">
        <is>
          <t>Medium</t>
        </is>
      </c>
      <c r="E169" t="n">
        <v>2</v>
      </c>
      <c r="F169" t="inlineStr">
        <is>
          <t>Active</t>
        </is>
      </c>
      <c r="G169" t="inlineStr">
        <is>
          <t>Other</t>
        </is>
      </c>
      <c r="J169" t="inlineStr">
        <is>
          <t>Test Process</t>
        </is>
      </c>
      <c r="K169" t="inlineStr">
        <is>
          <t>sprint 40</t>
        </is>
      </c>
      <c r="M169" t="inlineStr">
        <is>
          <t>Ana Mohit</t>
        </is>
      </c>
      <c r="Q169" s="42" t="n">
        <v>45994.46152777778</v>
      </c>
      <c r="S169" t="n">
        <v>0</v>
      </c>
      <c r="T169" s="42" t="n">
        <v>45994.46152777778</v>
      </c>
      <c r="AA169" t="n">
        <v>0</v>
      </c>
      <c r="AD169" t="n">
        <v>2</v>
      </c>
      <c r="AE169" t="n">
        <v>2</v>
      </c>
      <c r="AF169" t="n">
        <v>0</v>
      </c>
      <c r="AI169" t="n">
        <v>0</v>
      </c>
      <c r="AJ169" t="n">
        <v>0</v>
      </c>
      <c r="AM169" t="n">
        <v>23</v>
      </c>
      <c r="AN169" t="n">
        <v>0</v>
      </c>
      <c r="AO169" t="n">
        <v>0</v>
      </c>
      <c r="AP169" t="n">
        <v>0</v>
      </c>
      <c r="AQ169" t="n">
        <v>24</v>
      </c>
      <c r="AR169" t="n">
        <v>0</v>
      </c>
    </row>
    <row r="170">
      <c r="A170" t="n">
        <v>199388</v>
      </c>
      <c r="B170" t="inlineStr">
        <is>
          <t>بایگانی اسناد - عودت از مرحله تأیید چیدمان توسط انباردار</t>
        </is>
      </c>
      <c r="D170" t="inlineStr">
        <is>
          <t>Medium</t>
        </is>
      </c>
      <c r="E170" t="n">
        <v>2</v>
      </c>
      <c r="F170" t="inlineStr">
        <is>
          <t>Closed</t>
        </is>
      </c>
      <c r="G170" t="inlineStr">
        <is>
          <t>Other</t>
        </is>
      </c>
      <c r="J170" t="inlineStr">
        <is>
          <t>Stagnant Archive</t>
        </is>
      </c>
      <c r="K170" t="inlineStr">
        <is>
          <t>Sp_22</t>
        </is>
      </c>
      <c r="M170" t="inlineStr">
        <is>
          <t>Homayoun Mohammad</t>
        </is>
      </c>
      <c r="N170" t="inlineStr">
        <is>
          <t>Monfared Mobina</t>
        </is>
      </c>
      <c r="O170" s="42" t="n">
        <v>45998.56496527778</v>
      </c>
      <c r="Q170" s="42" t="n">
        <v>45998.56496527778</v>
      </c>
      <c r="S170" t="n">
        <v>0</v>
      </c>
      <c r="T170" s="42" t="n">
        <v>45998.56496527778</v>
      </c>
      <c r="Z170" s="42" t="n">
        <v>45998.56496527778</v>
      </c>
      <c r="AA170" t="n">
        <v>0</v>
      </c>
      <c r="AD170" t="n">
        <v>2</v>
      </c>
      <c r="AE170" t="n">
        <v>2</v>
      </c>
      <c r="AF170" t="n">
        <v>0</v>
      </c>
      <c r="AI170" t="n">
        <v>0</v>
      </c>
      <c r="AJ170" t="n">
        <v>0</v>
      </c>
      <c r="AK170" t="n">
        <v>0</v>
      </c>
      <c r="AL170" t="n">
        <v>0</v>
      </c>
      <c r="AN170" t="n">
        <v>0</v>
      </c>
      <c r="AO170" t="n">
        <v>0</v>
      </c>
      <c r="AP170" t="n">
        <v>0</v>
      </c>
      <c r="AQ170" t="n">
        <v>24</v>
      </c>
      <c r="AR170" t="n">
        <v>0</v>
      </c>
    </row>
    <row r="171">
      <c r="A171" t="n">
        <v>199390</v>
      </c>
      <c r="B171" t="inlineStr">
        <is>
          <t xml:space="preserve">لینک بازدید از محل فعالیت درگزارش کارشناسی باگ دارد </t>
        </is>
      </c>
      <c r="D171" t="inlineStr">
        <is>
          <t>Medium</t>
        </is>
      </c>
      <c r="E171" t="n">
        <v>2</v>
      </c>
      <c r="F171" t="inlineStr">
        <is>
          <t>Closed</t>
        </is>
      </c>
      <c r="G171" t="inlineStr">
        <is>
          <t>Other</t>
        </is>
      </c>
      <c r="J171" t="inlineStr">
        <is>
          <t>Dem</t>
        </is>
      </c>
      <c r="K171" t="inlineStr">
        <is>
          <t>DemBiz</t>
        </is>
      </c>
      <c r="M171" t="inlineStr">
        <is>
          <t>Hoseini Fatemeh</t>
        </is>
      </c>
      <c r="N171" t="inlineStr">
        <is>
          <t>Hajizadeh Elnaz</t>
        </is>
      </c>
      <c r="O171" s="42" t="n">
        <v>45998.71938657408</v>
      </c>
      <c r="Q171" s="42" t="n">
        <v>45998.71938657408</v>
      </c>
      <c r="S171" t="n">
        <v>0</v>
      </c>
      <c r="T171" s="42" t="n">
        <v>45998.71938657408</v>
      </c>
      <c r="Z171" s="42" t="n">
        <v>45998.71938657408</v>
      </c>
      <c r="AA171" t="n">
        <v>0</v>
      </c>
      <c r="AD171" t="n">
        <v>2</v>
      </c>
      <c r="AE171" t="n">
        <v>2</v>
      </c>
      <c r="AF171" t="n">
        <v>0</v>
      </c>
      <c r="AI171" t="n">
        <v>0</v>
      </c>
      <c r="AJ171" t="n">
        <v>0</v>
      </c>
      <c r="AK171" t="n">
        <v>0</v>
      </c>
      <c r="AL171" t="n">
        <v>0</v>
      </c>
      <c r="AN171" t="n">
        <v>0</v>
      </c>
      <c r="AO171" t="n">
        <v>0</v>
      </c>
      <c r="AP171" t="n">
        <v>0</v>
      </c>
      <c r="AQ171" t="n">
        <v>24</v>
      </c>
      <c r="AR171" t="n">
        <v>0</v>
      </c>
    </row>
    <row r="172">
      <c r="A172" t="n">
        <v>199397</v>
      </c>
      <c r="B172" t="inlineStr">
        <is>
          <t>رفتار اشتباه دکمه ذخیره: الزام تکراری به ثبت آزمون حتی پس از وجود نتیجه آزمون</t>
        </is>
      </c>
      <c r="D172" t="inlineStr">
        <is>
          <t>Medium</t>
        </is>
      </c>
      <c r="E172" t="n">
        <v>2</v>
      </c>
      <c r="F172" t="inlineStr">
        <is>
          <t>Closed</t>
        </is>
      </c>
      <c r="G172" t="inlineStr">
        <is>
          <t>Other</t>
        </is>
      </c>
      <c r="J172" t="inlineStr">
        <is>
          <t>Post Bank</t>
        </is>
      </c>
      <c r="K172" t="inlineStr">
        <is>
          <t>Sprint 20</t>
        </is>
      </c>
      <c r="L172" t="inlineStr">
        <is>
          <t>Completed</t>
        </is>
      </c>
      <c r="M172" t="inlineStr">
        <is>
          <t>Arshi Mahmood</t>
        </is>
      </c>
      <c r="N172" t="inlineStr">
        <is>
          <t>Mohseni Hadise</t>
        </is>
      </c>
      <c r="O172" s="42" t="n">
        <v>46006.67579861111</v>
      </c>
      <c r="Q172" s="42" t="n">
        <v>46006.67579861111</v>
      </c>
      <c r="S172" t="n">
        <v>0</v>
      </c>
      <c r="T172" s="42" t="n">
        <v>46006.67579861111</v>
      </c>
      <c r="Z172" s="42" t="n">
        <v>46006.67579861111</v>
      </c>
      <c r="AA172" t="n">
        <v>0</v>
      </c>
      <c r="AD172" t="n">
        <v>2</v>
      </c>
      <c r="AE172" t="n">
        <v>2</v>
      </c>
      <c r="AF172" t="n">
        <v>0</v>
      </c>
      <c r="AI172" t="n">
        <v>0</v>
      </c>
      <c r="AJ172" t="n">
        <v>0</v>
      </c>
      <c r="AK172" t="n">
        <v>0</v>
      </c>
      <c r="AL172" t="n">
        <v>0</v>
      </c>
      <c r="AN172" t="n">
        <v>0</v>
      </c>
      <c r="AO172" t="n">
        <v>0</v>
      </c>
      <c r="AP172" t="n">
        <v>0</v>
      </c>
      <c r="AQ172" t="n">
        <v>24</v>
      </c>
      <c r="AR172" t="n">
        <v>0</v>
      </c>
    </row>
    <row r="173">
      <c r="A173" t="n">
        <v>199398</v>
      </c>
      <c r="B173" t="inlineStr">
        <is>
          <t>عدم نمایش دیتای داخل کارتابل در 184:1375 و 249:1379</t>
        </is>
      </c>
      <c r="D173" t="inlineStr">
        <is>
          <t>Medium</t>
        </is>
      </c>
      <c r="E173" t="n">
        <v>2</v>
      </c>
      <c r="F173" t="inlineStr">
        <is>
          <t>Closed</t>
        </is>
      </c>
      <c r="G173" t="inlineStr">
        <is>
          <t>Other</t>
        </is>
      </c>
      <c r="J173" t="inlineStr">
        <is>
          <t>Stagnant Archive</t>
        </is>
      </c>
      <c r="K173" t="inlineStr">
        <is>
          <t>Sp_22</t>
        </is>
      </c>
      <c r="M173" t="inlineStr">
        <is>
          <t>Navab Erfan</t>
        </is>
      </c>
      <c r="N173" t="inlineStr">
        <is>
          <t>Navab Erfan</t>
        </is>
      </c>
      <c r="O173" s="42" t="n">
        <v>46000.44925925926</v>
      </c>
      <c r="Q173" s="42" t="n">
        <v>46000.44925925926</v>
      </c>
      <c r="S173" t="n">
        <v>0</v>
      </c>
      <c r="T173" s="42" t="n">
        <v>46000.44925925926</v>
      </c>
      <c r="Z173" s="42" t="n">
        <v>46000.44925925926</v>
      </c>
      <c r="AA173" t="n">
        <v>0</v>
      </c>
      <c r="AD173" t="n">
        <v>2</v>
      </c>
      <c r="AE173" t="n">
        <v>2</v>
      </c>
      <c r="AF173" t="n">
        <v>0</v>
      </c>
      <c r="AI173" t="n">
        <v>0</v>
      </c>
      <c r="AJ173" t="n">
        <v>0</v>
      </c>
      <c r="AK173" t="n">
        <v>0</v>
      </c>
      <c r="AL173" t="n">
        <v>0</v>
      </c>
      <c r="AN173" t="n">
        <v>0</v>
      </c>
      <c r="AO173" t="n">
        <v>0</v>
      </c>
      <c r="AP173" t="n">
        <v>0</v>
      </c>
      <c r="AQ173" t="n">
        <v>24</v>
      </c>
      <c r="AR173" t="n">
        <v>0</v>
      </c>
    </row>
    <row r="174">
      <c r="A174" t="n">
        <v>199401</v>
      </c>
      <c r="B174" t="inlineStr">
        <is>
          <t>الزام نادرست به بارگذاری کارت پایان خدمت هنگام انتخاب گزینه عدم کارت پایان خدمت</t>
        </is>
      </c>
      <c r="D174" t="inlineStr">
        <is>
          <t>Medium</t>
        </is>
      </c>
      <c r="E174" t="n">
        <v>2</v>
      </c>
      <c r="F174" t="inlineStr">
        <is>
          <t>Open</t>
        </is>
      </c>
      <c r="G174" t="inlineStr">
        <is>
          <t>Other</t>
        </is>
      </c>
      <c r="J174" t="inlineStr">
        <is>
          <t>Post Bank</t>
        </is>
      </c>
      <c r="K174" t="inlineStr">
        <is>
          <t>Sprint 21</t>
        </is>
      </c>
      <c r="L174" t="inlineStr">
        <is>
          <t>Completed</t>
        </is>
      </c>
      <c r="M174" t="inlineStr">
        <is>
          <t>Arshi Mahmood</t>
        </is>
      </c>
      <c r="Q174" s="42" t="n">
        <v>46007.49800925926</v>
      </c>
      <c r="S174" t="n">
        <v>0</v>
      </c>
      <c r="T174" s="42" t="n">
        <v>46007.49800925926</v>
      </c>
      <c r="AA174" t="n">
        <v>0</v>
      </c>
      <c r="AD174" t="n">
        <v>2</v>
      </c>
      <c r="AE174" t="n">
        <v>2</v>
      </c>
      <c r="AF174" t="n">
        <v>0</v>
      </c>
      <c r="AI174" t="n">
        <v>0</v>
      </c>
      <c r="AJ174" t="n">
        <v>0</v>
      </c>
      <c r="AM174" t="n">
        <v>10</v>
      </c>
      <c r="AN174" t="n">
        <v>0</v>
      </c>
      <c r="AO174" t="n">
        <v>0</v>
      </c>
      <c r="AP174" t="n">
        <v>0</v>
      </c>
      <c r="AQ174" t="n">
        <v>24</v>
      </c>
      <c r="AR174" t="n">
        <v>0</v>
      </c>
    </row>
    <row r="175">
      <c r="A175" t="n">
        <v>199402</v>
      </c>
      <c r="B175" t="inlineStr">
        <is>
          <t xml:space="preserve">باگ عدم فیلتر گرید و نمایش کل دیتا ها با توجه به این که نستد پرنت مشخص می باشد </t>
        </is>
      </c>
      <c r="D175" t="inlineStr">
        <is>
          <t>Medium</t>
        </is>
      </c>
      <c r="E175" t="n">
        <v>2</v>
      </c>
      <c r="F175" t="inlineStr">
        <is>
          <t>Closed</t>
        </is>
      </c>
      <c r="G175" t="inlineStr">
        <is>
          <t>Other</t>
        </is>
      </c>
      <c r="J175" t="inlineStr">
        <is>
          <t>Integrated Warehouse</t>
        </is>
      </c>
      <c r="K175" t="inlineStr">
        <is>
          <t>Sprint 31</t>
        </is>
      </c>
      <c r="L175" t="inlineStr">
        <is>
          <t>Completed</t>
        </is>
      </c>
      <c r="M175" t="inlineStr">
        <is>
          <t>Navab Erfan</t>
        </is>
      </c>
      <c r="N175" t="inlineStr">
        <is>
          <t>Hajkhalil Mehrzad</t>
        </is>
      </c>
      <c r="O175" s="42" t="n">
        <v>46006.45326388889</v>
      </c>
      <c r="Q175" s="42" t="n">
        <v>46006.45326388889</v>
      </c>
      <c r="S175" t="n">
        <v>0</v>
      </c>
      <c r="T175" s="42" t="n">
        <v>46006.45326388889</v>
      </c>
      <c r="Z175" s="42" t="n">
        <v>46006.45326388889</v>
      </c>
      <c r="AA175" t="n">
        <v>0</v>
      </c>
      <c r="AD175" t="n">
        <v>2</v>
      </c>
      <c r="AE175" t="n">
        <v>2</v>
      </c>
      <c r="AF175" t="n">
        <v>0</v>
      </c>
      <c r="AI175" t="n">
        <v>0</v>
      </c>
      <c r="AJ175" t="n">
        <v>0</v>
      </c>
      <c r="AK175" t="n">
        <v>0</v>
      </c>
      <c r="AL175" t="n">
        <v>0</v>
      </c>
      <c r="AN175" t="n">
        <v>0</v>
      </c>
      <c r="AO175" t="n">
        <v>0</v>
      </c>
      <c r="AP175" t="n">
        <v>0</v>
      </c>
      <c r="AQ175" t="n">
        <v>24</v>
      </c>
      <c r="AR175" t="n">
        <v>0</v>
      </c>
    </row>
    <row r="176">
      <c r="A176" t="n">
        <v>199403</v>
      </c>
      <c r="B176" t="inlineStr">
        <is>
          <t>خطای 405 بعد از زدن دکمه لاگ اوت</t>
        </is>
      </c>
      <c r="D176" t="inlineStr">
        <is>
          <t>Medium</t>
        </is>
      </c>
      <c r="E176" t="n">
        <v>2</v>
      </c>
      <c r="F176" t="inlineStr">
        <is>
          <t>Active</t>
        </is>
      </c>
      <c r="G176" t="inlineStr">
        <is>
          <t>Other</t>
        </is>
      </c>
      <c r="J176" t="inlineStr">
        <is>
          <t>Infrastructure Bizagi Extension</t>
        </is>
      </c>
      <c r="K176" t="inlineStr">
        <is>
          <t>SP_88</t>
        </is>
      </c>
      <c r="M176" t="inlineStr">
        <is>
          <t>Mirshomali Pouya</t>
        </is>
      </c>
      <c r="Q176" s="42" t="n">
        <v>45994.60023148148</v>
      </c>
      <c r="S176" t="n">
        <v>0</v>
      </c>
      <c r="T176" s="42" t="n">
        <v>45994.60023148148</v>
      </c>
      <c r="AA176" t="n">
        <v>0</v>
      </c>
      <c r="AD176" t="n">
        <v>2</v>
      </c>
      <c r="AE176" t="n">
        <v>2</v>
      </c>
      <c r="AF176" t="n">
        <v>0</v>
      </c>
      <c r="AI176" t="n">
        <v>0</v>
      </c>
      <c r="AJ176" t="n">
        <v>0</v>
      </c>
      <c r="AM176" t="n">
        <v>23</v>
      </c>
      <c r="AN176" t="n">
        <v>0</v>
      </c>
      <c r="AO176" t="n">
        <v>0</v>
      </c>
      <c r="AP176" t="n">
        <v>0</v>
      </c>
      <c r="AQ176" t="n">
        <v>24</v>
      </c>
      <c r="AR176" t="n">
        <v>0</v>
      </c>
    </row>
    <row r="177">
      <c r="A177" t="n">
        <v>199405</v>
      </c>
      <c r="B177" t="inlineStr">
        <is>
          <t>بایگانی اسناد - ثبت پاراف در صورتجلسه ایجادشده از درخواست</t>
        </is>
      </c>
      <c r="D177" t="inlineStr">
        <is>
          <t>Medium</t>
        </is>
      </c>
      <c r="E177" t="n">
        <v>2</v>
      </c>
      <c r="F177" t="inlineStr">
        <is>
          <t>Ready for Retest</t>
        </is>
      </c>
      <c r="G177" t="inlineStr">
        <is>
          <t>Other</t>
        </is>
      </c>
      <c r="J177" t="inlineStr">
        <is>
          <t>Stagnant Archive</t>
        </is>
      </c>
      <c r="K177" t="inlineStr">
        <is>
          <t>Sp_23</t>
        </is>
      </c>
      <c r="M177" t="inlineStr">
        <is>
          <t>Homayoun Mohammad</t>
        </is>
      </c>
      <c r="Q177" s="42" t="n">
        <v>46015.65712962963</v>
      </c>
      <c r="S177" t="n">
        <v>0</v>
      </c>
      <c r="T177" s="42" t="n">
        <v>46015.65712962963</v>
      </c>
      <c r="AA177" t="n">
        <v>0</v>
      </c>
      <c r="AD177" t="n">
        <v>2</v>
      </c>
      <c r="AE177" t="n">
        <v>2</v>
      </c>
      <c r="AF177" t="n">
        <v>0</v>
      </c>
      <c r="AI177" t="n">
        <v>0</v>
      </c>
      <c r="AJ177" t="n">
        <v>0</v>
      </c>
      <c r="AN177" t="n">
        <v>0</v>
      </c>
      <c r="AO177" t="n">
        <v>0</v>
      </c>
      <c r="AP177" t="n">
        <v>0</v>
      </c>
      <c r="AQ177" t="n">
        <v>24</v>
      </c>
      <c r="AR177" t="n">
        <v>0</v>
      </c>
    </row>
    <row r="178">
      <c r="A178" t="n">
        <v>199440</v>
      </c>
      <c r="B178" t="inlineStr">
        <is>
          <t xml:space="preserve">عدم تطابق پروتوتایپ و پیاده سازی در فرم ارجاع پرونده به دبیر هیئت </t>
        </is>
      </c>
      <c r="D178" t="inlineStr">
        <is>
          <t>Medium</t>
        </is>
      </c>
      <c r="E178" t="n">
        <v>2</v>
      </c>
      <c r="F178" t="inlineStr">
        <is>
          <t>Closed</t>
        </is>
      </c>
      <c r="G178" t="inlineStr">
        <is>
          <t>Other</t>
        </is>
      </c>
      <c r="J178" t="inlineStr">
        <is>
          <t>SAJAK</t>
        </is>
      </c>
      <c r="K178" t="inlineStr">
        <is>
          <t>Estate_Sprint 45</t>
        </is>
      </c>
      <c r="M178" t="inlineStr">
        <is>
          <t>Kalaei Saman</t>
        </is>
      </c>
      <c r="N178" t="inlineStr">
        <is>
          <t>Erfani Alireza</t>
        </is>
      </c>
      <c r="O178" s="42" t="n">
        <v>45997.63545138889</v>
      </c>
      <c r="Q178" s="42" t="n">
        <v>45997.63545138889</v>
      </c>
      <c r="S178" t="n">
        <v>0</v>
      </c>
      <c r="T178" s="42" t="n">
        <v>45997.63545138889</v>
      </c>
      <c r="Z178" s="42" t="n">
        <v>45997.63545138889</v>
      </c>
      <c r="AA178" t="n">
        <v>0</v>
      </c>
      <c r="AD178" t="n">
        <v>2</v>
      </c>
      <c r="AE178" t="n">
        <v>2</v>
      </c>
      <c r="AF178" t="n">
        <v>0</v>
      </c>
      <c r="AI178" t="n">
        <v>0</v>
      </c>
      <c r="AJ178" t="n">
        <v>0</v>
      </c>
      <c r="AK178" t="n">
        <v>0</v>
      </c>
      <c r="AL178" t="n">
        <v>0</v>
      </c>
      <c r="AN178" t="n">
        <v>0</v>
      </c>
      <c r="AO178" t="n">
        <v>0</v>
      </c>
      <c r="AP178" t="n">
        <v>0</v>
      </c>
      <c r="AQ178" t="n">
        <v>24</v>
      </c>
      <c r="AR178" t="n">
        <v>0</v>
      </c>
    </row>
    <row r="179">
      <c r="A179" t="n">
        <v>199445</v>
      </c>
      <c r="B179" t="inlineStr">
        <is>
          <t xml:space="preserve">اختلاف در فرم بررسی نظر هیئت - ساماندهی </t>
        </is>
      </c>
      <c r="D179" t="inlineStr">
        <is>
          <t>Medium</t>
        </is>
      </c>
      <c r="E179" t="n">
        <v>2</v>
      </c>
      <c r="F179" t="inlineStr">
        <is>
          <t>Closed</t>
        </is>
      </c>
      <c r="G179" t="inlineStr">
        <is>
          <t>Other</t>
        </is>
      </c>
      <c r="I179" t="inlineStr">
        <is>
          <t>Bizagi_Team</t>
        </is>
      </c>
      <c r="J179" t="inlineStr">
        <is>
          <t>SAJAK</t>
        </is>
      </c>
      <c r="K179" t="inlineStr">
        <is>
          <t>Estate_Sprint 45</t>
        </is>
      </c>
      <c r="M179" t="inlineStr">
        <is>
          <t>Kalaei Saman</t>
        </is>
      </c>
      <c r="N179" t="inlineStr">
        <is>
          <t>Erfani Alireza</t>
        </is>
      </c>
      <c r="O179" s="42" t="n">
        <v>45997.64150462963</v>
      </c>
      <c r="Q179" s="42" t="n">
        <v>45997.64150462963</v>
      </c>
      <c r="S179" t="n">
        <v>0</v>
      </c>
      <c r="T179" s="42" t="n">
        <v>45997.64150462963</v>
      </c>
      <c r="Z179" s="42" t="n">
        <v>45997.64150462963</v>
      </c>
      <c r="AA179" t="n">
        <v>0</v>
      </c>
      <c r="AD179" t="n">
        <v>2</v>
      </c>
      <c r="AE179" t="n">
        <v>2</v>
      </c>
      <c r="AF179" t="n">
        <v>0</v>
      </c>
      <c r="AI179" t="n">
        <v>0</v>
      </c>
      <c r="AJ179" t="n">
        <v>0</v>
      </c>
      <c r="AK179" t="n">
        <v>0</v>
      </c>
      <c r="AL179" t="n">
        <v>0</v>
      </c>
      <c r="AN179" t="n">
        <v>0</v>
      </c>
      <c r="AO179" t="n">
        <v>0</v>
      </c>
      <c r="AP179" t="n">
        <v>0</v>
      </c>
      <c r="AQ179" t="n">
        <v>24</v>
      </c>
      <c r="AR179" t="n">
        <v>0</v>
      </c>
    </row>
    <row r="180">
      <c r="A180" t="n">
        <v>199447</v>
      </c>
      <c r="B180" t="inlineStr">
        <is>
          <t xml:space="preserve">در پروتوتوتایپ مرحله سوم در هیئت نقص در پرونده و عودت به بنیاد مسکن است در پیاده سازی خیر </t>
        </is>
      </c>
      <c r="D180" t="inlineStr">
        <is>
          <t>Medium</t>
        </is>
      </c>
      <c r="E180" t="n">
        <v>2</v>
      </c>
      <c r="F180" t="inlineStr">
        <is>
          <t>Closed</t>
        </is>
      </c>
      <c r="G180" t="inlineStr">
        <is>
          <t>Other</t>
        </is>
      </c>
      <c r="I180" t="inlineStr">
        <is>
          <t>Bizagi_Team</t>
        </is>
      </c>
      <c r="J180" t="inlineStr">
        <is>
          <t>SAJAK</t>
        </is>
      </c>
      <c r="K180" t="inlineStr">
        <is>
          <t>Sprint 42</t>
        </is>
      </c>
      <c r="M180" t="inlineStr">
        <is>
          <t>Tedadi Abbas</t>
        </is>
      </c>
      <c r="P180" s="42" t="n">
        <v>45997.67359953704</v>
      </c>
      <c r="Q180" s="42" t="n">
        <v>45997.67359953704</v>
      </c>
      <c r="S180" t="n">
        <v>0</v>
      </c>
      <c r="T180" s="42" t="n">
        <v>45997.67359953704</v>
      </c>
      <c r="AA180" t="n">
        <v>0</v>
      </c>
      <c r="AD180" t="n">
        <v>2</v>
      </c>
      <c r="AE180" t="n">
        <v>2</v>
      </c>
      <c r="AF180" t="n">
        <v>0</v>
      </c>
      <c r="AI180" t="n">
        <v>0</v>
      </c>
      <c r="AJ180" t="n">
        <v>0</v>
      </c>
      <c r="AN180" t="n">
        <v>0</v>
      </c>
      <c r="AO180" t="n">
        <v>0</v>
      </c>
      <c r="AP180" t="n">
        <v>0</v>
      </c>
      <c r="AQ180" t="n">
        <v>24</v>
      </c>
      <c r="AR180" t="n">
        <v>0</v>
      </c>
    </row>
    <row r="181">
      <c r="A181" t="n">
        <v>199448</v>
      </c>
      <c r="B181" t="inlineStr">
        <is>
          <t>با وجود اینکه اکانت 0070108201 دارای نقش رئیس واحد ثبتی است می تواند اکشنی که دبیر هیئت ساماندهی باید انجام دهد را انجام دهد</t>
        </is>
      </c>
      <c r="D181" t="inlineStr">
        <is>
          <t>Medium</t>
        </is>
      </c>
      <c r="E181" t="n">
        <v>2</v>
      </c>
      <c r="F181" t="inlineStr">
        <is>
          <t>Closed</t>
        </is>
      </c>
      <c r="G181" t="inlineStr">
        <is>
          <t>Other</t>
        </is>
      </c>
      <c r="I181" t="inlineStr">
        <is>
          <t>Bizagi_Team</t>
        </is>
      </c>
      <c r="J181" t="inlineStr">
        <is>
          <t>SAJAK</t>
        </is>
      </c>
      <c r="K181" t="inlineStr">
        <is>
          <t>Estate_Sprint 45</t>
        </is>
      </c>
      <c r="M181" t="inlineStr">
        <is>
          <t>Tedadi Abbas</t>
        </is>
      </c>
      <c r="N181" t="inlineStr">
        <is>
          <t>Erfani Alireza</t>
        </is>
      </c>
      <c r="O181" s="42" t="n">
        <v>46000.44966435185</v>
      </c>
      <c r="Q181" s="42" t="n">
        <v>46000.44966435185</v>
      </c>
      <c r="S181" t="n">
        <v>0</v>
      </c>
      <c r="T181" s="42" t="n">
        <v>46000.44966435185</v>
      </c>
      <c r="Z181" s="42" t="n">
        <v>46000.44966435185</v>
      </c>
      <c r="AA181" t="n">
        <v>0</v>
      </c>
      <c r="AD181" t="n">
        <v>2</v>
      </c>
      <c r="AE181" t="n">
        <v>2</v>
      </c>
      <c r="AF181" t="n">
        <v>0</v>
      </c>
      <c r="AI181" t="n">
        <v>0</v>
      </c>
      <c r="AJ181" t="n">
        <v>0</v>
      </c>
      <c r="AK181" t="n">
        <v>0</v>
      </c>
      <c r="AL181" t="n">
        <v>0</v>
      </c>
      <c r="AN181" t="n">
        <v>0</v>
      </c>
      <c r="AO181" t="n">
        <v>0</v>
      </c>
      <c r="AP181" t="n">
        <v>0</v>
      </c>
      <c r="AQ181" t="n">
        <v>24</v>
      </c>
      <c r="AR181" t="n">
        <v>0</v>
      </c>
    </row>
    <row r="182">
      <c r="A182" t="n">
        <v>197575</v>
      </c>
      <c r="B182" t="inlineStr">
        <is>
          <t xml:space="preserve">AE_SAJA\\ ارور 500 در ثبت هیات جدید </t>
        </is>
      </c>
      <c r="D182" t="inlineStr">
        <is>
          <t>Medium</t>
        </is>
      </c>
      <c r="E182" t="n">
        <v>1</v>
      </c>
      <c r="F182" t="inlineStr">
        <is>
          <t>Closed</t>
        </is>
      </c>
      <c r="G182" t="inlineStr">
        <is>
          <t>Other</t>
        </is>
      </c>
      <c r="J182" t="inlineStr">
        <is>
          <t>Infrastructure Bizagi Extension</t>
        </is>
      </c>
      <c r="K182" t="inlineStr">
        <is>
          <t>SP-87</t>
        </is>
      </c>
      <c r="M182" t="inlineStr">
        <is>
          <t>Faraji Reza</t>
        </is>
      </c>
      <c r="N182" t="inlineStr">
        <is>
          <t>Kalaei Saman</t>
        </is>
      </c>
      <c r="O182" s="42" t="n">
        <v>45999.60329861111</v>
      </c>
      <c r="Q182" s="42" t="n">
        <v>45999.60329861111</v>
      </c>
      <c r="S182" t="n">
        <v>0</v>
      </c>
      <c r="T182" s="42" t="n">
        <v>45999.60329861111</v>
      </c>
      <c r="Z182" s="42" t="n">
        <v>45999.60329861111</v>
      </c>
      <c r="AA182" t="n">
        <v>0</v>
      </c>
      <c r="AD182" t="n">
        <v>2</v>
      </c>
      <c r="AE182" t="n">
        <v>2</v>
      </c>
      <c r="AF182" t="n">
        <v>0</v>
      </c>
      <c r="AI182" t="n">
        <v>0</v>
      </c>
      <c r="AJ182" t="n">
        <v>0</v>
      </c>
      <c r="AK182" t="n">
        <v>0</v>
      </c>
      <c r="AL182" t="n">
        <v>0</v>
      </c>
      <c r="AN182" t="n">
        <v>0</v>
      </c>
      <c r="AO182" t="n">
        <v>0</v>
      </c>
      <c r="AP182" t="n">
        <v>0</v>
      </c>
      <c r="AQ182" t="n">
        <v>24</v>
      </c>
      <c r="AR182" t="n">
        <v>0</v>
      </c>
    </row>
    <row r="183">
      <c r="A183" t="n">
        <v>197597</v>
      </c>
      <c r="B183" t="inlineStr">
        <is>
          <t xml:space="preserve">مغایرت گرید افراد دخیل در رخداد در پروتوتایپ و پیاده سازی </t>
        </is>
      </c>
      <c r="D183" t="inlineStr">
        <is>
          <t>Medium</t>
        </is>
      </c>
      <c r="E183" t="n">
        <v>2</v>
      </c>
      <c r="F183" t="inlineStr">
        <is>
          <t>Active</t>
        </is>
      </c>
      <c r="G183" t="inlineStr">
        <is>
          <t>Other</t>
        </is>
      </c>
      <c r="J183" t="inlineStr">
        <is>
          <t>SAJAK</t>
        </is>
      </c>
      <c r="K183" t="inlineStr">
        <is>
          <t>Estate_Sprint 44</t>
        </is>
      </c>
      <c r="M183" t="inlineStr">
        <is>
          <t>Tedadi Abbas</t>
        </is>
      </c>
      <c r="Q183" s="42" t="n">
        <v>45997.66019675926</v>
      </c>
      <c r="S183" t="n">
        <v>0</v>
      </c>
      <c r="T183" s="42" t="n">
        <v>45997.66019675926</v>
      </c>
      <c r="AA183" t="n">
        <v>0</v>
      </c>
      <c r="AD183" t="n">
        <v>2</v>
      </c>
      <c r="AE183" t="n">
        <v>2</v>
      </c>
      <c r="AF183" t="n">
        <v>0</v>
      </c>
      <c r="AI183" t="n">
        <v>0</v>
      </c>
      <c r="AJ183" t="n">
        <v>0</v>
      </c>
      <c r="AM183" t="n">
        <v>20</v>
      </c>
      <c r="AN183" t="n">
        <v>0</v>
      </c>
      <c r="AO183" t="n">
        <v>0</v>
      </c>
      <c r="AP183" t="n">
        <v>0</v>
      </c>
      <c r="AQ183" t="n">
        <v>24</v>
      </c>
      <c r="AR183" t="n">
        <v>0</v>
      </c>
    </row>
    <row r="184">
      <c r="A184" t="n">
        <v>197689</v>
      </c>
      <c r="B184" t="inlineStr">
        <is>
          <t>انبارگردانی /باگ تب انبارگردانان</t>
        </is>
      </c>
      <c r="D184" t="inlineStr">
        <is>
          <t>Medium</t>
        </is>
      </c>
      <c r="E184" t="n">
        <v>2</v>
      </c>
      <c r="F184" t="inlineStr">
        <is>
          <t>Ready for Retest</t>
        </is>
      </c>
      <c r="G184" t="inlineStr">
        <is>
          <t>Other</t>
        </is>
      </c>
      <c r="J184" t="inlineStr">
        <is>
          <t>Integrated Warehouse</t>
        </is>
      </c>
      <c r="K184" t="inlineStr">
        <is>
          <t>Sprint 32</t>
        </is>
      </c>
      <c r="M184" t="inlineStr">
        <is>
          <t>Khedmati Aylin</t>
        </is>
      </c>
      <c r="Q184" s="42" t="n">
        <v>46015.68054398148</v>
      </c>
      <c r="S184" t="n">
        <v>0</v>
      </c>
      <c r="T184" s="42" t="n">
        <v>46015.68054398148</v>
      </c>
      <c r="AA184" t="n">
        <v>0</v>
      </c>
      <c r="AD184" t="n">
        <v>2</v>
      </c>
      <c r="AE184" t="n">
        <v>2</v>
      </c>
      <c r="AF184" t="n">
        <v>0</v>
      </c>
      <c r="AI184" t="n">
        <v>0</v>
      </c>
      <c r="AJ184" t="n">
        <v>0</v>
      </c>
      <c r="AN184" t="n">
        <v>0</v>
      </c>
      <c r="AO184" t="n">
        <v>0</v>
      </c>
      <c r="AP184" t="n">
        <v>0</v>
      </c>
      <c r="AQ184" t="n">
        <v>24</v>
      </c>
      <c r="AR184" t="n">
        <v>0</v>
      </c>
    </row>
    <row r="185">
      <c r="A185" t="n">
        <v>197690</v>
      </c>
      <c r="B185" t="inlineStr">
        <is>
          <t xml:space="preserve">انبارگردانی /باگ اصلاح وضعیت درخواست </t>
        </is>
      </c>
      <c r="D185" t="inlineStr">
        <is>
          <t>Medium</t>
        </is>
      </c>
      <c r="E185" t="n">
        <v>2</v>
      </c>
      <c r="F185" t="inlineStr">
        <is>
          <t>Ready for Retest</t>
        </is>
      </c>
      <c r="G185" t="inlineStr">
        <is>
          <t>Other</t>
        </is>
      </c>
      <c r="J185" t="inlineStr">
        <is>
          <t>Integrated Warehouse</t>
        </is>
      </c>
      <c r="K185" t="inlineStr">
        <is>
          <t>Sprint 32</t>
        </is>
      </c>
      <c r="M185" t="inlineStr">
        <is>
          <t>Khedmati Aylin</t>
        </is>
      </c>
      <c r="Q185" s="42" t="n">
        <v>46015.68054398148</v>
      </c>
      <c r="S185" t="n">
        <v>0</v>
      </c>
      <c r="T185" s="42" t="n">
        <v>46015.68054398148</v>
      </c>
      <c r="AA185" t="n">
        <v>0</v>
      </c>
      <c r="AD185" t="n">
        <v>2</v>
      </c>
      <c r="AE185" t="n">
        <v>2</v>
      </c>
      <c r="AF185" t="n">
        <v>0</v>
      </c>
      <c r="AI185" t="n">
        <v>0</v>
      </c>
      <c r="AJ185" t="n">
        <v>0</v>
      </c>
      <c r="AN185" t="n">
        <v>0</v>
      </c>
      <c r="AO185" t="n">
        <v>0</v>
      </c>
      <c r="AP185" t="n">
        <v>0</v>
      </c>
      <c r="AQ185" t="n">
        <v>24</v>
      </c>
      <c r="AR185" t="n">
        <v>0</v>
      </c>
    </row>
    <row r="186">
      <c r="A186" t="n">
        <v>197732</v>
      </c>
      <c r="B186" t="inlineStr">
        <is>
          <t xml:space="preserve">سرهم بودن  کلمات متن خلاصه  پرونده مشتری </t>
        </is>
      </c>
      <c r="D186" t="inlineStr">
        <is>
          <t>Medium</t>
        </is>
      </c>
      <c r="E186" t="n">
        <v>4</v>
      </c>
      <c r="F186" t="inlineStr">
        <is>
          <t>Closed</t>
        </is>
      </c>
      <c r="G186" t="inlineStr">
        <is>
          <t>Other</t>
        </is>
      </c>
      <c r="J186" t="inlineStr">
        <is>
          <t>Dem</t>
        </is>
      </c>
      <c r="K186" t="inlineStr">
        <is>
          <t>DemBiz</t>
        </is>
      </c>
      <c r="M186" t="inlineStr">
        <is>
          <t>Arshi Mahmood</t>
        </is>
      </c>
      <c r="N186" t="inlineStr">
        <is>
          <t>Hajizadeh Elnaz</t>
        </is>
      </c>
      <c r="O186" s="42" t="n">
        <v>45991.35899305555</v>
      </c>
      <c r="Q186" s="42" t="n">
        <v>45991.35899305555</v>
      </c>
      <c r="S186" t="n">
        <v>0</v>
      </c>
      <c r="T186" s="42" t="n">
        <v>45991.35899305555</v>
      </c>
      <c r="Z186" s="42" t="n">
        <v>45991.35899305555</v>
      </c>
      <c r="AA186" t="n">
        <v>0</v>
      </c>
      <c r="AD186" t="n">
        <v>2</v>
      </c>
      <c r="AE186" t="n">
        <v>2</v>
      </c>
      <c r="AF186" t="n">
        <v>0</v>
      </c>
      <c r="AI186" t="n">
        <v>0</v>
      </c>
      <c r="AJ186" t="n">
        <v>0</v>
      </c>
      <c r="AK186" t="n">
        <v>0</v>
      </c>
      <c r="AL186" t="n">
        <v>0</v>
      </c>
      <c r="AN186" t="n">
        <v>0</v>
      </c>
      <c r="AO186" t="n">
        <v>0</v>
      </c>
      <c r="AP186" t="n">
        <v>0</v>
      </c>
      <c r="AQ186" t="n">
        <v>24</v>
      </c>
      <c r="AR186" t="n">
        <v>0</v>
      </c>
    </row>
    <row r="187">
      <c r="A187" t="n">
        <v>197736</v>
      </c>
      <c r="B187" t="inlineStr">
        <is>
          <t xml:space="preserve">نبود ردیف وثائق در فرم ویرایش عقد  و جزییات عقد در درخواست غیر تسهیلاتی </t>
        </is>
      </c>
      <c r="D187" t="inlineStr">
        <is>
          <t>Medium</t>
        </is>
      </c>
      <c r="E187" t="n">
        <v>3</v>
      </c>
      <c r="F187" t="inlineStr">
        <is>
          <t>Closed</t>
        </is>
      </c>
      <c r="G187" t="inlineStr">
        <is>
          <t>Other</t>
        </is>
      </c>
      <c r="J187" t="inlineStr">
        <is>
          <t>Dem</t>
        </is>
      </c>
      <c r="K187" t="inlineStr">
        <is>
          <t>DemBiz</t>
        </is>
      </c>
      <c r="M187" t="inlineStr">
        <is>
          <t>Arshi Mahmood</t>
        </is>
      </c>
      <c r="N187" t="inlineStr">
        <is>
          <t>Hajizadeh Elnaz</t>
        </is>
      </c>
      <c r="O187" s="42" t="n">
        <v>45992.4946412037</v>
      </c>
      <c r="Q187" s="42" t="n">
        <v>45992.4946412037</v>
      </c>
      <c r="S187" t="n">
        <v>0</v>
      </c>
      <c r="T187" s="42" t="n">
        <v>45992.4946412037</v>
      </c>
      <c r="Z187" s="42" t="n">
        <v>45992.4946412037</v>
      </c>
      <c r="AA187" t="n">
        <v>0</v>
      </c>
      <c r="AD187" t="n">
        <v>2</v>
      </c>
      <c r="AE187" t="n">
        <v>2</v>
      </c>
      <c r="AF187" t="n">
        <v>0</v>
      </c>
      <c r="AI187" t="n">
        <v>0</v>
      </c>
      <c r="AJ187" t="n">
        <v>0</v>
      </c>
      <c r="AK187" t="n">
        <v>0</v>
      </c>
      <c r="AL187" t="n">
        <v>0</v>
      </c>
      <c r="AN187" t="n">
        <v>0</v>
      </c>
      <c r="AO187" t="n">
        <v>0</v>
      </c>
      <c r="AP187" t="n">
        <v>0</v>
      </c>
      <c r="AQ187" t="n">
        <v>24</v>
      </c>
      <c r="AR187" t="n">
        <v>0</v>
      </c>
    </row>
    <row r="188">
      <c r="A188" t="n">
        <v>197738</v>
      </c>
      <c r="B188" t="inlineStr">
        <is>
          <t>درخواست اضافه کردن ستون های نام و کد شعبه و تاریخ ایجاد کاربری به گزارش کاربران سامانه</t>
        </is>
      </c>
      <c r="D188" t="inlineStr">
        <is>
          <t>Medium</t>
        </is>
      </c>
      <c r="E188" t="n">
        <v>3</v>
      </c>
      <c r="F188" t="inlineStr">
        <is>
          <t>Closed</t>
        </is>
      </c>
      <c r="G188" t="inlineStr">
        <is>
          <t>Other</t>
        </is>
      </c>
      <c r="J188" t="inlineStr">
        <is>
          <t>Post Bank</t>
        </is>
      </c>
      <c r="K188" t="inlineStr">
        <is>
          <t>Sprint 20</t>
        </is>
      </c>
      <c r="L188" t="inlineStr">
        <is>
          <t>Won't Fix</t>
        </is>
      </c>
      <c r="M188" t="inlineStr">
        <is>
          <t>Arshi Mahmood</t>
        </is>
      </c>
      <c r="N188" t="inlineStr">
        <is>
          <t>Mohseni Hadise</t>
        </is>
      </c>
      <c r="O188" s="42" t="n">
        <v>46007.41861111111</v>
      </c>
      <c r="Q188" s="42" t="n">
        <v>46007.41861111111</v>
      </c>
      <c r="S188" t="n">
        <v>0</v>
      </c>
      <c r="T188" s="42" t="n">
        <v>46007.41861111111</v>
      </c>
      <c r="Z188" s="42" t="n">
        <v>46007.41861111111</v>
      </c>
      <c r="AA188" t="n">
        <v>0</v>
      </c>
      <c r="AD188" t="n">
        <v>2</v>
      </c>
      <c r="AE188" t="n">
        <v>2</v>
      </c>
      <c r="AF188" t="n">
        <v>0</v>
      </c>
      <c r="AI188" t="n">
        <v>0</v>
      </c>
      <c r="AJ188" t="n">
        <v>0</v>
      </c>
      <c r="AK188" t="n">
        <v>0</v>
      </c>
      <c r="AL188" t="n">
        <v>0</v>
      </c>
      <c r="AN188" t="n">
        <v>0</v>
      </c>
      <c r="AO188" t="n">
        <v>0</v>
      </c>
      <c r="AP188" t="n">
        <v>0</v>
      </c>
      <c r="AQ188" t="n">
        <v>24</v>
      </c>
      <c r="AR188" t="n">
        <v>0</v>
      </c>
    </row>
    <row r="189">
      <c r="A189" t="n">
        <v>196758</v>
      </c>
      <c r="B189" t="inlineStr">
        <is>
          <t xml:space="preserve"> Rem13 در متن پیغام خطا باید اصلاحی صورت پذیرد</t>
        </is>
      </c>
      <c r="D189" t="inlineStr">
        <is>
          <t>Medium</t>
        </is>
      </c>
      <c r="E189" t="n">
        <v>4</v>
      </c>
      <c r="F189" t="inlineStr">
        <is>
          <t>Closed</t>
        </is>
      </c>
      <c r="G189" t="inlineStr">
        <is>
          <t>Other</t>
        </is>
      </c>
      <c r="I189" t="inlineStr">
        <is>
          <t>Bizagi_Team</t>
        </is>
      </c>
      <c r="J189" t="inlineStr">
        <is>
          <t>SAJAK</t>
        </is>
      </c>
      <c r="K189" t="inlineStr">
        <is>
          <t>Estate_Sprint 44</t>
        </is>
      </c>
      <c r="M189" t="inlineStr">
        <is>
          <t>Tedadi Abbas</t>
        </is>
      </c>
      <c r="N189" t="inlineStr">
        <is>
          <t>Erfani Alireza</t>
        </is>
      </c>
      <c r="O189" s="42" t="n">
        <v>46000.68502314815</v>
      </c>
      <c r="Q189" s="42" t="n">
        <v>46000.68502314815</v>
      </c>
      <c r="S189" t="n">
        <v>0</v>
      </c>
      <c r="T189" s="42" t="n">
        <v>46000.68502314815</v>
      </c>
      <c r="Z189" s="42" t="n">
        <v>46000.68502314815</v>
      </c>
      <c r="AA189" t="n">
        <v>0</v>
      </c>
      <c r="AD189" t="n">
        <v>2</v>
      </c>
      <c r="AE189" t="n">
        <v>2</v>
      </c>
      <c r="AF189" t="n">
        <v>0</v>
      </c>
      <c r="AI189" t="n">
        <v>0</v>
      </c>
      <c r="AJ189" t="n">
        <v>0</v>
      </c>
      <c r="AK189" t="n">
        <v>0</v>
      </c>
      <c r="AL189" t="n">
        <v>0</v>
      </c>
      <c r="AN189" t="n">
        <v>0</v>
      </c>
      <c r="AO189" t="n">
        <v>0</v>
      </c>
      <c r="AP189" t="n">
        <v>0</v>
      </c>
      <c r="AQ189" t="n">
        <v>24</v>
      </c>
      <c r="AR189" t="n">
        <v>0</v>
      </c>
    </row>
    <row r="190">
      <c r="A190" t="n">
        <v>196812</v>
      </c>
      <c r="B190" t="inlineStr">
        <is>
          <t>عدم امکان ثبت کاربری که قبلا عدم تایید نهایی زدیم برای باجه</t>
        </is>
      </c>
      <c r="D190" t="inlineStr">
        <is>
          <t>Medium</t>
        </is>
      </c>
      <c r="E190" t="n">
        <v>2</v>
      </c>
      <c r="F190" t="inlineStr">
        <is>
          <t>Closed</t>
        </is>
      </c>
      <c r="G190" t="inlineStr">
        <is>
          <t>Other</t>
        </is>
      </c>
      <c r="J190" t="inlineStr">
        <is>
          <t>Post Bank</t>
        </is>
      </c>
      <c r="K190" t="inlineStr">
        <is>
          <t>Sprint 20</t>
        </is>
      </c>
      <c r="L190" t="inlineStr">
        <is>
          <t>Completed</t>
        </is>
      </c>
      <c r="M190" t="inlineStr">
        <is>
          <t>Arshi Mahmood</t>
        </is>
      </c>
      <c r="N190" t="inlineStr">
        <is>
          <t>Mohseni Hadise</t>
        </is>
      </c>
      <c r="O190" s="42" t="n">
        <v>46007.77981481481</v>
      </c>
      <c r="Q190" s="42" t="n">
        <v>46007.77981481481</v>
      </c>
      <c r="S190" t="n">
        <v>0</v>
      </c>
      <c r="T190" s="42" t="n">
        <v>46007.77981481481</v>
      </c>
      <c r="Z190" s="42" t="n">
        <v>46007.77981481481</v>
      </c>
      <c r="AA190" t="n">
        <v>0</v>
      </c>
      <c r="AD190" t="n">
        <v>2</v>
      </c>
      <c r="AE190" t="n">
        <v>2</v>
      </c>
      <c r="AF190" t="n">
        <v>0</v>
      </c>
      <c r="AI190" t="n">
        <v>0</v>
      </c>
      <c r="AJ190" t="n">
        <v>0</v>
      </c>
      <c r="AK190" t="n">
        <v>0</v>
      </c>
      <c r="AL190" t="n">
        <v>0</v>
      </c>
      <c r="AN190" t="n">
        <v>0</v>
      </c>
      <c r="AO190" t="n">
        <v>0</v>
      </c>
      <c r="AP190" t="n">
        <v>0</v>
      </c>
      <c r="AQ190" t="n">
        <v>24</v>
      </c>
      <c r="AR190" t="n">
        <v>0</v>
      </c>
    </row>
    <row r="191">
      <c r="A191" t="n">
        <v>196866</v>
      </c>
      <c r="B191" t="inlineStr">
        <is>
          <t>تصحیح تیبل هایی که EntryDate  را پر نمیکند</t>
        </is>
      </c>
      <c r="D191" t="inlineStr">
        <is>
          <t>Medium</t>
        </is>
      </c>
      <c r="E191" t="n">
        <v>2</v>
      </c>
      <c r="F191" t="inlineStr">
        <is>
          <t>Closed</t>
        </is>
      </c>
      <c r="G191" t="inlineStr">
        <is>
          <t>Other</t>
        </is>
      </c>
      <c r="J191" t="inlineStr">
        <is>
          <t>Post Bank</t>
        </is>
      </c>
      <c r="K191" t="inlineStr">
        <is>
          <t>Sprint 20</t>
        </is>
      </c>
      <c r="L191" t="inlineStr">
        <is>
          <t>Completed</t>
        </is>
      </c>
      <c r="M191" t="inlineStr">
        <is>
          <t>Arshi Mahmood</t>
        </is>
      </c>
      <c r="N191" t="inlineStr">
        <is>
          <t>Arshi Mahmood</t>
        </is>
      </c>
      <c r="O191" s="42" t="n">
        <v>46008.73578703704</v>
      </c>
      <c r="Q191" s="42" t="n">
        <v>46008.73578703704</v>
      </c>
      <c r="S191" t="n">
        <v>0</v>
      </c>
      <c r="T191" s="42" t="n">
        <v>46008.73578703704</v>
      </c>
      <c r="Z191" s="42" t="n">
        <v>46008.73578703704</v>
      </c>
      <c r="AA191" t="n">
        <v>0</v>
      </c>
      <c r="AD191" t="n">
        <v>2</v>
      </c>
      <c r="AE191" t="n">
        <v>2</v>
      </c>
      <c r="AF191" t="n">
        <v>0</v>
      </c>
      <c r="AI191" t="n">
        <v>0</v>
      </c>
      <c r="AJ191" t="n">
        <v>0</v>
      </c>
      <c r="AK191" t="n">
        <v>0</v>
      </c>
      <c r="AL191" t="n">
        <v>0</v>
      </c>
      <c r="AN191" t="n">
        <v>0</v>
      </c>
      <c r="AO191" t="n">
        <v>0</v>
      </c>
      <c r="AP191" t="n">
        <v>0</v>
      </c>
      <c r="AQ191" t="n">
        <v>24</v>
      </c>
      <c r="AR191" t="n">
        <v>0</v>
      </c>
    </row>
    <row r="192">
      <c r="A192" t="n">
        <v>196636</v>
      </c>
      <c r="B192" t="inlineStr">
        <is>
          <t xml:space="preserve">در فرم تکمیل اطلاعات دکمه دریافت گزارش داپلیکیت شده و - دارد </t>
        </is>
      </c>
      <c r="D192" t="inlineStr">
        <is>
          <t>Medium</t>
        </is>
      </c>
      <c r="E192" t="n">
        <v>2</v>
      </c>
      <c r="F192" t="inlineStr">
        <is>
          <t>Closed</t>
        </is>
      </c>
      <c r="G192" t="inlineStr">
        <is>
          <t>Other</t>
        </is>
      </c>
      <c r="J192" t="inlineStr">
        <is>
          <t>Dem</t>
        </is>
      </c>
      <c r="K192" t="inlineStr">
        <is>
          <t>DemBiz</t>
        </is>
      </c>
      <c r="M192" t="inlineStr">
        <is>
          <t>Moradi Mohammad</t>
        </is>
      </c>
      <c r="N192" t="inlineStr">
        <is>
          <t>Mohseni Hadise</t>
        </is>
      </c>
      <c r="O192" s="42" t="n">
        <v>45983.53354166666</v>
      </c>
      <c r="Q192" s="42" t="n">
        <v>45983.53354166666</v>
      </c>
      <c r="S192" t="n">
        <v>0</v>
      </c>
      <c r="T192" s="42" t="n">
        <v>45983.53354166666</v>
      </c>
      <c r="Z192" s="42" t="n">
        <v>45983.53354166666</v>
      </c>
      <c r="AA192" t="n">
        <v>0</v>
      </c>
      <c r="AD192" t="n">
        <v>2</v>
      </c>
      <c r="AE192" t="n">
        <v>2</v>
      </c>
      <c r="AF192" t="n">
        <v>0</v>
      </c>
      <c r="AI192" t="n">
        <v>0</v>
      </c>
      <c r="AJ192" t="n">
        <v>0</v>
      </c>
      <c r="AK192" t="n">
        <v>0</v>
      </c>
      <c r="AL192" t="n">
        <v>0</v>
      </c>
      <c r="AN192" t="n">
        <v>0</v>
      </c>
      <c r="AO192" t="n">
        <v>0</v>
      </c>
      <c r="AP192" t="n">
        <v>0</v>
      </c>
      <c r="AQ192" t="n">
        <v>24</v>
      </c>
      <c r="AR192" t="n">
        <v>0</v>
      </c>
    </row>
    <row r="193">
      <c r="A193" t="n">
        <v>196637</v>
      </c>
      <c r="B193" t="inlineStr">
        <is>
          <t>عدم وجود فیلد نوع مدرک در صفحه داده آمایی جریان ثبتی پلاک‌های جاری  تب مستندات رخداد</t>
        </is>
      </c>
      <c r="D193" t="inlineStr">
        <is>
          <t>Medium</t>
        </is>
      </c>
      <c r="E193" t="n">
        <v>3</v>
      </c>
      <c r="F193" t="inlineStr">
        <is>
          <t>Closed</t>
        </is>
      </c>
      <c r="G193" t="inlineStr">
        <is>
          <t>Other</t>
        </is>
      </c>
      <c r="I193" t="inlineStr">
        <is>
          <t>Bizagi_Team</t>
        </is>
      </c>
      <c r="J193" t="inlineStr">
        <is>
          <t>SAJAK</t>
        </is>
      </c>
      <c r="K193" t="inlineStr">
        <is>
          <t>Estate_Sprint 44</t>
        </is>
      </c>
      <c r="M193" t="inlineStr">
        <is>
          <t>Tedadi Abbas</t>
        </is>
      </c>
      <c r="N193" t="inlineStr">
        <is>
          <t>Moradnoori Parinaz</t>
        </is>
      </c>
      <c r="O193" s="42" t="n">
        <v>45998.70292824074</v>
      </c>
      <c r="Q193" s="42" t="n">
        <v>45998.70292824074</v>
      </c>
      <c r="S193" t="n">
        <v>0</v>
      </c>
      <c r="T193" s="42" t="n">
        <v>45998.70292824074</v>
      </c>
      <c r="Z193" s="42" t="n">
        <v>45998.70292824074</v>
      </c>
      <c r="AA193" t="n">
        <v>0</v>
      </c>
      <c r="AD193" t="n">
        <v>2</v>
      </c>
      <c r="AE193" t="n">
        <v>2</v>
      </c>
      <c r="AF193" t="n">
        <v>0</v>
      </c>
      <c r="AI193" t="n">
        <v>0</v>
      </c>
      <c r="AJ193" t="n">
        <v>0</v>
      </c>
      <c r="AK193" t="n">
        <v>0</v>
      </c>
      <c r="AL193" t="n">
        <v>0</v>
      </c>
      <c r="AN193" t="n">
        <v>0</v>
      </c>
      <c r="AO193" t="n">
        <v>0</v>
      </c>
      <c r="AP193" t="n">
        <v>0</v>
      </c>
      <c r="AQ193" t="n">
        <v>24</v>
      </c>
      <c r="AR193" t="n">
        <v>0</v>
      </c>
    </row>
    <row r="194">
      <c r="A194" t="n">
        <v>196694</v>
      </c>
      <c r="B194" t="inlineStr">
        <is>
          <t xml:space="preserve">Rem13 درج تاریخ بازدید به جای تاریخ شروع بازدید </t>
        </is>
      </c>
      <c r="D194" t="inlineStr">
        <is>
          <t>Medium</t>
        </is>
      </c>
      <c r="E194" t="n">
        <v>4</v>
      </c>
      <c r="F194" t="inlineStr">
        <is>
          <t>Closed</t>
        </is>
      </c>
      <c r="G194" t="inlineStr">
        <is>
          <t>Other</t>
        </is>
      </c>
      <c r="I194" t="inlineStr">
        <is>
          <t>Bizagi_Team</t>
        </is>
      </c>
      <c r="J194" t="inlineStr">
        <is>
          <t>SAJAK</t>
        </is>
      </c>
      <c r="K194" t="inlineStr">
        <is>
          <t>Estate_Sprint 44</t>
        </is>
      </c>
      <c r="M194" t="inlineStr">
        <is>
          <t>Seyfollahi Artin</t>
        </is>
      </c>
      <c r="N194" t="inlineStr">
        <is>
          <t>Moradnoori Parinaz</t>
        </is>
      </c>
      <c r="O194" s="42" t="n">
        <v>45990.43313657407</v>
      </c>
      <c r="Q194" s="42" t="n">
        <v>45990.43313657407</v>
      </c>
      <c r="S194" t="n">
        <v>0</v>
      </c>
      <c r="T194" s="42" t="n">
        <v>45990.43313657407</v>
      </c>
      <c r="Z194" s="42" t="n">
        <v>45990.43313657407</v>
      </c>
      <c r="AA194" t="n">
        <v>0</v>
      </c>
      <c r="AD194" t="n">
        <v>2</v>
      </c>
      <c r="AE194" t="n">
        <v>2</v>
      </c>
      <c r="AF194" t="n">
        <v>0</v>
      </c>
      <c r="AI194" t="n">
        <v>0</v>
      </c>
      <c r="AJ194" t="n">
        <v>0</v>
      </c>
      <c r="AK194" t="n">
        <v>0</v>
      </c>
      <c r="AL194" t="n">
        <v>0</v>
      </c>
      <c r="AN194" t="n">
        <v>0</v>
      </c>
      <c r="AO194" t="n">
        <v>0</v>
      </c>
      <c r="AP194" t="n">
        <v>0</v>
      </c>
      <c r="AQ194" t="n">
        <v>24</v>
      </c>
      <c r="AR194" t="n">
        <v>0</v>
      </c>
    </row>
    <row r="195">
      <c r="A195" t="n">
        <v>196719</v>
      </c>
      <c r="B195" t="inlineStr">
        <is>
          <t>مشکلات نمايش/ویرایش عقود پیشنهاد های غیر تسهیلاتی</t>
        </is>
      </c>
      <c r="D195" t="inlineStr">
        <is>
          <t>Medium</t>
        </is>
      </c>
      <c r="E195" t="n">
        <v>2</v>
      </c>
      <c r="F195" t="inlineStr">
        <is>
          <t>Closed</t>
        </is>
      </c>
      <c r="G195" t="inlineStr">
        <is>
          <t>Other</t>
        </is>
      </c>
      <c r="J195" t="inlineStr">
        <is>
          <t>Dem</t>
        </is>
      </c>
      <c r="K195" t="inlineStr">
        <is>
          <t>DemBiz</t>
        </is>
      </c>
      <c r="M195" t="inlineStr">
        <is>
          <t>Hoseini Fatemeh</t>
        </is>
      </c>
      <c r="N195" t="inlineStr">
        <is>
          <t>Mohseni Hadise</t>
        </is>
      </c>
      <c r="O195" s="42" t="n">
        <v>45986.37979166667</v>
      </c>
      <c r="Q195" s="42" t="n">
        <v>45986.37979166667</v>
      </c>
      <c r="S195" t="n">
        <v>0</v>
      </c>
      <c r="T195" s="42" t="n">
        <v>45986.37979166667</v>
      </c>
      <c r="Z195" s="42" t="n">
        <v>45986.37979166667</v>
      </c>
      <c r="AA195" t="n">
        <v>0</v>
      </c>
      <c r="AD195" t="n">
        <v>2</v>
      </c>
      <c r="AE195" t="n">
        <v>2</v>
      </c>
      <c r="AF195" t="n">
        <v>0</v>
      </c>
      <c r="AI195" t="n">
        <v>0</v>
      </c>
      <c r="AJ195" t="n">
        <v>0</v>
      </c>
      <c r="AK195" t="n">
        <v>0</v>
      </c>
      <c r="AL195" t="n">
        <v>0</v>
      </c>
      <c r="AN195" t="n">
        <v>0</v>
      </c>
      <c r="AO195" t="n">
        <v>0</v>
      </c>
      <c r="AP195" t="n">
        <v>0</v>
      </c>
      <c r="AQ195" t="n">
        <v>24</v>
      </c>
      <c r="AR195" t="n">
        <v>0</v>
      </c>
    </row>
    <row r="196">
      <c r="A196" t="n">
        <v>196728</v>
      </c>
      <c r="B196" t="inlineStr">
        <is>
          <t xml:space="preserve">داپلیکیت شدن وثائق در فرم لینک ویرایش، در درخواست غیر تسهیلاتی </t>
        </is>
      </c>
      <c r="D196" t="inlineStr">
        <is>
          <t>Medium</t>
        </is>
      </c>
      <c r="E196" t="n">
        <v>1</v>
      </c>
      <c r="F196" t="inlineStr">
        <is>
          <t>Closed</t>
        </is>
      </c>
      <c r="G196" t="inlineStr">
        <is>
          <t>Other</t>
        </is>
      </c>
      <c r="J196" t="inlineStr">
        <is>
          <t>Dem</t>
        </is>
      </c>
      <c r="K196" t="inlineStr">
        <is>
          <t>DemBiz</t>
        </is>
      </c>
      <c r="M196" t="inlineStr">
        <is>
          <t>Hoseini Fatemeh</t>
        </is>
      </c>
      <c r="N196" t="inlineStr">
        <is>
          <t>Hajizadeh Elnaz</t>
        </is>
      </c>
      <c r="O196" s="42" t="n">
        <v>45984.52865740741</v>
      </c>
      <c r="Q196" s="42" t="n">
        <v>45984.52865740741</v>
      </c>
      <c r="S196" t="n">
        <v>0</v>
      </c>
      <c r="T196" s="42" t="n">
        <v>45984.52865740741</v>
      </c>
      <c r="Z196" s="42" t="n">
        <v>45984.52865740741</v>
      </c>
      <c r="AA196" t="n">
        <v>0</v>
      </c>
      <c r="AD196" t="n">
        <v>2</v>
      </c>
      <c r="AE196" t="n">
        <v>2</v>
      </c>
      <c r="AF196" t="n">
        <v>0</v>
      </c>
      <c r="AI196" t="n">
        <v>0</v>
      </c>
      <c r="AJ196" t="n">
        <v>0</v>
      </c>
      <c r="AK196" t="n">
        <v>0</v>
      </c>
      <c r="AL196" t="n">
        <v>0</v>
      </c>
      <c r="AN196" t="n">
        <v>0</v>
      </c>
      <c r="AO196" t="n">
        <v>0</v>
      </c>
      <c r="AP196" t="n">
        <v>0</v>
      </c>
      <c r="AQ196" t="n">
        <v>24</v>
      </c>
      <c r="AR196" t="n">
        <v>0</v>
      </c>
    </row>
    <row r="197">
      <c r="A197" t="n">
        <v>196730</v>
      </c>
      <c r="B197" t="inlineStr">
        <is>
          <t>تایتل اشتباه ،نام عقد در فیلد ارکان در فرم اطلاعات درخواست غیرتسهیلاتی جهت ویرایش08/26</t>
        </is>
      </c>
      <c r="D197" t="inlineStr">
        <is>
          <t>Medium</t>
        </is>
      </c>
      <c r="E197" t="n">
        <v>2</v>
      </c>
      <c r="F197" t="inlineStr">
        <is>
          <t>Closed</t>
        </is>
      </c>
      <c r="G197" t="inlineStr">
        <is>
          <t>Other</t>
        </is>
      </c>
      <c r="J197" t="inlineStr">
        <is>
          <t>Dem</t>
        </is>
      </c>
      <c r="K197" t="inlineStr">
        <is>
          <t>DemBiz</t>
        </is>
      </c>
      <c r="M197" t="inlineStr">
        <is>
          <t>Moradi Mohammad</t>
        </is>
      </c>
      <c r="N197" t="inlineStr">
        <is>
          <t>Hajizadeh Elnaz</t>
        </is>
      </c>
      <c r="O197" s="42" t="n">
        <v>45984.70663194444</v>
      </c>
      <c r="Q197" s="42" t="n">
        <v>45984.70663194444</v>
      </c>
      <c r="S197" t="n">
        <v>0</v>
      </c>
      <c r="T197" s="42" t="n">
        <v>45984.70663194444</v>
      </c>
      <c r="Z197" s="42" t="n">
        <v>45984.70663194444</v>
      </c>
      <c r="AA197" t="n">
        <v>0</v>
      </c>
      <c r="AD197" t="n">
        <v>2</v>
      </c>
      <c r="AE197" t="n">
        <v>2</v>
      </c>
      <c r="AF197" t="n">
        <v>0</v>
      </c>
      <c r="AI197" t="n">
        <v>0</v>
      </c>
      <c r="AJ197" t="n">
        <v>0</v>
      </c>
      <c r="AK197" t="n">
        <v>0</v>
      </c>
      <c r="AL197" t="n">
        <v>0</v>
      </c>
      <c r="AN197" t="n">
        <v>0</v>
      </c>
      <c r="AO197" t="n">
        <v>0</v>
      </c>
      <c r="AP197" t="n">
        <v>0</v>
      </c>
      <c r="AQ197" t="n">
        <v>24</v>
      </c>
      <c r="AR197" t="n">
        <v>0</v>
      </c>
    </row>
    <row r="198">
      <c r="A198" t="n">
        <v>199571</v>
      </c>
      <c r="B198" t="inlineStr">
        <is>
          <t>AE_SAJA\\ نمایش خطای زیرساختی به جای متن درون رول بیزاجی در پینوشت</t>
        </is>
      </c>
      <c r="D198" t="inlineStr">
        <is>
          <t>Medium</t>
        </is>
      </c>
      <c r="E198" t="n">
        <v>2</v>
      </c>
      <c r="F198" t="inlineStr">
        <is>
          <t>Closed</t>
        </is>
      </c>
      <c r="G198" t="inlineStr">
        <is>
          <t>Other</t>
        </is>
      </c>
      <c r="J198" t="inlineStr">
        <is>
          <t>Infrastructure Bizagi Extension</t>
        </is>
      </c>
      <c r="K198" t="inlineStr">
        <is>
          <t>SP-87</t>
        </is>
      </c>
      <c r="L198" t="inlineStr">
        <is>
          <t>Completed</t>
        </is>
      </c>
      <c r="M198" t="inlineStr">
        <is>
          <t>Faraji Reza</t>
        </is>
      </c>
      <c r="N198" t="inlineStr">
        <is>
          <t>Kalaei Saman</t>
        </is>
      </c>
      <c r="O198" s="42" t="n">
        <v>46004.62149305556</v>
      </c>
      <c r="Q198" s="42" t="n">
        <v>46004.62149305556</v>
      </c>
      <c r="S198" t="n">
        <v>0</v>
      </c>
      <c r="T198" s="42" t="n">
        <v>46004.62149305556</v>
      </c>
      <c r="Z198" s="42" t="n">
        <v>46004.62149305556</v>
      </c>
      <c r="AA198" t="n">
        <v>0</v>
      </c>
      <c r="AD198" t="n">
        <v>2</v>
      </c>
      <c r="AE198" t="n">
        <v>2</v>
      </c>
      <c r="AF198" t="n">
        <v>0</v>
      </c>
      <c r="AI198" t="n">
        <v>0</v>
      </c>
      <c r="AJ198" t="n">
        <v>0</v>
      </c>
      <c r="AK198" t="n">
        <v>0</v>
      </c>
      <c r="AL198" t="n">
        <v>0</v>
      </c>
      <c r="AN198" t="n">
        <v>0</v>
      </c>
      <c r="AO198" t="n">
        <v>0</v>
      </c>
      <c r="AP198" t="n">
        <v>0</v>
      </c>
      <c r="AQ198" t="n">
        <v>24</v>
      </c>
      <c r="AR198" t="n">
        <v>0</v>
      </c>
    </row>
    <row r="199">
      <c r="A199" t="n">
        <v>199598</v>
      </c>
      <c r="B199" t="inlineStr">
        <is>
          <t>دریافت خطای عدم تعیین وضعیت پلاک در حالی که تعیین وضعیت پلاک توسط بایگان  انجام شده است</t>
        </is>
      </c>
      <c r="D199" t="inlineStr">
        <is>
          <t>Medium</t>
        </is>
      </c>
      <c r="E199" t="n">
        <v>1</v>
      </c>
      <c r="F199" t="inlineStr">
        <is>
          <t>Active</t>
        </is>
      </c>
      <c r="G199" t="inlineStr">
        <is>
          <t>Other</t>
        </is>
      </c>
      <c r="I199" t="inlineStr">
        <is>
          <t>Bizagi_Team</t>
        </is>
      </c>
      <c r="J199" t="inlineStr">
        <is>
          <t>SAJAK</t>
        </is>
      </c>
      <c r="K199" t="inlineStr">
        <is>
          <t>Estate_Sprint 45</t>
        </is>
      </c>
      <c r="M199" t="inlineStr">
        <is>
          <t>Tedadi Abbas</t>
        </is>
      </c>
      <c r="Q199" s="42" t="n">
        <v>46006.57222222222</v>
      </c>
      <c r="S199" t="n">
        <v>0</v>
      </c>
      <c r="T199" s="42" t="n">
        <v>46006.57222222222</v>
      </c>
      <c r="AA199" t="n">
        <v>0</v>
      </c>
      <c r="AD199" t="n">
        <v>2</v>
      </c>
      <c r="AE199" t="n">
        <v>2</v>
      </c>
      <c r="AF199" t="n">
        <v>0</v>
      </c>
      <c r="AI199" t="n">
        <v>0</v>
      </c>
      <c r="AJ199" t="n">
        <v>0</v>
      </c>
      <c r="AM199" t="n">
        <v>11</v>
      </c>
      <c r="AN199" t="n">
        <v>0</v>
      </c>
      <c r="AO199" t="n">
        <v>0</v>
      </c>
      <c r="AP199" t="n">
        <v>0</v>
      </c>
      <c r="AQ199" t="n">
        <v>24</v>
      </c>
      <c r="AR199" t="n">
        <v>0</v>
      </c>
    </row>
    <row r="200">
      <c r="A200" t="n">
        <v>199616</v>
      </c>
      <c r="B200" t="inlineStr">
        <is>
          <t>باگ ورود به عنوان جانشین</t>
        </is>
      </c>
      <c r="D200" t="inlineStr">
        <is>
          <t>Medium</t>
        </is>
      </c>
      <c r="E200" t="n">
        <v>2</v>
      </c>
      <c r="F200" t="inlineStr">
        <is>
          <t>Closed</t>
        </is>
      </c>
      <c r="G200" t="inlineStr">
        <is>
          <t>Other</t>
        </is>
      </c>
      <c r="J200" t="inlineStr">
        <is>
          <t>Dem</t>
        </is>
      </c>
      <c r="K200" t="inlineStr">
        <is>
          <t>DemBiz</t>
        </is>
      </c>
      <c r="M200" t="inlineStr">
        <is>
          <t>Hoseini Fatemeh</t>
        </is>
      </c>
      <c r="N200" t="inlineStr">
        <is>
          <t>Hajizadeh Elnaz</t>
        </is>
      </c>
      <c r="O200" s="42" t="n">
        <v>45998.71925925926</v>
      </c>
      <c r="P200" s="42" t="n">
        <v>45998.71925925926</v>
      </c>
      <c r="Q200" s="42" t="n">
        <v>45998.71925925926</v>
      </c>
      <c r="S200" t="n">
        <v>0</v>
      </c>
      <c r="T200" s="42" t="n">
        <v>45998.71925925926</v>
      </c>
      <c r="Z200" s="42" t="n">
        <v>45998.71925925926</v>
      </c>
      <c r="AA200" t="n">
        <v>0</v>
      </c>
      <c r="AD200" t="n">
        <v>2</v>
      </c>
      <c r="AE200" t="n">
        <v>2</v>
      </c>
      <c r="AF200" t="n">
        <v>0</v>
      </c>
      <c r="AI200" t="n">
        <v>0</v>
      </c>
      <c r="AJ200" t="n">
        <v>0</v>
      </c>
      <c r="AK200" t="n">
        <v>0</v>
      </c>
      <c r="AL200" t="n">
        <v>0</v>
      </c>
      <c r="AN200" t="n">
        <v>0</v>
      </c>
      <c r="AO200" t="n">
        <v>0</v>
      </c>
      <c r="AP200" t="n">
        <v>0</v>
      </c>
      <c r="AQ200" t="n">
        <v>24</v>
      </c>
      <c r="AR200" t="n">
        <v>0</v>
      </c>
    </row>
    <row r="201">
      <c r="A201" t="n">
        <v>199623</v>
      </c>
      <c r="B201" t="inlineStr">
        <is>
          <t xml:space="preserve">کارتابل - فیلتر جستجو </t>
        </is>
      </c>
      <c r="D201" t="inlineStr">
        <is>
          <t>Medium</t>
        </is>
      </c>
      <c r="E201" t="n">
        <v>2</v>
      </c>
      <c r="F201" t="inlineStr">
        <is>
          <t>Closed</t>
        </is>
      </c>
      <c r="G201" t="inlineStr">
        <is>
          <t>Other</t>
        </is>
      </c>
      <c r="J201" t="inlineStr">
        <is>
          <t>Stagnant Archive</t>
        </is>
      </c>
      <c r="K201" t="inlineStr">
        <is>
          <t>Sp_22</t>
        </is>
      </c>
      <c r="M201" t="inlineStr">
        <is>
          <t>Navab Erfan</t>
        </is>
      </c>
      <c r="N201" t="inlineStr">
        <is>
          <t>Homayoun Mohammad</t>
        </is>
      </c>
      <c r="O201" s="42" t="n">
        <v>45999.47684027778</v>
      </c>
      <c r="Q201" s="42" t="n">
        <v>45999.47684027778</v>
      </c>
      <c r="S201" t="n">
        <v>0</v>
      </c>
      <c r="T201" s="42" t="n">
        <v>45999.47684027778</v>
      </c>
      <c r="Z201" s="42" t="n">
        <v>45999.47684027778</v>
      </c>
      <c r="AA201" t="n">
        <v>0</v>
      </c>
      <c r="AD201" t="n">
        <v>2</v>
      </c>
      <c r="AE201" t="n">
        <v>2</v>
      </c>
      <c r="AF201" t="n">
        <v>0</v>
      </c>
      <c r="AI201" t="n">
        <v>0</v>
      </c>
      <c r="AJ201" t="n">
        <v>0</v>
      </c>
      <c r="AK201" t="n">
        <v>0</v>
      </c>
      <c r="AL201" t="n">
        <v>0</v>
      </c>
      <c r="AN201" t="n">
        <v>0</v>
      </c>
      <c r="AO201" t="n">
        <v>0</v>
      </c>
      <c r="AP201" t="n">
        <v>0</v>
      </c>
      <c r="AQ201" t="n">
        <v>24</v>
      </c>
      <c r="AR201" t="n">
        <v>0</v>
      </c>
    </row>
    <row r="202">
      <c r="A202" t="n">
        <v>199739</v>
      </c>
      <c r="B202" t="inlineStr">
        <is>
          <t>بایگانی اسناد - کنترل فیلد واحد سازمانی با توجه به نوع سند انتخاب شده_NFWARCH</t>
        </is>
      </c>
      <c r="D202" t="inlineStr">
        <is>
          <t>Medium</t>
        </is>
      </c>
      <c r="E202" t="n">
        <v>2</v>
      </c>
      <c r="F202" t="inlineStr">
        <is>
          <t>New</t>
        </is>
      </c>
      <c r="G202" t="inlineStr">
        <is>
          <t>Other</t>
        </is>
      </c>
      <c r="J202" t="inlineStr">
        <is>
          <t>Stagnant Archive</t>
        </is>
      </c>
      <c r="K202" t="inlineStr">
        <is>
          <t>Sp_22</t>
        </is>
      </c>
      <c r="M202" t="inlineStr">
        <is>
          <t>Homayoun Mohammad</t>
        </is>
      </c>
      <c r="Q202" s="42" t="n">
        <v>45998.41020833333</v>
      </c>
      <c r="S202" t="n">
        <v>0</v>
      </c>
      <c r="T202" s="42" t="n">
        <v>45998.41020833333</v>
      </c>
      <c r="AA202" t="n">
        <v>0</v>
      </c>
      <c r="AD202" t="n">
        <v>2</v>
      </c>
      <c r="AE202" t="n">
        <v>2</v>
      </c>
      <c r="AF202" t="n">
        <v>0</v>
      </c>
      <c r="AI202" t="n">
        <v>0</v>
      </c>
      <c r="AJ202" t="n">
        <v>0</v>
      </c>
      <c r="AM202" t="n">
        <v>19</v>
      </c>
      <c r="AN202" t="n">
        <v>0</v>
      </c>
      <c r="AO202" t="n">
        <v>0</v>
      </c>
      <c r="AP202" t="n">
        <v>0</v>
      </c>
      <c r="AQ202" t="n">
        <v>24</v>
      </c>
      <c r="AR202" t="n">
        <v>0</v>
      </c>
    </row>
    <row r="203">
      <c r="A203" t="n">
        <v>199742</v>
      </c>
      <c r="B203" t="inlineStr">
        <is>
          <t>بایگانی اسناد - مرحله تعیین مسئول</t>
        </is>
      </c>
      <c r="D203" t="inlineStr">
        <is>
          <t>Medium</t>
        </is>
      </c>
      <c r="E203" t="n">
        <v>2</v>
      </c>
      <c r="F203" t="inlineStr">
        <is>
          <t>Closed</t>
        </is>
      </c>
      <c r="G203" t="inlineStr">
        <is>
          <t>Other</t>
        </is>
      </c>
      <c r="J203" t="inlineStr">
        <is>
          <t>Stagnant Archive</t>
        </is>
      </c>
      <c r="K203" t="inlineStr">
        <is>
          <t>Sp_22</t>
        </is>
      </c>
      <c r="L203" t="inlineStr">
        <is>
          <t>Cannot Reproduce</t>
        </is>
      </c>
      <c r="M203" t="inlineStr">
        <is>
          <t>Davar Hamed</t>
        </is>
      </c>
      <c r="N203" t="inlineStr">
        <is>
          <t>Davar Hamed</t>
        </is>
      </c>
      <c r="O203" s="42" t="n">
        <v>46014.36980324074</v>
      </c>
      <c r="Q203" s="42" t="n">
        <v>46014.36980324074</v>
      </c>
      <c r="S203" t="n">
        <v>0</v>
      </c>
      <c r="T203" s="42" t="n">
        <v>46014.36980324074</v>
      </c>
      <c r="Z203" s="42" t="n">
        <v>46014.36980324074</v>
      </c>
      <c r="AA203" t="n">
        <v>0</v>
      </c>
      <c r="AD203" t="n">
        <v>2</v>
      </c>
      <c r="AE203" t="n">
        <v>2</v>
      </c>
      <c r="AF203" t="n">
        <v>0</v>
      </c>
      <c r="AI203" t="n">
        <v>0</v>
      </c>
      <c r="AJ203" t="n">
        <v>0</v>
      </c>
      <c r="AK203" t="n">
        <v>0</v>
      </c>
      <c r="AL203" t="n">
        <v>0</v>
      </c>
      <c r="AN203" t="n">
        <v>0</v>
      </c>
      <c r="AO203" t="n">
        <v>0</v>
      </c>
      <c r="AP203" t="n">
        <v>0</v>
      </c>
      <c r="AQ203" t="n">
        <v>24</v>
      </c>
      <c r="AR203" t="n">
        <v>0</v>
      </c>
    </row>
    <row r="204">
      <c r="A204" t="n">
        <v>199743</v>
      </c>
      <c r="B204" t="inlineStr">
        <is>
          <t>عدم اجباری بودن فیلد توضیحات بازدید در صورت انتخاب اشکال جزئی یا اشکال در حدود و ابعاد نقشه تفکیکی</t>
        </is>
      </c>
      <c r="D204" t="inlineStr">
        <is>
          <t>Medium</t>
        </is>
      </c>
      <c r="E204" t="n">
        <v>4</v>
      </c>
      <c r="F204" t="inlineStr">
        <is>
          <t>Closed</t>
        </is>
      </c>
      <c r="G204" t="inlineStr">
        <is>
          <t>Other</t>
        </is>
      </c>
      <c r="I204" t="inlineStr">
        <is>
          <t>Bizagi_Team</t>
        </is>
      </c>
      <c r="J204" t="inlineStr">
        <is>
          <t>SAJAK</t>
        </is>
      </c>
      <c r="K204" t="inlineStr">
        <is>
          <t>Estate_Sprint 45</t>
        </is>
      </c>
      <c r="M204" t="inlineStr">
        <is>
          <t>Tedadi Abbas</t>
        </is>
      </c>
      <c r="N204" t="inlineStr">
        <is>
          <t>Moradnoori Parinaz</t>
        </is>
      </c>
      <c r="O204" s="42" t="n">
        <v>45999.54736111111</v>
      </c>
      <c r="Q204" s="42" t="n">
        <v>45999.54736111111</v>
      </c>
      <c r="S204" t="n">
        <v>0</v>
      </c>
      <c r="T204" s="42" t="n">
        <v>45999.54736111111</v>
      </c>
      <c r="Z204" s="42" t="n">
        <v>45999.54736111111</v>
      </c>
      <c r="AA204" t="n">
        <v>0</v>
      </c>
      <c r="AD204" t="n">
        <v>2</v>
      </c>
      <c r="AE204" t="n">
        <v>2</v>
      </c>
      <c r="AF204" t="n">
        <v>0</v>
      </c>
      <c r="AI204" t="n">
        <v>0</v>
      </c>
      <c r="AJ204" t="n">
        <v>0</v>
      </c>
      <c r="AK204" t="n">
        <v>0</v>
      </c>
      <c r="AL204" t="n">
        <v>0</v>
      </c>
      <c r="AN204" t="n">
        <v>0</v>
      </c>
      <c r="AO204" t="n">
        <v>0</v>
      </c>
      <c r="AP204" t="n">
        <v>0</v>
      </c>
      <c r="AQ204" t="n">
        <v>24</v>
      </c>
      <c r="AR204" t="n">
        <v>0</v>
      </c>
    </row>
    <row r="205">
      <c r="A205" t="n">
        <v>199746</v>
      </c>
      <c r="B205" t="inlineStr">
        <is>
          <t>بایگانی اسناد - تعیین مسئول</t>
        </is>
      </c>
      <c r="D205" t="inlineStr">
        <is>
          <t>Medium</t>
        </is>
      </c>
      <c r="E205" t="n">
        <v>2</v>
      </c>
      <c r="F205" t="inlineStr">
        <is>
          <t>Closed</t>
        </is>
      </c>
      <c r="G205" t="inlineStr">
        <is>
          <t>Other</t>
        </is>
      </c>
      <c r="J205" t="inlineStr">
        <is>
          <t>Stagnant Archive</t>
        </is>
      </c>
      <c r="K205" t="inlineStr">
        <is>
          <t>Sp_22</t>
        </is>
      </c>
      <c r="M205" t="inlineStr">
        <is>
          <t>Homayoun Mohammad</t>
        </is>
      </c>
      <c r="N205" t="inlineStr">
        <is>
          <t>Monfared Mobina</t>
        </is>
      </c>
      <c r="O205" s="42" t="n">
        <v>45998.70555555556</v>
      </c>
      <c r="Q205" s="42" t="n">
        <v>45998.70555555556</v>
      </c>
      <c r="S205" t="n">
        <v>0</v>
      </c>
      <c r="T205" s="42" t="n">
        <v>45998.70555555556</v>
      </c>
      <c r="Z205" s="42" t="n">
        <v>45998.70555555556</v>
      </c>
      <c r="AA205" t="n">
        <v>0</v>
      </c>
      <c r="AD205" t="n">
        <v>2</v>
      </c>
      <c r="AE205" t="n">
        <v>2</v>
      </c>
      <c r="AF205" t="n">
        <v>0</v>
      </c>
      <c r="AI205" t="n">
        <v>0</v>
      </c>
      <c r="AJ205" t="n">
        <v>0</v>
      </c>
      <c r="AK205" t="n">
        <v>0</v>
      </c>
      <c r="AL205" t="n">
        <v>0</v>
      </c>
      <c r="AN205" t="n">
        <v>0</v>
      </c>
      <c r="AO205" t="n">
        <v>0</v>
      </c>
      <c r="AP205" t="n">
        <v>0</v>
      </c>
      <c r="AQ205" t="n">
        <v>24</v>
      </c>
      <c r="AR205" t="n">
        <v>0</v>
      </c>
    </row>
    <row r="206">
      <c r="A206" t="n">
        <v>199097</v>
      </c>
      <c r="B206" t="inlineStr">
        <is>
          <t>خطای 400 در بخش اپلود اکسل</t>
        </is>
      </c>
      <c r="D206" t="inlineStr">
        <is>
          <t>Medium</t>
        </is>
      </c>
      <c r="E206" t="n">
        <v>2</v>
      </c>
      <c r="F206" t="inlineStr">
        <is>
          <t>Closed</t>
        </is>
      </c>
      <c r="G206" t="inlineStr">
        <is>
          <t>Other</t>
        </is>
      </c>
      <c r="J206" t="inlineStr">
        <is>
          <t>Infrastructure Bizagi Extension</t>
        </is>
      </c>
      <c r="K206" t="inlineStr">
        <is>
          <t>SP_88</t>
        </is>
      </c>
      <c r="L206" t="inlineStr">
        <is>
          <t>Completed</t>
        </is>
      </c>
      <c r="M206" t="inlineStr">
        <is>
          <t>Parvaz Maryam</t>
        </is>
      </c>
      <c r="N206" t="inlineStr">
        <is>
          <t>Parvaz Maryam</t>
        </is>
      </c>
      <c r="O206" s="42" t="n">
        <v>46005.3934375</v>
      </c>
      <c r="Q206" s="42" t="n">
        <v>46005.3934375</v>
      </c>
      <c r="S206" t="n">
        <v>0</v>
      </c>
      <c r="T206" s="42" t="n">
        <v>46005.3934375</v>
      </c>
      <c r="Z206" s="42" t="n">
        <v>46005.3934375</v>
      </c>
      <c r="AA206" t="n">
        <v>0</v>
      </c>
      <c r="AD206" t="n">
        <v>2</v>
      </c>
      <c r="AE206" t="n">
        <v>2</v>
      </c>
      <c r="AF206" t="n">
        <v>0</v>
      </c>
      <c r="AI206" t="n">
        <v>0</v>
      </c>
      <c r="AJ206" t="n">
        <v>0</v>
      </c>
      <c r="AK206" t="n">
        <v>0</v>
      </c>
      <c r="AL206" t="n">
        <v>0</v>
      </c>
      <c r="AN206" t="n">
        <v>0</v>
      </c>
      <c r="AO206" t="n">
        <v>0</v>
      </c>
      <c r="AP206" t="n">
        <v>0</v>
      </c>
      <c r="AQ206" t="n">
        <v>24</v>
      </c>
      <c r="AR206" t="n">
        <v>0</v>
      </c>
    </row>
    <row r="207">
      <c r="A207" t="n">
        <v>199101</v>
      </c>
      <c r="B207" t="inlineStr">
        <is>
          <t>AE_SAJA\\ مشکل در ارجاع ثبت رای هیات</t>
        </is>
      </c>
      <c r="D207" t="inlineStr">
        <is>
          <t>Medium</t>
        </is>
      </c>
      <c r="E207" t="n">
        <v>1</v>
      </c>
      <c r="F207" t="inlineStr">
        <is>
          <t>Closed</t>
        </is>
      </c>
      <c r="G207" t="inlineStr">
        <is>
          <t>Other</t>
        </is>
      </c>
      <c r="J207" t="inlineStr">
        <is>
          <t>Infrastructure Bizagi Extension</t>
        </is>
      </c>
      <c r="K207" t="inlineStr">
        <is>
          <t>SP_88</t>
        </is>
      </c>
      <c r="M207" t="inlineStr">
        <is>
          <t>Nemati Hasan</t>
        </is>
      </c>
      <c r="N207" t="inlineStr">
        <is>
          <t>Tedadi Abbas</t>
        </is>
      </c>
      <c r="O207" s="42" t="n">
        <v>45999.6519675926</v>
      </c>
      <c r="Q207" s="42" t="n">
        <v>45999.6519675926</v>
      </c>
      <c r="S207" t="n">
        <v>0</v>
      </c>
      <c r="T207" s="42" t="n">
        <v>45999.6519675926</v>
      </c>
      <c r="Z207" s="42" t="n">
        <v>45999.6519675926</v>
      </c>
      <c r="AA207" t="n">
        <v>0</v>
      </c>
      <c r="AD207" t="n">
        <v>2</v>
      </c>
      <c r="AE207" t="n">
        <v>2</v>
      </c>
      <c r="AF207" t="n">
        <v>0</v>
      </c>
      <c r="AI207" t="n">
        <v>0</v>
      </c>
      <c r="AJ207" t="n">
        <v>0</v>
      </c>
      <c r="AK207" t="n">
        <v>0</v>
      </c>
      <c r="AL207" t="n">
        <v>0</v>
      </c>
      <c r="AN207" t="n">
        <v>0</v>
      </c>
      <c r="AO207" t="n">
        <v>0</v>
      </c>
      <c r="AP207" t="n">
        <v>0</v>
      </c>
      <c r="AQ207" t="n">
        <v>24</v>
      </c>
      <c r="AR207" t="n">
        <v>0</v>
      </c>
    </row>
    <row r="208">
      <c r="A208" t="n">
        <v>199103</v>
      </c>
      <c r="B208" t="inlineStr">
        <is>
          <t>AE_SAJA\\ نمایش خالی نام هیات در حالی که پر است</t>
        </is>
      </c>
      <c r="D208" t="inlineStr">
        <is>
          <t>Medium</t>
        </is>
      </c>
      <c r="E208" t="n">
        <v>1</v>
      </c>
      <c r="F208" t="inlineStr">
        <is>
          <t>Closed</t>
        </is>
      </c>
      <c r="G208" t="inlineStr">
        <is>
          <t>Other</t>
        </is>
      </c>
      <c r="J208" t="inlineStr">
        <is>
          <t>Infrastructure Bizagi Extension</t>
        </is>
      </c>
      <c r="K208" t="inlineStr">
        <is>
          <t>SP_88</t>
        </is>
      </c>
      <c r="L208" t="inlineStr">
        <is>
          <t>Completed</t>
        </is>
      </c>
      <c r="M208" t="inlineStr">
        <is>
          <t>Nemati Hasan</t>
        </is>
      </c>
      <c r="N208" t="inlineStr">
        <is>
          <t>Tedadi Abbas</t>
        </is>
      </c>
      <c r="O208" s="42" t="n">
        <v>46014.69758101852</v>
      </c>
      <c r="Q208" s="42" t="n">
        <v>46014.69758101852</v>
      </c>
      <c r="S208" t="n">
        <v>0</v>
      </c>
      <c r="T208" s="42" t="n">
        <v>46014.69758101852</v>
      </c>
      <c r="Z208" s="42" t="n">
        <v>46014.69758101852</v>
      </c>
      <c r="AA208" t="n">
        <v>0</v>
      </c>
      <c r="AD208" t="n">
        <v>2</v>
      </c>
      <c r="AE208" t="n">
        <v>2</v>
      </c>
      <c r="AF208" t="n">
        <v>0</v>
      </c>
      <c r="AI208" t="n">
        <v>0</v>
      </c>
      <c r="AJ208" t="n">
        <v>0</v>
      </c>
      <c r="AK208" t="n">
        <v>0</v>
      </c>
      <c r="AL208" t="n">
        <v>0</v>
      </c>
      <c r="AN208" t="n">
        <v>0</v>
      </c>
      <c r="AO208" t="n">
        <v>0</v>
      </c>
      <c r="AP208" t="n">
        <v>0</v>
      </c>
      <c r="AQ208" t="n">
        <v>24</v>
      </c>
      <c r="AR208" t="n">
        <v>0</v>
      </c>
    </row>
    <row r="209">
      <c r="A209" t="n">
        <v>199105</v>
      </c>
      <c r="B209" t="inlineStr">
        <is>
          <t>ایراد داشتن استایل فیلتر گرید</t>
        </is>
      </c>
      <c r="D209" t="inlineStr">
        <is>
          <t>Medium</t>
        </is>
      </c>
      <c r="E209" t="n">
        <v>2</v>
      </c>
      <c r="F209" t="inlineStr">
        <is>
          <t>Closed</t>
        </is>
      </c>
      <c r="G209" t="inlineStr">
        <is>
          <t>Other</t>
        </is>
      </c>
      <c r="J209" t="inlineStr">
        <is>
          <t>Infrastructure Bizagi Extension</t>
        </is>
      </c>
      <c r="K209" t="inlineStr">
        <is>
          <t>SP_88</t>
        </is>
      </c>
      <c r="M209" t="inlineStr">
        <is>
          <t>Parvaz Maryam</t>
        </is>
      </c>
      <c r="N209" t="inlineStr">
        <is>
          <t>Mojtaba MohammadGholi</t>
        </is>
      </c>
      <c r="O209" s="42" t="n">
        <v>45993.6625462963</v>
      </c>
      <c r="Q209" s="42" t="n">
        <v>45993.6625462963</v>
      </c>
      <c r="S209" t="n">
        <v>0</v>
      </c>
      <c r="T209" s="42" t="n">
        <v>45993.6625462963</v>
      </c>
      <c r="Z209" s="42" t="n">
        <v>45993.6625462963</v>
      </c>
      <c r="AA209" t="n">
        <v>0</v>
      </c>
      <c r="AD209" t="n">
        <v>2</v>
      </c>
      <c r="AE209" t="n">
        <v>2</v>
      </c>
      <c r="AF209" t="n">
        <v>0</v>
      </c>
      <c r="AI209" t="n">
        <v>0</v>
      </c>
      <c r="AJ209" t="n">
        <v>0</v>
      </c>
      <c r="AK209" t="n">
        <v>0</v>
      </c>
      <c r="AL209" t="n">
        <v>0</v>
      </c>
      <c r="AN209" t="n">
        <v>0</v>
      </c>
      <c r="AO209" t="n">
        <v>0</v>
      </c>
      <c r="AP209" t="n">
        <v>0</v>
      </c>
      <c r="AQ209" t="n">
        <v>24</v>
      </c>
      <c r="AR209" t="n">
        <v>0</v>
      </c>
    </row>
    <row r="210">
      <c r="A210" t="n">
        <v>199106</v>
      </c>
      <c r="B210" t="inlineStr">
        <is>
          <t>عدم پر شدن فیلدهای تاریخچه بازدید به درستی</t>
        </is>
      </c>
      <c r="D210" t="inlineStr">
        <is>
          <t>Medium</t>
        </is>
      </c>
      <c r="E210" t="n">
        <v>2</v>
      </c>
      <c r="F210" t="inlineStr">
        <is>
          <t>Active</t>
        </is>
      </c>
      <c r="G210" t="inlineStr">
        <is>
          <t>Other</t>
        </is>
      </c>
      <c r="I210" t="inlineStr">
        <is>
          <t>Bizagi_Team</t>
        </is>
      </c>
      <c r="J210" t="inlineStr">
        <is>
          <t>SAJAK</t>
        </is>
      </c>
      <c r="K210" t="inlineStr">
        <is>
          <t>Estate_Sprint 45</t>
        </is>
      </c>
      <c r="M210" t="inlineStr">
        <is>
          <t>Tedadi Abbas</t>
        </is>
      </c>
      <c r="Q210" s="42" t="n">
        <v>46000.46864583333</v>
      </c>
      <c r="S210" t="n">
        <v>0</v>
      </c>
      <c r="T210" s="42" t="n">
        <v>46000.46864583333</v>
      </c>
      <c r="AA210" t="n">
        <v>0</v>
      </c>
      <c r="AD210" t="n">
        <v>2</v>
      </c>
      <c r="AE210" t="n">
        <v>2</v>
      </c>
      <c r="AF210" t="n">
        <v>0</v>
      </c>
      <c r="AI210" t="n">
        <v>0</v>
      </c>
      <c r="AJ210" t="n">
        <v>0</v>
      </c>
      <c r="AM210" t="n">
        <v>17</v>
      </c>
      <c r="AN210" t="n">
        <v>0</v>
      </c>
      <c r="AO210" t="n">
        <v>0</v>
      </c>
      <c r="AP210" t="n">
        <v>0</v>
      </c>
      <c r="AQ210" t="n">
        <v>24</v>
      </c>
      <c r="AR210" t="n">
        <v>0</v>
      </c>
    </row>
    <row r="211">
      <c r="A211" t="n">
        <v>199195</v>
      </c>
      <c r="B211" t="inlineStr">
        <is>
          <t xml:space="preserve">عدم وجود کلید عودت به بنیاد مسکن </t>
        </is>
      </c>
      <c r="D211" t="inlineStr">
        <is>
          <t>Medium</t>
        </is>
      </c>
      <c r="E211" t="n">
        <v>2</v>
      </c>
      <c r="F211" t="inlineStr">
        <is>
          <t>Active</t>
        </is>
      </c>
      <c r="G211" t="inlineStr">
        <is>
          <t>Other</t>
        </is>
      </c>
      <c r="I211" t="inlineStr">
        <is>
          <t>Bizagi_Team</t>
        </is>
      </c>
      <c r="J211" t="inlineStr">
        <is>
          <t>SAJAK</t>
        </is>
      </c>
      <c r="K211" t="inlineStr">
        <is>
          <t>Estate_Sprint 45</t>
        </is>
      </c>
      <c r="M211" t="inlineStr">
        <is>
          <t>Tedadi Abbas</t>
        </is>
      </c>
      <c r="Q211" s="42" t="n">
        <v>46000.41603009259</v>
      </c>
      <c r="S211" t="n">
        <v>0</v>
      </c>
      <c r="T211" s="42" t="n">
        <v>46000.41603009259</v>
      </c>
      <c r="AA211" t="n">
        <v>0</v>
      </c>
      <c r="AD211" t="n">
        <v>2</v>
      </c>
      <c r="AE211" t="n">
        <v>2</v>
      </c>
      <c r="AF211" t="n">
        <v>0</v>
      </c>
      <c r="AI211" t="n">
        <v>0</v>
      </c>
      <c r="AJ211" t="n">
        <v>0</v>
      </c>
      <c r="AM211" t="n">
        <v>17</v>
      </c>
      <c r="AN211" t="n">
        <v>0</v>
      </c>
      <c r="AO211" t="n">
        <v>0</v>
      </c>
      <c r="AP211" t="n">
        <v>0</v>
      </c>
      <c r="AQ211" t="n">
        <v>24</v>
      </c>
      <c r="AR211" t="n">
        <v>0</v>
      </c>
    </row>
    <row r="212">
      <c r="A212" t="n">
        <v>199196</v>
      </c>
      <c r="B212" t="inlineStr">
        <is>
          <t xml:space="preserve">در کمیته اعتباری منطقه ،  در لینک نمایش /جزییات عقود  ، شماره درخواست نال (خالی) می شود </t>
        </is>
      </c>
      <c r="D212" t="inlineStr">
        <is>
          <t>Medium</t>
        </is>
      </c>
      <c r="E212" t="n">
        <v>3</v>
      </c>
      <c r="F212" t="inlineStr">
        <is>
          <t>Closed</t>
        </is>
      </c>
      <c r="G212" t="inlineStr">
        <is>
          <t>Other</t>
        </is>
      </c>
      <c r="J212" t="inlineStr">
        <is>
          <t>Dem</t>
        </is>
      </c>
      <c r="K212" t="inlineStr">
        <is>
          <t>DemBiz</t>
        </is>
      </c>
      <c r="M212" t="inlineStr">
        <is>
          <t>Moradi Mohammad</t>
        </is>
      </c>
      <c r="N212" t="inlineStr">
        <is>
          <t>Hajizadeh Elnaz</t>
        </is>
      </c>
      <c r="O212" s="42" t="n">
        <v>45993.69936342593</v>
      </c>
      <c r="Q212" s="42" t="n">
        <v>45993.69936342593</v>
      </c>
      <c r="S212" t="n">
        <v>0</v>
      </c>
      <c r="T212" s="42" t="n">
        <v>45993.69936342593</v>
      </c>
      <c r="Z212" s="42" t="n">
        <v>45993.69936342593</v>
      </c>
      <c r="AA212" t="n">
        <v>0</v>
      </c>
      <c r="AD212" t="n">
        <v>2</v>
      </c>
      <c r="AE212" t="n">
        <v>2</v>
      </c>
      <c r="AF212" t="n">
        <v>0</v>
      </c>
      <c r="AI212" t="n">
        <v>0</v>
      </c>
      <c r="AJ212" t="n">
        <v>0</v>
      </c>
      <c r="AK212" t="n">
        <v>0</v>
      </c>
      <c r="AL212" t="n">
        <v>0</v>
      </c>
      <c r="AN212" t="n">
        <v>0</v>
      </c>
      <c r="AO212" t="n">
        <v>0</v>
      </c>
      <c r="AP212" t="n">
        <v>0</v>
      </c>
      <c r="AQ212" t="n">
        <v>24</v>
      </c>
      <c r="AR212" t="n">
        <v>0</v>
      </c>
    </row>
    <row r="213">
      <c r="A213" t="n">
        <v>199453</v>
      </c>
      <c r="B213" t="inlineStr">
        <is>
          <t>رفتار متفاوت فیلد مانده منابع باجه نسبت به فیلدهای مبلغ (بدون سه‌رقمی شدن و با راست‌نویسی)</t>
        </is>
      </c>
      <c r="D213" t="inlineStr">
        <is>
          <t>Medium</t>
        </is>
      </c>
      <c r="E213" t="n">
        <v>3</v>
      </c>
      <c r="F213" t="inlineStr">
        <is>
          <t>Closed</t>
        </is>
      </c>
      <c r="G213" t="inlineStr">
        <is>
          <t>Other</t>
        </is>
      </c>
      <c r="J213" t="inlineStr">
        <is>
          <t>Post Bank</t>
        </is>
      </c>
      <c r="K213" t="inlineStr">
        <is>
          <t>Sprint 21</t>
        </is>
      </c>
      <c r="L213" t="inlineStr">
        <is>
          <t>Cannot Reproduce</t>
        </is>
      </c>
      <c r="M213" t="inlineStr">
        <is>
          <t>Arshi Mahmood</t>
        </is>
      </c>
      <c r="N213" t="inlineStr">
        <is>
          <t>Hoseini Fatemeh</t>
        </is>
      </c>
      <c r="O213" s="42" t="n">
        <v>46012.69474537037</v>
      </c>
      <c r="Q213" s="42" t="n">
        <v>46012.69474537037</v>
      </c>
      <c r="S213" t="n">
        <v>0</v>
      </c>
      <c r="T213" s="42" t="n">
        <v>46012.69474537037</v>
      </c>
      <c r="Z213" s="42" t="n">
        <v>46012.69474537037</v>
      </c>
      <c r="AA213" t="n">
        <v>0</v>
      </c>
      <c r="AD213" t="n">
        <v>2</v>
      </c>
      <c r="AE213" t="n">
        <v>2</v>
      </c>
      <c r="AF213" t="n">
        <v>0</v>
      </c>
      <c r="AI213" t="n">
        <v>0</v>
      </c>
      <c r="AJ213" t="n">
        <v>0</v>
      </c>
      <c r="AK213" t="n">
        <v>0</v>
      </c>
      <c r="AL213" t="n">
        <v>0</v>
      </c>
      <c r="AN213" t="n">
        <v>0</v>
      </c>
      <c r="AO213" t="n">
        <v>0</v>
      </c>
      <c r="AP213" t="n">
        <v>0</v>
      </c>
      <c r="AQ213" t="n">
        <v>24</v>
      </c>
      <c r="AR213" t="n">
        <v>0</v>
      </c>
    </row>
    <row r="214">
      <c r="A214" t="n">
        <v>199455</v>
      </c>
      <c r="B214" t="inlineStr">
        <is>
          <t>عدم تطابق پروتوتایپ و پیاده سازی در فرم بررسی پرونده جهت طرح در هیئت</t>
        </is>
      </c>
      <c r="D214" t="inlineStr">
        <is>
          <t>Medium</t>
        </is>
      </c>
      <c r="E214" t="n">
        <v>3</v>
      </c>
      <c r="F214" t="inlineStr">
        <is>
          <t>Closed</t>
        </is>
      </c>
      <c r="G214" t="inlineStr">
        <is>
          <t>Other</t>
        </is>
      </c>
      <c r="I214" t="inlineStr">
        <is>
          <t>Bizagi_Team</t>
        </is>
      </c>
      <c r="J214" t="inlineStr">
        <is>
          <t>SAJAK</t>
        </is>
      </c>
      <c r="K214" t="inlineStr">
        <is>
          <t>Estate_Sprint 45</t>
        </is>
      </c>
      <c r="M214" t="inlineStr">
        <is>
          <t>Tedadi Abbas</t>
        </is>
      </c>
      <c r="N214" t="inlineStr">
        <is>
          <t>Moradnoori Parinaz</t>
        </is>
      </c>
      <c r="O214" s="42" t="n">
        <v>45998.60009259259</v>
      </c>
      <c r="Q214" s="42" t="n">
        <v>45998.60009259259</v>
      </c>
      <c r="S214" t="n">
        <v>0</v>
      </c>
      <c r="T214" s="42" t="n">
        <v>45998.60009259259</v>
      </c>
      <c r="Z214" s="42" t="n">
        <v>45998.60009259259</v>
      </c>
      <c r="AA214" t="n">
        <v>0</v>
      </c>
      <c r="AD214" t="n">
        <v>2</v>
      </c>
      <c r="AE214" t="n">
        <v>2</v>
      </c>
      <c r="AF214" t="n">
        <v>0</v>
      </c>
      <c r="AI214" t="n">
        <v>0</v>
      </c>
      <c r="AJ214" t="n">
        <v>0</v>
      </c>
      <c r="AK214" t="n">
        <v>0</v>
      </c>
      <c r="AL214" t="n">
        <v>0</v>
      </c>
      <c r="AN214" t="n">
        <v>0</v>
      </c>
      <c r="AO214" t="n">
        <v>0</v>
      </c>
      <c r="AP214" t="n">
        <v>0</v>
      </c>
      <c r="AQ214" t="n">
        <v>24</v>
      </c>
      <c r="AR214" t="n">
        <v>0</v>
      </c>
    </row>
    <row r="215">
      <c r="A215" t="n">
        <v>199466</v>
      </c>
      <c r="B215" t="inlineStr">
        <is>
          <t>داپلیکیت شدن کد رهگیری تخلف پس از ارسال پرونده از بازرس استان به کارتابل کارشناس حوزه باجه‌ها</t>
        </is>
      </c>
      <c r="D215" t="inlineStr">
        <is>
          <t>Medium</t>
        </is>
      </c>
      <c r="E215" t="n">
        <v>2</v>
      </c>
      <c r="F215" t="inlineStr">
        <is>
          <t>Open</t>
        </is>
      </c>
      <c r="G215" t="inlineStr">
        <is>
          <t>Other</t>
        </is>
      </c>
      <c r="J215" t="inlineStr">
        <is>
          <t>Post Bank</t>
        </is>
      </c>
      <c r="K215" t="inlineStr">
        <is>
          <t>Sprint 21</t>
        </is>
      </c>
      <c r="M215" t="inlineStr">
        <is>
          <t>Hoseini Fatemeh</t>
        </is>
      </c>
      <c r="Q215" s="42" t="n">
        <v>46008.70556712963</v>
      </c>
      <c r="S215" t="n">
        <v>0</v>
      </c>
      <c r="T215" s="42" t="n">
        <v>46008.70556712963</v>
      </c>
      <c r="AA215" t="n">
        <v>0</v>
      </c>
      <c r="AD215" t="n">
        <v>2</v>
      </c>
      <c r="AE215" t="n">
        <v>2</v>
      </c>
      <c r="AF215" t="n">
        <v>0</v>
      </c>
      <c r="AI215" t="n">
        <v>0</v>
      </c>
      <c r="AJ215" t="n">
        <v>0</v>
      </c>
      <c r="AM215" t="n">
        <v>9</v>
      </c>
      <c r="AN215" t="n">
        <v>0</v>
      </c>
      <c r="AO215" t="n">
        <v>0</v>
      </c>
      <c r="AP215" t="n">
        <v>0</v>
      </c>
      <c r="AQ215" t="n">
        <v>24</v>
      </c>
      <c r="AR215" t="n">
        <v>0</v>
      </c>
    </row>
    <row r="216">
      <c r="A216" t="n">
        <v>199476</v>
      </c>
      <c r="B216" t="inlineStr">
        <is>
          <t>یک صفحه در پروتوتایپ وجود دارد که توسط دبیر هیئت بررسی می شود ولی در پیاده سازی بررسی نظر دبیر هیئت است</t>
        </is>
      </c>
      <c r="D216" t="inlineStr">
        <is>
          <t>Medium</t>
        </is>
      </c>
      <c r="E216" t="n">
        <v>2</v>
      </c>
      <c r="F216" t="inlineStr">
        <is>
          <t>Closed</t>
        </is>
      </c>
      <c r="G216" t="inlineStr">
        <is>
          <t>Other</t>
        </is>
      </c>
      <c r="I216" t="inlineStr">
        <is>
          <t>Bizagi_Team</t>
        </is>
      </c>
      <c r="J216" t="inlineStr">
        <is>
          <t>SAJAK</t>
        </is>
      </c>
      <c r="K216" t="inlineStr">
        <is>
          <t>Estate_Sprint 45</t>
        </is>
      </c>
      <c r="M216" t="inlineStr">
        <is>
          <t>Tedadi Abbas</t>
        </is>
      </c>
      <c r="N216" t="inlineStr">
        <is>
          <t>Erfani Alireza</t>
        </is>
      </c>
      <c r="O216" s="42" t="n">
        <v>45998.61262731482</v>
      </c>
      <c r="Q216" s="42" t="n">
        <v>45998.61262731482</v>
      </c>
      <c r="S216" t="n">
        <v>0</v>
      </c>
      <c r="T216" s="42" t="n">
        <v>45998.61262731482</v>
      </c>
      <c r="Z216" s="42" t="n">
        <v>45998.61262731482</v>
      </c>
      <c r="AA216" t="n">
        <v>0</v>
      </c>
      <c r="AD216" t="n">
        <v>2</v>
      </c>
      <c r="AE216" t="n">
        <v>2</v>
      </c>
      <c r="AF216" t="n">
        <v>0</v>
      </c>
      <c r="AI216" t="n">
        <v>0</v>
      </c>
      <c r="AJ216" t="n">
        <v>0</v>
      </c>
      <c r="AK216" t="n">
        <v>0</v>
      </c>
      <c r="AL216" t="n">
        <v>0</v>
      </c>
      <c r="AN216" t="n">
        <v>0</v>
      </c>
      <c r="AO216" t="n">
        <v>0</v>
      </c>
      <c r="AP216" t="n">
        <v>0</v>
      </c>
      <c r="AQ216" t="n">
        <v>24</v>
      </c>
      <c r="AR216" t="n">
        <v>0</v>
      </c>
    </row>
    <row r="217">
      <c r="A217" t="n">
        <v>199481</v>
      </c>
      <c r="B217" t="inlineStr">
        <is>
          <t xml:space="preserve">AE_SAJA//کارتابل اشخاصی غیر از تعدادی یک خط در میان بالا میاد </t>
        </is>
      </c>
      <c r="D217" t="inlineStr">
        <is>
          <t>Medium</t>
        </is>
      </c>
      <c r="E217" t="n">
        <v>2</v>
      </c>
      <c r="F217" t="inlineStr">
        <is>
          <t>Closed</t>
        </is>
      </c>
      <c r="G217" t="inlineStr">
        <is>
          <t>Other</t>
        </is>
      </c>
      <c r="J217" t="inlineStr">
        <is>
          <t>Infrastructure Bizagi Extension</t>
        </is>
      </c>
      <c r="K217" t="inlineStr">
        <is>
          <t>SP-87</t>
        </is>
      </c>
      <c r="M217" t="inlineStr">
        <is>
          <t>Faraji Reza</t>
        </is>
      </c>
      <c r="N217" t="inlineStr">
        <is>
          <t>Kalaei Saman</t>
        </is>
      </c>
      <c r="O217" s="42" t="n">
        <v>45998.54763888889</v>
      </c>
      <c r="Q217" s="42" t="n">
        <v>45998.54763888889</v>
      </c>
      <c r="S217" t="n">
        <v>0</v>
      </c>
      <c r="T217" s="42" t="n">
        <v>45998.54763888889</v>
      </c>
      <c r="Z217" s="42" t="n">
        <v>45998.54763888889</v>
      </c>
      <c r="AA217" t="n">
        <v>0</v>
      </c>
      <c r="AD217" t="n">
        <v>2</v>
      </c>
      <c r="AE217" t="n">
        <v>2</v>
      </c>
      <c r="AF217" t="n">
        <v>0</v>
      </c>
      <c r="AI217" t="n">
        <v>0</v>
      </c>
      <c r="AJ217" t="n">
        <v>0</v>
      </c>
      <c r="AK217" t="n">
        <v>0</v>
      </c>
      <c r="AL217" t="n">
        <v>0</v>
      </c>
      <c r="AN217" t="n">
        <v>0</v>
      </c>
      <c r="AO217" t="n">
        <v>0</v>
      </c>
      <c r="AP217" t="n">
        <v>0</v>
      </c>
      <c r="AQ217" t="n">
        <v>24</v>
      </c>
      <c r="AR217" t="n">
        <v>0</v>
      </c>
    </row>
    <row r="218">
      <c r="A218" t="n">
        <v>199483</v>
      </c>
      <c r="B218" t="inlineStr">
        <is>
          <t xml:space="preserve">عودت به بنیاد مسکن در فرم پروتوتایپ متفاوت است با پیاده سازی </t>
        </is>
      </c>
      <c r="D218" t="inlineStr">
        <is>
          <t>Medium</t>
        </is>
      </c>
      <c r="E218" t="n">
        <v>4</v>
      </c>
      <c r="F218" t="inlineStr">
        <is>
          <t>Closed</t>
        </is>
      </c>
      <c r="G218" t="inlineStr">
        <is>
          <t>Other</t>
        </is>
      </c>
      <c r="I218" t="inlineStr">
        <is>
          <t>Bizagi_Team</t>
        </is>
      </c>
      <c r="J218" t="inlineStr">
        <is>
          <t>SAJAK</t>
        </is>
      </c>
      <c r="K218" t="inlineStr">
        <is>
          <t>Estate_Sprint 45</t>
        </is>
      </c>
      <c r="L218" t="inlineStr">
        <is>
          <t>Completed</t>
        </is>
      </c>
      <c r="M218" t="inlineStr">
        <is>
          <t>Erfani Alireza</t>
        </is>
      </c>
      <c r="N218" t="inlineStr">
        <is>
          <t>Erfani Alireza</t>
        </is>
      </c>
      <c r="O218" s="42" t="n">
        <v>46001.41592592592</v>
      </c>
      <c r="Q218" s="42" t="n">
        <v>46001.41592592592</v>
      </c>
      <c r="S218" t="n">
        <v>0</v>
      </c>
      <c r="T218" s="42" t="n">
        <v>46001.41592592592</v>
      </c>
      <c r="Z218" s="42" t="n">
        <v>46001.41592592592</v>
      </c>
      <c r="AA218" t="n">
        <v>0</v>
      </c>
      <c r="AD218" t="n">
        <v>2</v>
      </c>
      <c r="AE218" t="n">
        <v>2</v>
      </c>
      <c r="AF218" t="n">
        <v>0</v>
      </c>
      <c r="AI218" t="n">
        <v>0</v>
      </c>
      <c r="AJ218" t="n">
        <v>0</v>
      </c>
      <c r="AK218" t="n">
        <v>0</v>
      </c>
      <c r="AL218" t="n">
        <v>0</v>
      </c>
      <c r="AN218" t="n">
        <v>0</v>
      </c>
      <c r="AO218" t="n">
        <v>0</v>
      </c>
      <c r="AP218" t="n">
        <v>0</v>
      </c>
      <c r="AQ218" t="n">
        <v>24</v>
      </c>
      <c r="AR218" t="n">
        <v>0</v>
      </c>
    </row>
    <row r="219">
      <c r="A219" t="n">
        <v>199503</v>
      </c>
      <c r="B219" t="inlineStr">
        <is>
          <t>عدم تطابق گزینه های اظهار نظر در  فرم بررسی پرونده جهت طرح در هیئت</t>
        </is>
      </c>
      <c r="D219" t="inlineStr">
        <is>
          <t>Medium</t>
        </is>
      </c>
      <c r="E219" t="n">
        <v>4</v>
      </c>
      <c r="F219" t="inlineStr">
        <is>
          <t>Closed</t>
        </is>
      </c>
      <c r="G219" t="inlineStr">
        <is>
          <t>Other</t>
        </is>
      </c>
      <c r="I219" t="inlineStr">
        <is>
          <t>Bizagi_Team</t>
        </is>
      </c>
      <c r="J219" t="inlineStr">
        <is>
          <t>SAJAK</t>
        </is>
      </c>
      <c r="K219" t="inlineStr">
        <is>
          <t>Estate_Sprint 45</t>
        </is>
      </c>
      <c r="M219" t="inlineStr">
        <is>
          <t>Tedadi Abbas</t>
        </is>
      </c>
      <c r="N219" t="inlineStr">
        <is>
          <t>Moradnoori Parinaz</t>
        </is>
      </c>
      <c r="O219" s="42" t="n">
        <v>45998.59831018518</v>
      </c>
      <c r="Q219" s="42" t="n">
        <v>45998.59831018518</v>
      </c>
      <c r="S219" t="n">
        <v>0</v>
      </c>
      <c r="T219" s="42" t="n">
        <v>45998.59831018518</v>
      </c>
      <c r="Z219" s="42" t="n">
        <v>45998.59831018518</v>
      </c>
      <c r="AA219" t="n">
        <v>0</v>
      </c>
      <c r="AD219" t="n">
        <v>2</v>
      </c>
      <c r="AE219" t="n">
        <v>2</v>
      </c>
      <c r="AF219" t="n">
        <v>0</v>
      </c>
      <c r="AI219" t="n">
        <v>0</v>
      </c>
      <c r="AJ219" t="n">
        <v>0</v>
      </c>
      <c r="AK219" t="n">
        <v>0</v>
      </c>
      <c r="AL219" t="n">
        <v>0</v>
      </c>
      <c r="AN219" t="n">
        <v>0</v>
      </c>
      <c r="AO219" t="n">
        <v>0</v>
      </c>
      <c r="AP219" t="n">
        <v>0</v>
      </c>
      <c r="AQ219" t="n">
        <v>24</v>
      </c>
      <c r="AR219" t="n">
        <v>0</v>
      </c>
    </row>
    <row r="220">
      <c r="A220" t="n">
        <v>199504</v>
      </c>
      <c r="B220" t="inlineStr">
        <is>
          <t>بازیابی - کنترل نمایش کلیه تاریخ های موجود در یک جلد در صورتی که فقط یکی از تاریخ های موجود در جلد درخواست شده باشد</t>
        </is>
      </c>
      <c r="D220" t="inlineStr">
        <is>
          <t>Medium</t>
        </is>
      </c>
      <c r="E220" t="n">
        <v>2</v>
      </c>
      <c r="F220" t="inlineStr">
        <is>
          <t>New</t>
        </is>
      </c>
      <c r="G220" t="inlineStr">
        <is>
          <t>Other</t>
        </is>
      </c>
      <c r="J220" t="inlineStr">
        <is>
          <t>Stagnant Archive</t>
        </is>
      </c>
      <c r="K220" t="inlineStr">
        <is>
          <t>Sp_22</t>
        </is>
      </c>
      <c r="M220" t="inlineStr">
        <is>
          <t>Sharifi Shayan</t>
        </is>
      </c>
      <c r="Q220" s="42" t="n">
        <v>45994.74275462963</v>
      </c>
      <c r="S220" t="n">
        <v>0</v>
      </c>
      <c r="T220" s="42" t="n">
        <v>45994.74275462963</v>
      </c>
      <c r="AA220" t="n">
        <v>0</v>
      </c>
      <c r="AD220" t="n">
        <v>2</v>
      </c>
      <c r="AE220" t="n">
        <v>2</v>
      </c>
      <c r="AF220" t="n">
        <v>0</v>
      </c>
      <c r="AI220" t="n">
        <v>0</v>
      </c>
      <c r="AJ220" t="n">
        <v>0</v>
      </c>
      <c r="AM220" t="n">
        <v>23</v>
      </c>
      <c r="AN220" t="n">
        <v>0</v>
      </c>
      <c r="AO220" t="n">
        <v>0</v>
      </c>
      <c r="AP220" t="n">
        <v>0</v>
      </c>
      <c r="AQ220" t="n">
        <v>24</v>
      </c>
      <c r="AR220" t="n">
        <v>0</v>
      </c>
    </row>
    <row r="221">
      <c r="A221" t="n">
        <v>199510</v>
      </c>
      <c r="B221" t="inlineStr">
        <is>
          <t>بازیابی -باگ  ارجاع تسک به کارشناس اداره بایگانی s.kh</t>
        </is>
      </c>
      <c r="D221" t="inlineStr">
        <is>
          <t>Medium</t>
        </is>
      </c>
      <c r="E221" t="n">
        <v>2</v>
      </c>
      <c r="F221" t="inlineStr">
        <is>
          <t>Closed</t>
        </is>
      </c>
      <c r="G221" t="inlineStr">
        <is>
          <t>Other</t>
        </is>
      </c>
      <c r="J221" t="inlineStr">
        <is>
          <t>Stagnant Archive</t>
        </is>
      </c>
      <c r="K221" t="inlineStr">
        <is>
          <t>Sp_22</t>
        </is>
      </c>
      <c r="M221" t="inlineStr">
        <is>
          <t>Homayoun Mohammad</t>
        </is>
      </c>
      <c r="N221" t="inlineStr">
        <is>
          <t>Khodabakhsh Sadaf</t>
        </is>
      </c>
      <c r="O221" s="42" t="n">
        <v>45998.83396990741</v>
      </c>
      <c r="Q221" s="42" t="n">
        <v>45998.83396990741</v>
      </c>
      <c r="S221" t="n">
        <v>0</v>
      </c>
      <c r="T221" s="42" t="n">
        <v>45998.83396990741</v>
      </c>
      <c r="Z221" s="42" t="n">
        <v>45998.83396990741</v>
      </c>
      <c r="AA221" t="n">
        <v>0</v>
      </c>
      <c r="AD221" t="n">
        <v>2</v>
      </c>
      <c r="AE221" t="n">
        <v>2</v>
      </c>
      <c r="AF221" t="n">
        <v>0</v>
      </c>
      <c r="AI221" t="n">
        <v>0</v>
      </c>
      <c r="AJ221" t="n">
        <v>0</v>
      </c>
      <c r="AK221" t="n">
        <v>0</v>
      </c>
      <c r="AL221" t="n">
        <v>0</v>
      </c>
      <c r="AN221" t="n">
        <v>0</v>
      </c>
      <c r="AO221" t="n">
        <v>0</v>
      </c>
      <c r="AP221" t="n">
        <v>0</v>
      </c>
      <c r="AQ221" t="n">
        <v>24</v>
      </c>
      <c r="AR221" t="n">
        <v>0</v>
      </c>
    </row>
    <row r="222">
      <c r="A222" t="n">
        <v>199527</v>
      </c>
      <c r="B222" t="inlineStr">
        <is>
          <t>بازیابی -عدم موجود شدن سند هنگام عدم مراجعه  s.kh</t>
        </is>
      </c>
      <c r="D222" t="inlineStr">
        <is>
          <t>Medium</t>
        </is>
      </c>
      <c r="E222" t="n">
        <v>2</v>
      </c>
      <c r="F222" t="inlineStr">
        <is>
          <t>Closed</t>
        </is>
      </c>
      <c r="G222" t="inlineStr">
        <is>
          <t>Other</t>
        </is>
      </c>
      <c r="J222" t="inlineStr">
        <is>
          <t>Stagnant Archive</t>
        </is>
      </c>
      <c r="K222" t="inlineStr">
        <is>
          <t>Sp_22</t>
        </is>
      </c>
      <c r="M222" t="inlineStr">
        <is>
          <t>Homayoun Mohammad</t>
        </is>
      </c>
      <c r="N222" t="inlineStr">
        <is>
          <t>Khodabakhsh Sadaf</t>
        </is>
      </c>
      <c r="O222" s="42" t="n">
        <v>45998.83984953703</v>
      </c>
      <c r="Q222" s="42" t="n">
        <v>45998.83984953703</v>
      </c>
      <c r="S222" t="n">
        <v>0</v>
      </c>
      <c r="T222" s="42" t="n">
        <v>45998.83984953703</v>
      </c>
      <c r="Z222" s="42" t="n">
        <v>45998.83984953703</v>
      </c>
      <c r="AA222" t="n">
        <v>0</v>
      </c>
      <c r="AD222" t="n">
        <v>2</v>
      </c>
      <c r="AE222" t="n">
        <v>2</v>
      </c>
      <c r="AF222" t="n">
        <v>0</v>
      </c>
      <c r="AI222" t="n">
        <v>0</v>
      </c>
      <c r="AJ222" t="n">
        <v>0</v>
      </c>
      <c r="AK222" t="n">
        <v>0</v>
      </c>
      <c r="AL222" t="n">
        <v>0</v>
      </c>
      <c r="AN222" t="n">
        <v>0</v>
      </c>
      <c r="AO222" t="n">
        <v>0</v>
      </c>
      <c r="AP222" t="n">
        <v>0</v>
      </c>
      <c r="AQ222" t="n">
        <v>24</v>
      </c>
      <c r="AR222" t="n">
        <v>0</v>
      </c>
    </row>
    <row r="223">
      <c r="A223" t="n">
        <v>199530</v>
      </c>
      <c r="B223" t="inlineStr">
        <is>
          <t>بازیابی -امکان تغییر تاریخ سند   s.kh</t>
        </is>
      </c>
      <c r="D223" t="inlineStr">
        <is>
          <t>Medium</t>
        </is>
      </c>
      <c r="E223" t="n">
        <v>2</v>
      </c>
      <c r="F223" t="inlineStr">
        <is>
          <t>Closed</t>
        </is>
      </c>
      <c r="G223" t="inlineStr">
        <is>
          <t>Other</t>
        </is>
      </c>
      <c r="J223" t="inlineStr">
        <is>
          <t>Stagnant Archive</t>
        </is>
      </c>
      <c r="K223" t="inlineStr">
        <is>
          <t>Sp_22</t>
        </is>
      </c>
      <c r="M223" t="inlineStr">
        <is>
          <t>Homayoun Mohammad</t>
        </is>
      </c>
      <c r="N223" t="inlineStr">
        <is>
          <t>Khodabakhsh Sadaf</t>
        </is>
      </c>
      <c r="O223" s="42" t="n">
        <v>46000.45084490741</v>
      </c>
      <c r="Q223" s="42" t="n">
        <v>46000.45084490741</v>
      </c>
      <c r="S223" t="n">
        <v>0</v>
      </c>
      <c r="T223" s="42" t="n">
        <v>46000.45084490741</v>
      </c>
      <c r="Z223" s="42" t="n">
        <v>46000.45084490741</v>
      </c>
      <c r="AA223" t="n">
        <v>0</v>
      </c>
      <c r="AD223" t="n">
        <v>2</v>
      </c>
      <c r="AE223" t="n">
        <v>2</v>
      </c>
      <c r="AF223" t="n">
        <v>0</v>
      </c>
      <c r="AI223" t="n">
        <v>0</v>
      </c>
      <c r="AJ223" t="n">
        <v>0</v>
      </c>
      <c r="AK223" t="n">
        <v>0</v>
      </c>
      <c r="AL223" t="n">
        <v>0</v>
      </c>
      <c r="AN223" t="n">
        <v>0</v>
      </c>
      <c r="AO223" t="n">
        <v>0</v>
      </c>
      <c r="AP223" t="n">
        <v>0</v>
      </c>
      <c r="AQ223" t="n">
        <v>24</v>
      </c>
      <c r="AR223" t="n">
        <v>0</v>
      </c>
    </row>
    <row r="224">
      <c r="A224" t="n">
        <v>199531</v>
      </c>
      <c r="B224" t="inlineStr">
        <is>
          <t>بازیابی :عدم نمایش مراحل فرایند بازیابی به صورت کامل</t>
        </is>
      </c>
      <c r="D224" t="inlineStr">
        <is>
          <t>Medium</t>
        </is>
      </c>
      <c r="E224" t="n">
        <v>2</v>
      </c>
      <c r="F224" t="inlineStr">
        <is>
          <t>Closed</t>
        </is>
      </c>
      <c r="G224" t="inlineStr">
        <is>
          <t>Other</t>
        </is>
      </c>
      <c r="J224" t="inlineStr">
        <is>
          <t>Stagnant Archive</t>
        </is>
      </c>
      <c r="K224" t="inlineStr">
        <is>
          <t>Sp_22</t>
        </is>
      </c>
      <c r="L224" t="inlineStr">
        <is>
          <t>Completed</t>
        </is>
      </c>
      <c r="M224" t="inlineStr">
        <is>
          <t>Khodabakhsh Sadaf</t>
        </is>
      </c>
      <c r="N224" t="inlineStr">
        <is>
          <t>Khodabakhsh Sadaf</t>
        </is>
      </c>
      <c r="O224" s="42" t="n">
        <v>46015.80989583334</v>
      </c>
      <c r="Q224" s="42" t="n">
        <v>46015.80989583334</v>
      </c>
      <c r="S224" t="n">
        <v>0</v>
      </c>
      <c r="T224" s="42" t="n">
        <v>46015.80989583334</v>
      </c>
      <c r="Z224" s="42" t="n">
        <v>46015.80989583334</v>
      </c>
      <c r="AA224" t="n">
        <v>0</v>
      </c>
      <c r="AD224" t="n">
        <v>2</v>
      </c>
      <c r="AE224" t="n">
        <v>2</v>
      </c>
      <c r="AF224" t="n">
        <v>0</v>
      </c>
      <c r="AI224" t="n">
        <v>0</v>
      </c>
      <c r="AJ224" t="n">
        <v>0</v>
      </c>
      <c r="AK224" t="n">
        <v>0</v>
      </c>
      <c r="AL224" t="n">
        <v>0</v>
      </c>
      <c r="AN224" t="n">
        <v>0</v>
      </c>
      <c r="AO224" t="n">
        <v>0</v>
      </c>
      <c r="AP224" t="n">
        <v>0</v>
      </c>
      <c r="AQ224" t="n">
        <v>24</v>
      </c>
      <c r="AR224" t="n">
        <v>0</v>
      </c>
    </row>
    <row r="225">
      <c r="A225" t="n">
        <v>200374</v>
      </c>
      <c r="B225" t="inlineStr">
        <is>
          <t>بازیابی -باگ وضعیت اسناد      s.kh</t>
        </is>
      </c>
      <c r="D225" t="inlineStr">
        <is>
          <t>Medium</t>
        </is>
      </c>
      <c r="E225" t="n">
        <v>2</v>
      </c>
      <c r="F225" t="inlineStr">
        <is>
          <t>Closed</t>
        </is>
      </c>
      <c r="G225" t="inlineStr">
        <is>
          <t>Other</t>
        </is>
      </c>
      <c r="J225" t="inlineStr">
        <is>
          <t>Stagnant Archive</t>
        </is>
      </c>
      <c r="K225" t="inlineStr">
        <is>
          <t>Sp_22</t>
        </is>
      </c>
      <c r="L225" t="inlineStr">
        <is>
          <t>Completed</t>
        </is>
      </c>
      <c r="M225" t="inlineStr">
        <is>
          <t>Homayoun Mohammad</t>
        </is>
      </c>
      <c r="N225" t="inlineStr">
        <is>
          <t>Khodabakhsh Sadaf</t>
        </is>
      </c>
      <c r="O225" s="42" t="n">
        <v>46004.87859953703</v>
      </c>
      <c r="Q225" s="42" t="n">
        <v>46004.87859953703</v>
      </c>
      <c r="S225" t="n">
        <v>0</v>
      </c>
      <c r="T225" s="42" t="n">
        <v>46004.87859953703</v>
      </c>
      <c r="Z225" s="42" t="n">
        <v>46004.87859953703</v>
      </c>
      <c r="AA225" t="n">
        <v>0</v>
      </c>
      <c r="AD225" t="n">
        <v>2</v>
      </c>
      <c r="AE225" t="n">
        <v>2</v>
      </c>
      <c r="AF225" t="n">
        <v>0</v>
      </c>
      <c r="AI225" t="n">
        <v>0</v>
      </c>
      <c r="AJ225" t="n">
        <v>0</v>
      </c>
      <c r="AK225" t="n">
        <v>0</v>
      </c>
      <c r="AL225" t="n">
        <v>0</v>
      </c>
      <c r="AN225" t="n">
        <v>0</v>
      </c>
      <c r="AO225" t="n">
        <v>0</v>
      </c>
      <c r="AP225" t="n">
        <v>0</v>
      </c>
      <c r="AQ225" t="n">
        <v>24</v>
      </c>
      <c r="AR225" t="n">
        <v>0</v>
      </c>
    </row>
    <row r="226">
      <c r="A226" t="n">
        <v>200463</v>
      </c>
      <c r="B226" t="inlineStr">
        <is>
          <t>دکمه تایید و ادامه در فرم  مشاهده نتیجه کمیته پیغام خطا می دهد</t>
        </is>
      </c>
      <c r="D226" t="inlineStr">
        <is>
          <t>Medium</t>
        </is>
      </c>
      <c r="E226" t="n">
        <v>1</v>
      </c>
      <c r="F226" t="inlineStr">
        <is>
          <t>Closed</t>
        </is>
      </c>
      <c r="G226" t="inlineStr">
        <is>
          <t>Other</t>
        </is>
      </c>
      <c r="J226" t="inlineStr">
        <is>
          <t>Dem</t>
        </is>
      </c>
      <c r="K226" t="inlineStr">
        <is>
          <t>DemBiz</t>
        </is>
      </c>
      <c r="L226" t="inlineStr">
        <is>
          <t>Completed</t>
        </is>
      </c>
      <c r="M226" t="inlineStr">
        <is>
          <t>Hoseini Fatemeh</t>
        </is>
      </c>
      <c r="N226" t="inlineStr">
        <is>
          <t>Hajizadeh Elnaz</t>
        </is>
      </c>
      <c r="O226" s="42" t="n">
        <v>46014.43260416666</v>
      </c>
      <c r="Q226" s="42" t="n">
        <v>46014.43260416666</v>
      </c>
      <c r="S226" t="n">
        <v>0</v>
      </c>
      <c r="T226" s="42" t="n">
        <v>46014.43260416666</v>
      </c>
      <c r="Z226" s="42" t="n">
        <v>46014.43260416666</v>
      </c>
      <c r="AA226" t="n">
        <v>0</v>
      </c>
      <c r="AD226" t="n">
        <v>2</v>
      </c>
      <c r="AE226" t="n">
        <v>2</v>
      </c>
      <c r="AF226" t="n">
        <v>0</v>
      </c>
      <c r="AI226" t="n">
        <v>0</v>
      </c>
      <c r="AJ226" t="n">
        <v>0</v>
      </c>
      <c r="AK226" t="n">
        <v>0</v>
      </c>
      <c r="AL226" t="n">
        <v>0</v>
      </c>
      <c r="AN226" t="n">
        <v>0</v>
      </c>
      <c r="AO226" t="n">
        <v>0</v>
      </c>
      <c r="AP226" t="n">
        <v>0</v>
      </c>
      <c r="AQ226" t="n">
        <v>24</v>
      </c>
      <c r="AR226" t="n">
        <v>0</v>
      </c>
    </row>
    <row r="227">
      <c r="A227" t="n">
        <v>200466</v>
      </c>
      <c r="B227" t="inlineStr">
        <is>
          <t>نمایش دو ویرایش در گرید هیئت ها</t>
        </is>
      </c>
      <c r="D227" t="inlineStr">
        <is>
          <t>Medium</t>
        </is>
      </c>
      <c r="E227" t="n">
        <v>4</v>
      </c>
      <c r="F227" t="inlineStr">
        <is>
          <t>Active</t>
        </is>
      </c>
      <c r="G227" t="inlineStr">
        <is>
          <t>Other</t>
        </is>
      </c>
      <c r="I227" t="inlineStr">
        <is>
          <t>Bizagi_Team</t>
        </is>
      </c>
      <c r="J227" t="inlineStr">
        <is>
          <t>SAJAK</t>
        </is>
      </c>
      <c r="K227" t="inlineStr">
        <is>
          <t>Estate_Sprint 45</t>
        </is>
      </c>
      <c r="M227" t="inlineStr">
        <is>
          <t>Tedadi Abbas</t>
        </is>
      </c>
      <c r="Q227" s="42" t="n">
        <v>46006.69393518518</v>
      </c>
      <c r="S227" t="n">
        <v>0</v>
      </c>
      <c r="T227" s="42" t="n">
        <v>46006.69393518518</v>
      </c>
      <c r="AA227" t="n">
        <v>0</v>
      </c>
      <c r="AD227" t="n">
        <v>2</v>
      </c>
      <c r="AE227" t="n">
        <v>2</v>
      </c>
      <c r="AF227" t="n">
        <v>0</v>
      </c>
      <c r="AI227" t="n">
        <v>0</v>
      </c>
      <c r="AJ227" t="n">
        <v>0</v>
      </c>
      <c r="AM227" t="n">
        <v>11</v>
      </c>
      <c r="AN227" t="n">
        <v>0</v>
      </c>
      <c r="AO227" t="n">
        <v>0</v>
      </c>
      <c r="AP227" t="n">
        <v>0</v>
      </c>
      <c r="AQ227" t="n">
        <v>24</v>
      </c>
      <c r="AR227" t="n">
        <v>0</v>
      </c>
    </row>
    <row r="228">
      <c r="A228" t="n">
        <v>200472</v>
      </c>
      <c r="B228" t="inlineStr">
        <is>
          <t xml:space="preserve">generate شدن کد هیات فرد یا به عبارت دیگر به ازای هر هیئت که ثبت می شود کد هیئت بعدی به اضافه دو می شود </t>
        </is>
      </c>
      <c r="D228" t="inlineStr">
        <is>
          <t>Medium</t>
        </is>
      </c>
      <c r="E228" t="n">
        <v>4</v>
      </c>
      <c r="F228" t="inlineStr">
        <is>
          <t>Active</t>
        </is>
      </c>
      <c r="G228" t="inlineStr">
        <is>
          <t>Other</t>
        </is>
      </c>
      <c r="I228" t="inlineStr">
        <is>
          <t>Bizagi_Team</t>
        </is>
      </c>
      <c r="J228" t="inlineStr">
        <is>
          <t>SAJAK</t>
        </is>
      </c>
      <c r="K228" t="inlineStr">
        <is>
          <t>Estate_Sprint 45</t>
        </is>
      </c>
      <c r="M228" t="inlineStr">
        <is>
          <t>Kalaei Saman</t>
        </is>
      </c>
      <c r="Q228" s="42" t="n">
        <v>46011.57063657408</v>
      </c>
      <c r="S228" t="n">
        <v>0</v>
      </c>
      <c r="T228" s="42" t="n">
        <v>46011.57063657408</v>
      </c>
      <c r="AA228" t="n">
        <v>0</v>
      </c>
      <c r="AD228" t="n">
        <v>2</v>
      </c>
      <c r="AE228" t="n">
        <v>2</v>
      </c>
      <c r="AF228" t="n">
        <v>0</v>
      </c>
      <c r="AI228" t="n">
        <v>0</v>
      </c>
      <c r="AJ228" t="n">
        <v>0</v>
      </c>
      <c r="AM228" t="n">
        <v>6</v>
      </c>
      <c r="AN228" t="n">
        <v>0</v>
      </c>
      <c r="AO228" t="n">
        <v>0</v>
      </c>
      <c r="AP228" t="n">
        <v>0</v>
      </c>
      <c r="AQ228" t="n">
        <v>24</v>
      </c>
      <c r="AR228" t="n">
        <v>0</v>
      </c>
    </row>
    <row r="229">
      <c r="A229" t="n">
        <v>200473</v>
      </c>
      <c r="B229" t="inlineStr">
        <is>
          <t>نمایش حروف اضافه در گرید هیات ها</t>
        </is>
      </c>
      <c r="D229" t="inlineStr">
        <is>
          <t>Medium</t>
        </is>
      </c>
      <c r="E229" t="n">
        <v>4</v>
      </c>
      <c r="F229" t="inlineStr">
        <is>
          <t>Resolved</t>
        </is>
      </c>
      <c r="G229" t="inlineStr">
        <is>
          <t>Other</t>
        </is>
      </c>
      <c r="I229" t="inlineStr">
        <is>
          <t>Bizagi_Team</t>
        </is>
      </c>
      <c r="J229" t="inlineStr">
        <is>
          <t>SAJAK</t>
        </is>
      </c>
      <c r="K229" t="inlineStr">
        <is>
          <t>Estate_Sprint 45</t>
        </is>
      </c>
      <c r="M229" t="inlineStr">
        <is>
          <t>Tedadi Abbas</t>
        </is>
      </c>
      <c r="P229" s="42" t="n">
        <v>46011.58065972223</v>
      </c>
      <c r="Q229" s="42" t="n">
        <v>46011.58065972223</v>
      </c>
      <c r="S229" t="n">
        <v>0</v>
      </c>
      <c r="T229" s="42" t="n">
        <v>46011.58065972223</v>
      </c>
      <c r="AA229" t="n">
        <v>0</v>
      </c>
      <c r="AD229" t="n">
        <v>2</v>
      </c>
      <c r="AE229" t="n">
        <v>2</v>
      </c>
      <c r="AF229" t="n">
        <v>0</v>
      </c>
      <c r="AI229" t="n">
        <v>0</v>
      </c>
      <c r="AJ229" t="n">
        <v>0</v>
      </c>
      <c r="AN229" t="n">
        <v>0</v>
      </c>
      <c r="AO229" t="n">
        <v>0</v>
      </c>
      <c r="AP229" t="n">
        <v>0</v>
      </c>
      <c r="AQ229" t="n">
        <v>24</v>
      </c>
      <c r="AR229" t="n">
        <v>0</v>
      </c>
    </row>
    <row r="230">
      <c r="A230" t="n">
        <v>200474</v>
      </c>
      <c r="B230" t="inlineStr">
        <is>
          <t>گزارش کلی فاکتور - خطا در بارگذاری فرم گزارش کلی فاکتور و عدم نمایش صفحه</t>
        </is>
      </c>
      <c r="D230" t="inlineStr">
        <is>
          <t>Medium</t>
        </is>
      </c>
      <c r="E230" t="n">
        <v>1</v>
      </c>
      <c r="F230" t="inlineStr">
        <is>
          <t>New</t>
        </is>
      </c>
      <c r="G230" t="inlineStr">
        <is>
          <t>Other</t>
        </is>
      </c>
      <c r="I230" t="inlineStr">
        <is>
          <t>ISSo2; PH3; PL1; PRJ_046; RR3; ST2</t>
        </is>
      </c>
      <c r="J230" t="inlineStr">
        <is>
          <t>Transportation</t>
        </is>
      </c>
      <c r="K230" t="inlineStr">
        <is>
          <t>Sp_25</t>
        </is>
      </c>
      <c r="M230" t="inlineStr">
        <is>
          <t>Homayoun Mohammad</t>
        </is>
      </c>
      <c r="Q230" s="42" t="n">
        <v>46018.46</v>
      </c>
      <c r="S230" t="n">
        <v>0</v>
      </c>
      <c r="T230" s="42" t="n">
        <v>46018.46</v>
      </c>
      <c r="AA230" t="n">
        <v>0</v>
      </c>
      <c r="AD230" t="n">
        <v>2</v>
      </c>
      <c r="AE230" t="n">
        <v>2</v>
      </c>
      <c r="AF230" t="n">
        <v>0</v>
      </c>
      <c r="AI230" t="n">
        <v>0</v>
      </c>
      <c r="AJ230" t="n">
        <v>0</v>
      </c>
      <c r="AM230" t="n">
        <v>-1</v>
      </c>
      <c r="AN230" t="n">
        <v>0</v>
      </c>
      <c r="AO230" t="n">
        <v>0</v>
      </c>
      <c r="AP230" t="n">
        <v>0</v>
      </c>
      <c r="AQ230" t="n">
        <v>24</v>
      </c>
      <c r="AR230" t="n">
        <v>0</v>
      </c>
    </row>
    <row r="231">
      <c r="A231" t="n">
        <v>200515</v>
      </c>
      <c r="B231" t="inlineStr">
        <is>
          <t>امکان افزودن اعضا به هیئت از دو طریق</t>
        </is>
      </c>
      <c r="D231" t="inlineStr">
        <is>
          <t>Medium</t>
        </is>
      </c>
      <c r="E231" t="n">
        <v>4</v>
      </c>
      <c r="F231" t="inlineStr">
        <is>
          <t>Open</t>
        </is>
      </c>
      <c r="G231" t="inlineStr">
        <is>
          <t>Other</t>
        </is>
      </c>
      <c r="I231" t="inlineStr">
        <is>
          <t>Bizagi_Team</t>
        </is>
      </c>
      <c r="J231" t="inlineStr">
        <is>
          <t>SAJAK</t>
        </is>
      </c>
      <c r="K231" t="inlineStr">
        <is>
          <t>Estate_Sprint 45</t>
        </is>
      </c>
      <c r="M231" t="inlineStr">
        <is>
          <t>Tedadi Abbas</t>
        </is>
      </c>
      <c r="Q231" s="42" t="n">
        <v>46004.59928240741</v>
      </c>
      <c r="S231" t="n">
        <v>0</v>
      </c>
      <c r="T231" s="42" t="n">
        <v>46004.59928240741</v>
      </c>
      <c r="AA231" t="n">
        <v>0</v>
      </c>
      <c r="AD231" t="n">
        <v>2</v>
      </c>
      <c r="AE231" t="n">
        <v>2</v>
      </c>
      <c r="AF231" t="n">
        <v>0</v>
      </c>
      <c r="AI231" t="n">
        <v>0</v>
      </c>
      <c r="AJ231" t="n">
        <v>0</v>
      </c>
      <c r="AM231" t="n">
        <v>13</v>
      </c>
      <c r="AN231" t="n">
        <v>0</v>
      </c>
      <c r="AO231" t="n">
        <v>0</v>
      </c>
      <c r="AP231" t="n">
        <v>0</v>
      </c>
      <c r="AQ231" t="n">
        <v>24</v>
      </c>
      <c r="AR231" t="n">
        <v>0</v>
      </c>
    </row>
    <row r="232">
      <c r="A232" t="n">
        <v>200320</v>
      </c>
      <c r="B232" t="inlineStr">
        <is>
          <t xml:space="preserve">عدم درست بودن فرمت صورت مجلس تفکیکی دانلود شده </t>
        </is>
      </c>
      <c r="D232" t="inlineStr">
        <is>
          <t>Medium</t>
        </is>
      </c>
      <c r="E232" t="n">
        <v>2</v>
      </c>
      <c r="F232" t="inlineStr">
        <is>
          <t>Active</t>
        </is>
      </c>
      <c r="G232" t="inlineStr">
        <is>
          <t>Other</t>
        </is>
      </c>
      <c r="I232" t="inlineStr">
        <is>
          <t>Bizagi_Team</t>
        </is>
      </c>
      <c r="J232" t="inlineStr">
        <is>
          <t>SAJAK</t>
        </is>
      </c>
      <c r="K232" t="inlineStr">
        <is>
          <t>Estate_Sprint 45</t>
        </is>
      </c>
      <c r="M232" t="inlineStr">
        <is>
          <t>Tedadi Abbas</t>
        </is>
      </c>
      <c r="Q232" s="42" t="n">
        <v>46006.67533564815</v>
      </c>
      <c r="S232" t="n">
        <v>0</v>
      </c>
      <c r="T232" s="42" t="n">
        <v>46006.67533564815</v>
      </c>
      <c r="AA232" t="n">
        <v>0</v>
      </c>
      <c r="AD232" t="n">
        <v>2</v>
      </c>
      <c r="AE232" t="n">
        <v>2</v>
      </c>
      <c r="AF232" t="n">
        <v>0</v>
      </c>
      <c r="AI232" t="n">
        <v>0</v>
      </c>
      <c r="AJ232" t="n">
        <v>0</v>
      </c>
      <c r="AM232" t="n">
        <v>11</v>
      </c>
      <c r="AN232" t="n">
        <v>0</v>
      </c>
      <c r="AO232" t="n">
        <v>0</v>
      </c>
      <c r="AP232" t="n">
        <v>0</v>
      </c>
      <c r="AQ232" t="n">
        <v>24</v>
      </c>
      <c r="AR232" t="n">
        <v>0</v>
      </c>
    </row>
    <row r="233">
      <c r="A233" t="n">
        <v>200358</v>
      </c>
      <c r="B233" t="inlineStr">
        <is>
          <t xml:space="preserve">استفاده از پروتکل ناامن HTTP </t>
        </is>
      </c>
      <c r="D233" t="inlineStr">
        <is>
          <t>Medium</t>
        </is>
      </c>
      <c r="E233" t="n">
        <v>2</v>
      </c>
      <c r="F233" t="inlineStr">
        <is>
          <t>Open</t>
        </is>
      </c>
      <c r="G233" t="inlineStr">
        <is>
          <t>Other</t>
        </is>
      </c>
      <c r="J233" t="inlineStr">
        <is>
          <t>SAJAK</t>
        </is>
      </c>
      <c r="K233" t="inlineStr">
        <is>
          <t>Tech_Sprint 45</t>
        </is>
      </c>
      <c r="M233" t="inlineStr">
        <is>
          <t>Zohari Sami</t>
        </is>
      </c>
      <c r="Q233" s="42" t="n">
        <v>46001.79880787037</v>
      </c>
      <c r="S233" t="n">
        <v>0</v>
      </c>
      <c r="T233" s="42" t="n">
        <v>46001.79880787037</v>
      </c>
      <c r="AA233" t="n">
        <v>0</v>
      </c>
      <c r="AD233" t="n">
        <v>2</v>
      </c>
      <c r="AE233" t="n">
        <v>2</v>
      </c>
      <c r="AF233" t="n">
        <v>0</v>
      </c>
      <c r="AI233" t="n">
        <v>0</v>
      </c>
      <c r="AJ233" t="n">
        <v>0</v>
      </c>
      <c r="AM233" t="n">
        <v>16</v>
      </c>
      <c r="AN233" t="n">
        <v>0</v>
      </c>
      <c r="AO233" t="n">
        <v>0</v>
      </c>
      <c r="AP233" t="n">
        <v>0</v>
      </c>
      <c r="AQ233" t="n">
        <v>24</v>
      </c>
      <c r="AR233" t="n">
        <v>0</v>
      </c>
    </row>
    <row r="234">
      <c r="A234" t="n">
        <v>200314</v>
      </c>
      <c r="B234" t="inlineStr">
        <is>
          <t xml:space="preserve">عدم اعمال اصلاحیات انجام شده بر روی صورتمجلس تفکیکی </t>
        </is>
      </c>
      <c r="D234" t="inlineStr">
        <is>
          <t>Medium</t>
        </is>
      </c>
      <c r="E234" t="n">
        <v>2</v>
      </c>
      <c r="F234" t="inlineStr">
        <is>
          <t>Ready for Retest</t>
        </is>
      </c>
      <c r="G234" t="inlineStr">
        <is>
          <t>Other</t>
        </is>
      </c>
      <c r="I234" t="inlineStr">
        <is>
          <t>Bizagi_Team</t>
        </is>
      </c>
      <c r="J234" t="inlineStr">
        <is>
          <t>SAJAK</t>
        </is>
      </c>
      <c r="K234" t="inlineStr">
        <is>
          <t>Estate_Sprint 45</t>
        </is>
      </c>
      <c r="M234" t="inlineStr">
        <is>
          <t>Tedadi Abbas</t>
        </is>
      </c>
      <c r="Q234" s="42" t="n">
        <v>46011.4296875</v>
      </c>
      <c r="S234" t="n">
        <v>0</v>
      </c>
      <c r="T234" s="42" t="n">
        <v>46011.4296875</v>
      </c>
      <c r="AA234" t="n">
        <v>0</v>
      </c>
      <c r="AD234" t="n">
        <v>2</v>
      </c>
      <c r="AE234" t="n">
        <v>2</v>
      </c>
      <c r="AF234" t="n">
        <v>0</v>
      </c>
      <c r="AI234" t="n">
        <v>0</v>
      </c>
      <c r="AJ234" t="n">
        <v>0</v>
      </c>
      <c r="AN234" t="n">
        <v>0</v>
      </c>
      <c r="AO234" t="n">
        <v>0</v>
      </c>
      <c r="AP234" t="n">
        <v>0</v>
      </c>
      <c r="AQ234" t="n">
        <v>24</v>
      </c>
      <c r="AR234" t="n">
        <v>0</v>
      </c>
    </row>
    <row r="235">
      <c r="A235" t="n">
        <v>199828</v>
      </c>
      <c r="B235" t="inlineStr">
        <is>
          <t>عدم سیو شدن ، دیتای در فرم لینک بازدید از محل در فرم تکمیل اطلاعات  /1382</t>
        </is>
      </c>
      <c r="D235" t="inlineStr">
        <is>
          <t>Medium</t>
        </is>
      </c>
      <c r="E235" t="n">
        <v>1</v>
      </c>
      <c r="F235" t="inlineStr">
        <is>
          <t>Closed</t>
        </is>
      </c>
      <c r="G235" t="inlineStr">
        <is>
          <t>Other</t>
        </is>
      </c>
      <c r="J235" t="inlineStr">
        <is>
          <t>Dem</t>
        </is>
      </c>
      <c r="K235" t="inlineStr">
        <is>
          <t>DemBiz</t>
        </is>
      </c>
      <c r="M235" t="inlineStr">
        <is>
          <t>Moradi Mohammad</t>
        </is>
      </c>
      <c r="N235" t="inlineStr">
        <is>
          <t>Hajizadeh Elnaz</t>
        </is>
      </c>
      <c r="O235" s="42" t="n">
        <v>45999.49063657408</v>
      </c>
      <c r="Q235" s="42" t="n">
        <v>45999.49063657408</v>
      </c>
      <c r="S235" t="n">
        <v>0</v>
      </c>
      <c r="T235" s="42" t="n">
        <v>45999.49063657408</v>
      </c>
      <c r="Z235" s="42" t="n">
        <v>45999.49063657408</v>
      </c>
      <c r="AA235" t="n">
        <v>0</v>
      </c>
      <c r="AD235" t="n">
        <v>2</v>
      </c>
      <c r="AE235" t="n">
        <v>2</v>
      </c>
      <c r="AF235" t="n">
        <v>0</v>
      </c>
      <c r="AI235" t="n">
        <v>0</v>
      </c>
      <c r="AJ235" t="n">
        <v>0</v>
      </c>
      <c r="AK235" t="n">
        <v>0</v>
      </c>
      <c r="AL235" t="n">
        <v>0</v>
      </c>
      <c r="AN235" t="n">
        <v>0</v>
      </c>
      <c r="AO235" t="n">
        <v>0</v>
      </c>
      <c r="AP235" t="n">
        <v>0</v>
      </c>
      <c r="AQ235" t="n">
        <v>24</v>
      </c>
      <c r="AR235" t="n">
        <v>0</v>
      </c>
    </row>
    <row r="236">
      <c r="A236" t="n">
        <v>199830</v>
      </c>
      <c r="B236" t="inlineStr">
        <is>
          <t>کمبو مصوبات قبلی در ثبت سوابق اعتباری   رکورد نال نمایش می دهد /1382</t>
        </is>
      </c>
      <c r="D236" t="inlineStr">
        <is>
          <t>Medium</t>
        </is>
      </c>
      <c r="E236" t="n">
        <v>1</v>
      </c>
      <c r="F236" t="inlineStr">
        <is>
          <t>Closed</t>
        </is>
      </c>
      <c r="G236" t="inlineStr">
        <is>
          <t>Other</t>
        </is>
      </c>
      <c r="J236" t="inlineStr">
        <is>
          <t>Dem</t>
        </is>
      </c>
      <c r="K236" t="inlineStr">
        <is>
          <t>DemBiz</t>
        </is>
      </c>
      <c r="M236" t="inlineStr">
        <is>
          <t>Moradi Mohammad</t>
        </is>
      </c>
      <c r="N236" t="inlineStr">
        <is>
          <t>Hajizadeh Elnaz</t>
        </is>
      </c>
      <c r="O236" s="42" t="n">
        <v>45999.49331018519</v>
      </c>
      <c r="Q236" s="42" t="n">
        <v>45999.49331018519</v>
      </c>
      <c r="S236" t="n">
        <v>0</v>
      </c>
      <c r="T236" s="42" t="n">
        <v>45999.49331018519</v>
      </c>
      <c r="Z236" s="42" t="n">
        <v>45999.49331018519</v>
      </c>
      <c r="AA236" t="n">
        <v>0</v>
      </c>
      <c r="AD236" t="n">
        <v>2</v>
      </c>
      <c r="AE236" t="n">
        <v>2</v>
      </c>
      <c r="AF236" t="n">
        <v>0</v>
      </c>
      <c r="AI236" t="n">
        <v>0</v>
      </c>
      <c r="AJ236" t="n">
        <v>0</v>
      </c>
      <c r="AK236" t="n">
        <v>0</v>
      </c>
      <c r="AL236" t="n">
        <v>0</v>
      </c>
      <c r="AN236" t="n">
        <v>0</v>
      </c>
      <c r="AO236" t="n">
        <v>0</v>
      </c>
      <c r="AP236" t="n">
        <v>0</v>
      </c>
      <c r="AQ236" t="n">
        <v>24</v>
      </c>
      <c r="AR236" t="n">
        <v>0</v>
      </c>
    </row>
    <row r="237">
      <c r="A237" t="n">
        <v>199832</v>
      </c>
      <c r="B237" t="inlineStr">
        <is>
          <t xml:space="preserve">عدم حذف دیتا با کلیک بر  اکشن علامت ضربدر / 1382 </t>
        </is>
      </c>
      <c r="D237" t="inlineStr">
        <is>
          <t>Medium</t>
        </is>
      </c>
      <c r="E237" t="n">
        <v>1</v>
      </c>
      <c r="F237" t="inlineStr">
        <is>
          <t>Closed</t>
        </is>
      </c>
      <c r="G237" t="inlineStr">
        <is>
          <t>Other</t>
        </is>
      </c>
      <c r="J237" t="inlineStr">
        <is>
          <t>Dem</t>
        </is>
      </c>
      <c r="K237" t="inlineStr">
        <is>
          <t>DemBiz</t>
        </is>
      </c>
      <c r="M237" t="inlineStr">
        <is>
          <t>Moradi Mohammad</t>
        </is>
      </c>
      <c r="N237" t="inlineStr">
        <is>
          <t>Hajizadeh Elnaz</t>
        </is>
      </c>
      <c r="O237" s="42" t="n">
        <v>45999.35833333333</v>
      </c>
      <c r="Q237" s="42" t="n">
        <v>45999.35833333333</v>
      </c>
      <c r="S237" t="n">
        <v>0</v>
      </c>
      <c r="T237" s="42" t="n">
        <v>45999.35833333333</v>
      </c>
      <c r="Z237" s="42" t="n">
        <v>45999.35833333333</v>
      </c>
      <c r="AA237" t="n">
        <v>0</v>
      </c>
      <c r="AD237" t="n">
        <v>2</v>
      </c>
      <c r="AE237" t="n">
        <v>2</v>
      </c>
      <c r="AF237" t="n">
        <v>0</v>
      </c>
      <c r="AI237" t="n">
        <v>0</v>
      </c>
      <c r="AJ237" t="n">
        <v>0</v>
      </c>
      <c r="AK237" t="n">
        <v>0</v>
      </c>
      <c r="AL237" t="n">
        <v>0</v>
      </c>
      <c r="AN237" t="n">
        <v>0</v>
      </c>
      <c r="AO237" t="n">
        <v>0</v>
      </c>
      <c r="AP237" t="n">
        <v>0</v>
      </c>
      <c r="AQ237" t="n">
        <v>24</v>
      </c>
      <c r="AR237" t="n">
        <v>0</v>
      </c>
    </row>
    <row r="238">
      <c r="A238" t="n">
        <v>199834</v>
      </c>
      <c r="B238" t="inlineStr">
        <is>
          <t>عدم سیوم شدن دیتاهای سهامدار جدید در  لینک سهامدار /1382</t>
        </is>
      </c>
      <c r="D238" t="inlineStr">
        <is>
          <t>Medium</t>
        </is>
      </c>
      <c r="E238" t="n">
        <v>1</v>
      </c>
      <c r="F238" t="inlineStr">
        <is>
          <t>Closed</t>
        </is>
      </c>
      <c r="G238" t="inlineStr">
        <is>
          <t>Other</t>
        </is>
      </c>
      <c r="J238" t="inlineStr">
        <is>
          <t>Dem</t>
        </is>
      </c>
      <c r="K238" t="inlineStr">
        <is>
          <t>DemBiz</t>
        </is>
      </c>
      <c r="M238" t="inlineStr">
        <is>
          <t>Moradi Mohammad</t>
        </is>
      </c>
      <c r="N238" t="inlineStr">
        <is>
          <t>Hajizadeh Elnaz</t>
        </is>
      </c>
      <c r="O238" s="42" t="n">
        <v>45999.35958333333</v>
      </c>
      <c r="Q238" s="42" t="n">
        <v>45999.35958333333</v>
      </c>
      <c r="S238" t="n">
        <v>0</v>
      </c>
      <c r="T238" s="42" t="n">
        <v>45999.35958333333</v>
      </c>
      <c r="Z238" s="42" t="n">
        <v>45999.35958333333</v>
      </c>
      <c r="AA238" t="n">
        <v>0</v>
      </c>
      <c r="AD238" t="n">
        <v>2</v>
      </c>
      <c r="AE238" t="n">
        <v>2</v>
      </c>
      <c r="AF238" t="n">
        <v>0</v>
      </c>
      <c r="AI238" t="n">
        <v>0</v>
      </c>
      <c r="AJ238" t="n">
        <v>0</v>
      </c>
      <c r="AK238" t="n">
        <v>0</v>
      </c>
      <c r="AL238" t="n">
        <v>0</v>
      </c>
      <c r="AN238" t="n">
        <v>0</v>
      </c>
      <c r="AO238" t="n">
        <v>0</v>
      </c>
      <c r="AP238" t="n">
        <v>0</v>
      </c>
      <c r="AQ238" t="n">
        <v>24</v>
      </c>
      <c r="AR238" t="n">
        <v>0</v>
      </c>
    </row>
    <row r="239">
      <c r="A239" t="n">
        <v>199837</v>
      </c>
      <c r="B239" t="inlineStr">
        <is>
          <t>عدم سیو شدن دیتای اطلاعات تماس / 1382</t>
        </is>
      </c>
      <c r="D239" t="inlineStr">
        <is>
          <t>Medium</t>
        </is>
      </c>
      <c r="E239" t="n">
        <v>1</v>
      </c>
      <c r="F239" t="inlineStr">
        <is>
          <t>Closed</t>
        </is>
      </c>
      <c r="G239" t="inlineStr">
        <is>
          <t>Other</t>
        </is>
      </c>
      <c r="J239" t="inlineStr">
        <is>
          <t>Dem</t>
        </is>
      </c>
      <c r="K239" t="inlineStr">
        <is>
          <t>DemBiz</t>
        </is>
      </c>
      <c r="M239" t="inlineStr">
        <is>
          <t>Moradi Mohammad</t>
        </is>
      </c>
      <c r="N239" t="inlineStr">
        <is>
          <t>Hajizadeh Elnaz</t>
        </is>
      </c>
      <c r="O239" s="42" t="n">
        <v>45999.35814814815</v>
      </c>
      <c r="Q239" s="42" t="n">
        <v>45999.35814814815</v>
      </c>
      <c r="S239" t="n">
        <v>0</v>
      </c>
      <c r="T239" s="42" t="n">
        <v>45999.35814814815</v>
      </c>
      <c r="Z239" s="42" t="n">
        <v>45999.35814814815</v>
      </c>
      <c r="AA239" t="n">
        <v>0</v>
      </c>
      <c r="AD239" t="n">
        <v>2</v>
      </c>
      <c r="AE239" t="n">
        <v>2</v>
      </c>
      <c r="AF239" t="n">
        <v>0</v>
      </c>
      <c r="AI239" t="n">
        <v>0</v>
      </c>
      <c r="AJ239" t="n">
        <v>0</v>
      </c>
      <c r="AK239" t="n">
        <v>0</v>
      </c>
      <c r="AL239" t="n">
        <v>0</v>
      </c>
      <c r="AN239" t="n">
        <v>0</v>
      </c>
      <c r="AO239" t="n">
        <v>0</v>
      </c>
      <c r="AP239" t="n">
        <v>0</v>
      </c>
      <c r="AQ239" t="n">
        <v>24</v>
      </c>
      <c r="AR239" t="n">
        <v>0</v>
      </c>
    </row>
    <row r="240">
      <c r="A240" t="n">
        <v>200220</v>
      </c>
      <c r="B240" t="inlineStr">
        <is>
          <t xml:space="preserve">در هنگام ثبت پرونده در جلسه هیئت با کد رهگیری درخواست یا کد رهگیری پرونده با خطا مواجه می شویم </t>
        </is>
      </c>
      <c r="D240" t="inlineStr">
        <is>
          <t>Medium</t>
        </is>
      </c>
      <c r="E240" t="n">
        <v>1</v>
      </c>
      <c r="F240" t="inlineStr">
        <is>
          <t>Active</t>
        </is>
      </c>
      <c r="G240" t="inlineStr">
        <is>
          <t>Other</t>
        </is>
      </c>
      <c r="I240" t="inlineStr">
        <is>
          <t>Bizagi_Team</t>
        </is>
      </c>
      <c r="J240" t="inlineStr">
        <is>
          <t>SAJAK</t>
        </is>
      </c>
      <c r="K240" t="inlineStr">
        <is>
          <t>Estate_Sprint 45</t>
        </is>
      </c>
      <c r="M240" t="inlineStr">
        <is>
          <t>Tedadi Abbas</t>
        </is>
      </c>
      <c r="Q240" s="42" t="n">
        <v>46011.43278935185</v>
      </c>
      <c r="S240" t="n">
        <v>0</v>
      </c>
      <c r="T240" s="42" t="n">
        <v>46011.43278935185</v>
      </c>
      <c r="AA240" t="n">
        <v>0</v>
      </c>
      <c r="AD240" t="n">
        <v>2</v>
      </c>
      <c r="AE240" t="n">
        <v>2</v>
      </c>
      <c r="AF240" t="n">
        <v>0</v>
      </c>
      <c r="AI240" t="n">
        <v>0</v>
      </c>
      <c r="AJ240" t="n">
        <v>0</v>
      </c>
      <c r="AM240" t="n">
        <v>6</v>
      </c>
      <c r="AN240" t="n">
        <v>0</v>
      </c>
      <c r="AO240" t="n">
        <v>0</v>
      </c>
      <c r="AP240" t="n">
        <v>0</v>
      </c>
      <c r="AQ240" t="n">
        <v>24</v>
      </c>
      <c r="AR240" t="n">
        <v>0</v>
      </c>
    </row>
    <row r="241">
      <c r="A241" t="n">
        <v>200225</v>
      </c>
      <c r="B241" t="inlineStr">
        <is>
          <t xml:space="preserve">در هنگام ثبت هیئت جدید دراپ دان مشخصات واحد سازمانی هیئت خالی نمایش داده می شوند </t>
        </is>
      </c>
      <c r="D241" t="inlineStr">
        <is>
          <t>Medium</t>
        </is>
      </c>
      <c r="E241" t="n">
        <v>4</v>
      </c>
      <c r="F241" t="inlineStr">
        <is>
          <t>Resolved</t>
        </is>
      </c>
      <c r="G241" t="inlineStr">
        <is>
          <t>Other</t>
        </is>
      </c>
      <c r="I241" t="inlineStr">
        <is>
          <t>Bizagi_Team</t>
        </is>
      </c>
      <c r="J241" t="inlineStr">
        <is>
          <t>SAJAK</t>
        </is>
      </c>
      <c r="K241" t="inlineStr">
        <is>
          <t>Estate_Sprint 45</t>
        </is>
      </c>
      <c r="M241" t="inlineStr">
        <is>
          <t>Kalaei Saman</t>
        </is>
      </c>
      <c r="P241" s="42" t="n">
        <v>46013.5662962963</v>
      </c>
      <c r="Q241" s="42" t="n">
        <v>46013.5662962963</v>
      </c>
      <c r="S241" t="n">
        <v>0</v>
      </c>
      <c r="T241" s="42" t="n">
        <v>46013.5662962963</v>
      </c>
      <c r="AA241" t="n">
        <v>0</v>
      </c>
      <c r="AD241" t="n">
        <v>2</v>
      </c>
      <c r="AE241" t="n">
        <v>2</v>
      </c>
      <c r="AF241" t="n">
        <v>0</v>
      </c>
      <c r="AI241" t="n">
        <v>0</v>
      </c>
      <c r="AJ241" t="n">
        <v>0</v>
      </c>
      <c r="AN241" t="n">
        <v>0</v>
      </c>
      <c r="AO241" t="n">
        <v>0</v>
      </c>
      <c r="AP241" t="n">
        <v>0</v>
      </c>
      <c r="AQ241" t="n">
        <v>24</v>
      </c>
      <c r="AR241" t="n">
        <v>0</v>
      </c>
    </row>
    <row r="242">
      <c r="A242" t="n">
        <v>200228</v>
      </c>
      <c r="B242" t="inlineStr">
        <is>
          <t xml:space="preserve">اضافه نشدن رکرود جدید به جلسات هیئت با وجود اضافه کردن هیئت جدید </t>
        </is>
      </c>
      <c r="D242" t="inlineStr">
        <is>
          <t>Medium</t>
        </is>
      </c>
      <c r="E242" t="n">
        <v>4</v>
      </c>
      <c r="F242" t="inlineStr">
        <is>
          <t>Ready for Retest</t>
        </is>
      </c>
      <c r="G242" t="inlineStr">
        <is>
          <t>Other</t>
        </is>
      </c>
      <c r="I242" t="inlineStr">
        <is>
          <t>Bizagi_Team</t>
        </is>
      </c>
      <c r="J242" t="inlineStr">
        <is>
          <t>SAJAK</t>
        </is>
      </c>
      <c r="K242" t="inlineStr">
        <is>
          <t>Estate_Sprint 45</t>
        </is>
      </c>
      <c r="M242" t="inlineStr">
        <is>
          <t>Tedadi Abbas</t>
        </is>
      </c>
      <c r="Q242" s="42" t="n">
        <v>46011.69699074074</v>
      </c>
      <c r="S242" t="n">
        <v>0</v>
      </c>
      <c r="T242" s="42" t="n">
        <v>46011.69699074074</v>
      </c>
      <c r="AA242" t="n">
        <v>0</v>
      </c>
      <c r="AD242" t="n">
        <v>2</v>
      </c>
      <c r="AE242" t="n">
        <v>2</v>
      </c>
      <c r="AF242" t="n">
        <v>0</v>
      </c>
      <c r="AI242" t="n">
        <v>0</v>
      </c>
      <c r="AJ242" t="n">
        <v>0</v>
      </c>
      <c r="AN242" t="n">
        <v>0</v>
      </c>
      <c r="AO242" t="n">
        <v>0</v>
      </c>
      <c r="AP242" t="n">
        <v>0</v>
      </c>
      <c r="AQ242" t="n">
        <v>24</v>
      </c>
      <c r="AR242" t="n">
        <v>0</v>
      </c>
    </row>
    <row r="243">
      <c r="A243" t="n">
        <v>200248</v>
      </c>
      <c r="B243" t="inlineStr">
        <is>
          <t>بایگانی  -عدم امکان ثبت اطلاعات کارتن    s.kh</t>
        </is>
      </c>
      <c r="D243" t="inlineStr">
        <is>
          <t>Medium</t>
        </is>
      </c>
      <c r="E243" t="n">
        <v>2</v>
      </c>
      <c r="F243" t="inlineStr">
        <is>
          <t>Closed</t>
        </is>
      </c>
      <c r="G243" t="inlineStr">
        <is>
          <t>Other</t>
        </is>
      </c>
      <c r="J243" t="inlineStr">
        <is>
          <t>Stagnant Archive</t>
        </is>
      </c>
      <c r="K243" t="inlineStr">
        <is>
          <t>Sp_22</t>
        </is>
      </c>
      <c r="L243" t="inlineStr">
        <is>
          <t>Completed</t>
        </is>
      </c>
      <c r="M243" t="inlineStr">
        <is>
          <t>Hajkhalil Mehrzad</t>
        </is>
      </c>
      <c r="N243" t="inlineStr">
        <is>
          <t>Khodabakhsh Sadaf</t>
        </is>
      </c>
      <c r="O243" s="42" t="n">
        <v>46005.6322337963</v>
      </c>
      <c r="Q243" s="42" t="n">
        <v>46005.6322337963</v>
      </c>
      <c r="S243" t="n">
        <v>0</v>
      </c>
      <c r="T243" s="42" t="n">
        <v>46005.6322337963</v>
      </c>
      <c r="Z243" s="42" t="n">
        <v>46005.6322337963</v>
      </c>
      <c r="AA243" t="n">
        <v>0</v>
      </c>
      <c r="AD243" t="n">
        <v>2</v>
      </c>
      <c r="AE243" t="n">
        <v>2</v>
      </c>
      <c r="AF243" t="n">
        <v>0</v>
      </c>
      <c r="AI243" t="n">
        <v>0</v>
      </c>
      <c r="AJ243" t="n">
        <v>0</v>
      </c>
      <c r="AK243" t="n">
        <v>0</v>
      </c>
      <c r="AL243" t="n">
        <v>0</v>
      </c>
      <c r="AN243" t="n">
        <v>0</v>
      </c>
      <c r="AO243" t="n">
        <v>0</v>
      </c>
      <c r="AP243" t="n">
        <v>0</v>
      </c>
      <c r="AQ243" t="n">
        <v>24</v>
      </c>
      <c r="AR243" t="n">
        <v>0</v>
      </c>
    </row>
    <row r="244">
      <c r="A244" t="n">
        <v>200290</v>
      </c>
      <c r="B244" t="inlineStr">
        <is>
          <t>معاینه فنی خودرو - عدم حذف خودکار مدارک قدیمی از جدول اسناد پس از ویرایش معاینه فنی (از طریق ثبت/ویرایش خودرو)</t>
        </is>
      </c>
      <c r="D244" t="inlineStr">
        <is>
          <t>Medium</t>
        </is>
      </c>
      <c r="E244" t="n">
        <v>2</v>
      </c>
      <c r="F244" t="inlineStr">
        <is>
          <t>New</t>
        </is>
      </c>
      <c r="G244" t="inlineStr">
        <is>
          <t>Other</t>
        </is>
      </c>
      <c r="J244" t="inlineStr">
        <is>
          <t>Transportation</t>
        </is>
      </c>
      <c r="K244" t="inlineStr">
        <is>
          <t>Sp_25</t>
        </is>
      </c>
      <c r="M244" t="inlineStr">
        <is>
          <t>Homayoun Mohammad</t>
        </is>
      </c>
      <c r="Q244" s="42" t="n">
        <v>46018.45912037037</v>
      </c>
      <c r="S244" t="n">
        <v>0</v>
      </c>
      <c r="T244" s="42" t="n">
        <v>46018.45912037037</v>
      </c>
      <c r="AA244" t="n">
        <v>0</v>
      </c>
      <c r="AD244" t="n">
        <v>2</v>
      </c>
      <c r="AE244" t="n">
        <v>2</v>
      </c>
      <c r="AF244" t="n">
        <v>0</v>
      </c>
      <c r="AI244" t="n">
        <v>0</v>
      </c>
      <c r="AJ244" t="n">
        <v>0</v>
      </c>
      <c r="AM244" t="n">
        <v>-1</v>
      </c>
      <c r="AN244" t="n">
        <v>0</v>
      </c>
      <c r="AO244" t="n">
        <v>0</v>
      </c>
      <c r="AP244" t="n">
        <v>0</v>
      </c>
      <c r="AQ244" t="n">
        <v>24</v>
      </c>
      <c r="AR244" t="n">
        <v>0</v>
      </c>
    </row>
    <row r="245">
      <c r="A245" t="n">
        <v>200294</v>
      </c>
      <c r="B245" t="inlineStr">
        <is>
          <t>ثبت بیمه از طریق فرم ثبت/ویرایش خودرو: عدم نمایش مقدار "شخص ثالث" در فیلد نوع بیمه در تب بیمه فرم مشاهده جزئیات</t>
        </is>
      </c>
      <c r="D245" t="inlineStr">
        <is>
          <t>Medium</t>
        </is>
      </c>
      <c r="E245" t="n">
        <v>3</v>
      </c>
      <c r="F245" t="inlineStr">
        <is>
          <t>New</t>
        </is>
      </c>
      <c r="G245" t="inlineStr">
        <is>
          <t>Other</t>
        </is>
      </c>
      <c r="J245" t="inlineStr">
        <is>
          <t>Transportation</t>
        </is>
      </c>
      <c r="K245" t="inlineStr">
        <is>
          <t>Sp_25</t>
        </is>
      </c>
      <c r="M245" t="inlineStr">
        <is>
          <t>Homayoun Mohammad</t>
        </is>
      </c>
      <c r="Q245" s="42" t="n">
        <v>46018.45939814814</v>
      </c>
      <c r="S245" t="n">
        <v>0</v>
      </c>
      <c r="T245" s="42" t="n">
        <v>46018.45939814814</v>
      </c>
      <c r="AA245" t="n">
        <v>0</v>
      </c>
      <c r="AD245" t="n">
        <v>2</v>
      </c>
      <c r="AE245" t="n">
        <v>2</v>
      </c>
      <c r="AF245" t="n">
        <v>0</v>
      </c>
      <c r="AI245" t="n">
        <v>0</v>
      </c>
      <c r="AJ245" t="n">
        <v>0</v>
      </c>
      <c r="AM245" t="n">
        <v>-1</v>
      </c>
      <c r="AN245" t="n">
        <v>0</v>
      </c>
      <c r="AO245" t="n">
        <v>0</v>
      </c>
      <c r="AP245" t="n">
        <v>0</v>
      </c>
      <c r="AQ245" t="n">
        <v>24</v>
      </c>
      <c r="AR245" t="n">
        <v>0</v>
      </c>
    </row>
    <row r="246">
      <c r="A246" t="n">
        <v>200302</v>
      </c>
      <c r="B246" t="inlineStr">
        <is>
          <t>درخواست فک پلاک: خطای هنگام ثبت درخواست</t>
        </is>
      </c>
      <c r="D246" t="inlineStr">
        <is>
          <t>Medium</t>
        </is>
      </c>
      <c r="E246" t="n">
        <v>1</v>
      </c>
      <c r="F246" t="inlineStr">
        <is>
          <t>New</t>
        </is>
      </c>
      <c r="G246" t="inlineStr">
        <is>
          <t>Other</t>
        </is>
      </c>
      <c r="J246" t="inlineStr">
        <is>
          <t>Transportation</t>
        </is>
      </c>
      <c r="K246" t="inlineStr">
        <is>
          <t>Sp_25</t>
        </is>
      </c>
      <c r="M246" t="inlineStr">
        <is>
          <t>Homayoun Mohammad</t>
        </is>
      </c>
      <c r="Q246" s="42" t="n">
        <v>46018.45965277778</v>
      </c>
      <c r="S246" t="n">
        <v>0</v>
      </c>
      <c r="T246" s="42" t="n">
        <v>46018.45965277778</v>
      </c>
      <c r="AA246" t="n">
        <v>0</v>
      </c>
      <c r="AD246" t="n">
        <v>2</v>
      </c>
      <c r="AE246" t="n">
        <v>2</v>
      </c>
      <c r="AF246" t="n">
        <v>0</v>
      </c>
      <c r="AI246" t="n">
        <v>0</v>
      </c>
      <c r="AJ246" t="n">
        <v>0</v>
      </c>
      <c r="AM246" t="n">
        <v>-1</v>
      </c>
      <c r="AN246" t="n">
        <v>0</v>
      </c>
      <c r="AO246" t="n">
        <v>0</v>
      </c>
      <c r="AP246" t="n">
        <v>0</v>
      </c>
      <c r="AQ246" t="n">
        <v>24</v>
      </c>
      <c r="AR246" t="n">
        <v>0</v>
      </c>
    </row>
    <row r="247">
      <c r="A247" t="n">
        <v>199887</v>
      </c>
      <c r="B247" t="inlineStr">
        <is>
          <t xml:space="preserve">بازیابی - کنترل انتخاب واحد سازمانی غیرفعال در جدول اسناد درخواستی در فرم ثبت درخواست بازیابی </t>
        </is>
      </c>
      <c r="D247" t="inlineStr">
        <is>
          <t>Medium</t>
        </is>
      </c>
      <c r="E247" t="n">
        <v>2</v>
      </c>
      <c r="F247" t="inlineStr">
        <is>
          <t>Ready for Retest</t>
        </is>
      </c>
      <c r="G247" t="inlineStr">
        <is>
          <t>Other</t>
        </is>
      </c>
      <c r="J247" t="inlineStr">
        <is>
          <t>Stagnant Archive</t>
        </is>
      </c>
      <c r="K247" t="inlineStr">
        <is>
          <t>Sp_23</t>
        </is>
      </c>
      <c r="M247" t="inlineStr">
        <is>
          <t>Sharifi Shayan</t>
        </is>
      </c>
      <c r="Q247" s="42" t="n">
        <v>46015.65736111111</v>
      </c>
      <c r="S247" t="n">
        <v>0</v>
      </c>
      <c r="T247" s="42" t="n">
        <v>46015.65736111111</v>
      </c>
      <c r="AA247" t="n">
        <v>0</v>
      </c>
      <c r="AD247" t="n">
        <v>2</v>
      </c>
      <c r="AE247" t="n">
        <v>2</v>
      </c>
      <c r="AF247" t="n">
        <v>0</v>
      </c>
      <c r="AI247" t="n">
        <v>0</v>
      </c>
      <c r="AJ247" t="n">
        <v>0</v>
      </c>
      <c r="AN247" t="n">
        <v>0</v>
      </c>
      <c r="AO247" t="n">
        <v>0</v>
      </c>
      <c r="AP247" t="n">
        <v>0</v>
      </c>
      <c r="AQ247" t="n">
        <v>24</v>
      </c>
      <c r="AR247" t="n">
        <v>0</v>
      </c>
    </row>
    <row r="248">
      <c r="A248" t="n">
        <v>199966</v>
      </c>
      <c r="B248" t="inlineStr">
        <is>
          <t>بازیابی -بازدارنده - ارور جوابیه    s.kh</t>
        </is>
      </c>
      <c r="D248" t="inlineStr">
        <is>
          <t>Medium</t>
        </is>
      </c>
      <c r="E248" t="n">
        <v>2</v>
      </c>
      <c r="F248" t="inlineStr">
        <is>
          <t>Closed</t>
        </is>
      </c>
      <c r="G248" t="inlineStr">
        <is>
          <t>Other</t>
        </is>
      </c>
      <c r="J248" t="inlineStr">
        <is>
          <t>Stagnant Archive</t>
        </is>
      </c>
      <c r="K248" t="inlineStr">
        <is>
          <t>Sp_22</t>
        </is>
      </c>
      <c r="M248" t="inlineStr">
        <is>
          <t>Homayoun Mohammad</t>
        </is>
      </c>
      <c r="N248" t="inlineStr">
        <is>
          <t>Khodabakhsh Sadaf</t>
        </is>
      </c>
      <c r="O248" s="42" t="n">
        <v>46000.58931712963</v>
      </c>
      <c r="Q248" s="42" t="n">
        <v>46000.58931712963</v>
      </c>
      <c r="S248" t="n">
        <v>0</v>
      </c>
      <c r="T248" s="42" t="n">
        <v>46000.58931712963</v>
      </c>
      <c r="Z248" s="42" t="n">
        <v>46000.58931712963</v>
      </c>
      <c r="AA248" t="n">
        <v>0</v>
      </c>
      <c r="AD248" t="n">
        <v>2</v>
      </c>
      <c r="AE248" t="n">
        <v>2</v>
      </c>
      <c r="AF248" t="n">
        <v>0</v>
      </c>
      <c r="AI248" t="n">
        <v>0</v>
      </c>
      <c r="AJ248" t="n">
        <v>0</v>
      </c>
      <c r="AK248" t="n">
        <v>0</v>
      </c>
      <c r="AL248" t="n">
        <v>0</v>
      </c>
      <c r="AN248" t="n">
        <v>0</v>
      </c>
      <c r="AO248" t="n">
        <v>0</v>
      </c>
      <c r="AP248" t="n">
        <v>0</v>
      </c>
      <c r="AQ248" t="n">
        <v>24</v>
      </c>
      <c r="AR248" t="n">
        <v>0</v>
      </c>
    </row>
    <row r="249">
      <c r="A249" t="n">
        <v>199968</v>
      </c>
      <c r="B249" t="inlineStr">
        <is>
          <t>عدم امکان تعریف دسترسی های سرویس</t>
        </is>
      </c>
      <c r="D249" t="inlineStr">
        <is>
          <t>Medium</t>
        </is>
      </c>
      <c r="E249" t="n">
        <v>2</v>
      </c>
      <c r="F249" t="inlineStr">
        <is>
          <t>Open</t>
        </is>
      </c>
      <c r="G249" t="inlineStr">
        <is>
          <t>Other</t>
        </is>
      </c>
      <c r="J249" t="inlineStr">
        <is>
          <t>Post Bank</t>
        </is>
      </c>
      <c r="K249" t="inlineStr">
        <is>
          <t>Sprint 21</t>
        </is>
      </c>
      <c r="M249" t="inlineStr">
        <is>
          <t>Hoseini Fatemeh</t>
        </is>
      </c>
      <c r="Q249" s="42" t="n">
        <v>46008.70569444444</v>
      </c>
      <c r="S249" t="n">
        <v>0</v>
      </c>
      <c r="T249" s="42" t="n">
        <v>46008.70569444444</v>
      </c>
      <c r="AA249" t="n">
        <v>0</v>
      </c>
      <c r="AD249" t="n">
        <v>2</v>
      </c>
      <c r="AE249" t="n">
        <v>2</v>
      </c>
      <c r="AF249" t="n">
        <v>0</v>
      </c>
      <c r="AI249" t="n">
        <v>0</v>
      </c>
      <c r="AJ249" t="n">
        <v>0</v>
      </c>
      <c r="AM249" t="n">
        <v>9</v>
      </c>
      <c r="AN249" t="n">
        <v>0</v>
      </c>
      <c r="AO249" t="n">
        <v>0</v>
      </c>
      <c r="AP249" t="n">
        <v>0</v>
      </c>
      <c r="AQ249" t="n">
        <v>24</v>
      </c>
      <c r="AR249" t="n">
        <v>0</v>
      </c>
    </row>
    <row r="250">
      <c r="A250" t="n">
        <v>199978</v>
      </c>
      <c r="B250" t="inlineStr">
        <is>
          <t>دکمه تاییدو ادامه در فرم ثبت گزارش نویسی جدید پیغام خطا می دهد  /1382</t>
        </is>
      </c>
      <c r="D250" t="inlineStr">
        <is>
          <t>Medium</t>
        </is>
      </c>
      <c r="E250" t="n">
        <v>1</v>
      </c>
      <c r="F250" t="inlineStr">
        <is>
          <t>Closed</t>
        </is>
      </c>
      <c r="G250" t="inlineStr">
        <is>
          <t>Other</t>
        </is>
      </c>
      <c r="J250" t="inlineStr">
        <is>
          <t>Dem</t>
        </is>
      </c>
      <c r="K250" t="inlineStr">
        <is>
          <t>DemBiz</t>
        </is>
      </c>
      <c r="M250" t="inlineStr">
        <is>
          <t>Moradi Mohammad</t>
        </is>
      </c>
      <c r="N250" t="inlineStr">
        <is>
          <t>Hajizadeh Elnaz</t>
        </is>
      </c>
      <c r="O250" s="42" t="n">
        <v>45999.46129629629</v>
      </c>
      <c r="Q250" s="42" t="n">
        <v>45999.46129629629</v>
      </c>
      <c r="S250" t="n">
        <v>0</v>
      </c>
      <c r="T250" s="42" t="n">
        <v>45999.46129629629</v>
      </c>
      <c r="Z250" s="42" t="n">
        <v>45999.46129629629</v>
      </c>
      <c r="AA250" t="n">
        <v>0</v>
      </c>
      <c r="AD250" t="n">
        <v>2</v>
      </c>
      <c r="AE250" t="n">
        <v>2</v>
      </c>
      <c r="AF250" t="n">
        <v>0</v>
      </c>
      <c r="AI250" t="n">
        <v>0</v>
      </c>
      <c r="AJ250" t="n">
        <v>0</v>
      </c>
      <c r="AK250" t="n">
        <v>0</v>
      </c>
      <c r="AL250" t="n">
        <v>0</v>
      </c>
      <c r="AN250" t="n">
        <v>0</v>
      </c>
      <c r="AO250" t="n">
        <v>0</v>
      </c>
      <c r="AP250" t="n">
        <v>0</v>
      </c>
      <c r="AQ250" t="n">
        <v>24</v>
      </c>
      <c r="AR250" t="n">
        <v>0</v>
      </c>
    </row>
    <row r="251">
      <c r="A251" t="n">
        <v>199980</v>
      </c>
      <c r="B251" t="inlineStr">
        <is>
          <t xml:space="preserve">در فرم تنظیم صورت‌مجلس تفکیکی توسط نماینده ثبتی محل قرارگیری تایتل فرم باید در بالای صفحه قرار گیرد و نام روستای ماه فیروزان که مثال است درج نشود </t>
        </is>
      </c>
      <c r="D251" t="inlineStr">
        <is>
          <t>Medium</t>
        </is>
      </c>
      <c r="E251" t="n">
        <v>4</v>
      </c>
      <c r="F251" t="inlineStr">
        <is>
          <t>Ready for Retest</t>
        </is>
      </c>
      <c r="G251" t="inlineStr">
        <is>
          <t>Other</t>
        </is>
      </c>
      <c r="I251" t="inlineStr">
        <is>
          <t>Bizagi_Team</t>
        </is>
      </c>
      <c r="J251" t="inlineStr">
        <is>
          <t>SAJAK</t>
        </is>
      </c>
      <c r="K251" t="inlineStr">
        <is>
          <t>Estate_Sprint 45</t>
        </is>
      </c>
      <c r="M251" t="inlineStr">
        <is>
          <t>Tedadi Abbas</t>
        </is>
      </c>
      <c r="Q251" s="42" t="n">
        <v>46006.59032407407</v>
      </c>
      <c r="S251" t="n">
        <v>0</v>
      </c>
      <c r="T251" s="42" t="n">
        <v>46006.59032407407</v>
      </c>
      <c r="AA251" t="n">
        <v>0</v>
      </c>
      <c r="AD251" t="n">
        <v>2</v>
      </c>
      <c r="AE251" t="n">
        <v>2</v>
      </c>
      <c r="AF251" t="n">
        <v>0</v>
      </c>
      <c r="AI251" t="n">
        <v>0</v>
      </c>
      <c r="AJ251" t="n">
        <v>0</v>
      </c>
      <c r="AN251" t="n">
        <v>0</v>
      </c>
      <c r="AO251" t="n">
        <v>0</v>
      </c>
      <c r="AP251" t="n">
        <v>0</v>
      </c>
      <c r="AQ251" t="n">
        <v>24</v>
      </c>
      <c r="AR251" t="n">
        <v>0</v>
      </c>
    </row>
    <row r="252">
      <c r="A252" t="n">
        <v>199984</v>
      </c>
      <c r="B252" t="inlineStr">
        <is>
          <t>استعلام بانک مرکزی ، ریداونلی شدن فیلد مشکوک الوصول</t>
        </is>
      </c>
      <c r="D252" t="inlineStr">
        <is>
          <t>Medium</t>
        </is>
      </c>
      <c r="E252" t="n">
        <v>1</v>
      </c>
      <c r="F252" t="inlineStr">
        <is>
          <t>Closed</t>
        </is>
      </c>
      <c r="G252" t="inlineStr">
        <is>
          <t>Other</t>
        </is>
      </c>
      <c r="J252" t="inlineStr">
        <is>
          <t>Dem</t>
        </is>
      </c>
      <c r="K252" t="inlineStr">
        <is>
          <t>DemBiz</t>
        </is>
      </c>
      <c r="M252" t="inlineStr">
        <is>
          <t>Moradi Mohammad</t>
        </is>
      </c>
      <c r="N252" t="inlineStr">
        <is>
          <t>Hajizadeh Elnaz</t>
        </is>
      </c>
      <c r="O252" s="42" t="n">
        <v>45999.49072916667</v>
      </c>
      <c r="Q252" s="42" t="n">
        <v>45999.49072916667</v>
      </c>
      <c r="S252" t="n">
        <v>0</v>
      </c>
      <c r="T252" s="42" t="n">
        <v>45999.49072916667</v>
      </c>
      <c r="Z252" s="42" t="n">
        <v>45999.49072916667</v>
      </c>
      <c r="AA252" t="n">
        <v>0</v>
      </c>
      <c r="AD252" t="n">
        <v>2</v>
      </c>
      <c r="AE252" t="n">
        <v>2</v>
      </c>
      <c r="AF252" t="n">
        <v>0</v>
      </c>
      <c r="AI252" t="n">
        <v>0</v>
      </c>
      <c r="AJ252" t="n">
        <v>0</v>
      </c>
      <c r="AK252" t="n">
        <v>0</v>
      </c>
      <c r="AL252" t="n">
        <v>0</v>
      </c>
      <c r="AN252" t="n">
        <v>0</v>
      </c>
      <c r="AO252" t="n">
        <v>0</v>
      </c>
      <c r="AP252" t="n">
        <v>0</v>
      </c>
      <c r="AQ252" t="n">
        <v>24</v>
      </c>
      <c r="AR252" t="n">
        <v>0</v>
      </c>
    </row>
    <row r="253">
      <c r="A253" t="n">
        <v>199988</v>
      </c>
      <c r="B253" t="inlineStr">
        <is>
          <t xml:space="preserve">بدون دیتا نمایش دادن صورت مجلس تفکیکی در کارتابل نماینده ثبتی </t>
        </is>
      </c>
      <c r="D253" t="inlineStr">
        <is>
          <t>Medium</t>
        </is>
      </c>
      <c r="E253" t="n">
        <v>1</v>
      </c>
      <c r="F253" t="inlineStr">
        <is>
          <t>Active</t>
        </is>
      </c>
      <c r="G253" t="inlineStr">
        <is>
          <t>Other</t>
        </is>
      </c>
      <c r="I253" t="inlineStr">
        <is>
          <t>Bizagi_Team</t>
        </is>
      </c>
      <c r="J253" t="inlineStr">
        <is>
          <t>SAJAK</t>
        </is>
      </c>
      <c r="K253" t="inlineStr">
        <is>
          <t>Estate_Sprint 45</t>
        </is>
      </c>
      <c r="M253" t="inlineStr">
        <is>
          <t>Tedadi Abbas</t>
        </is>
      </c>
      <c r="Q253" s="42" t="n">
        <v>45999.47571759259</v>
      </c>
      <c r="S253" t="n">
        <v>0</v>
      </c>
      <c r="T253" s="42" t="n">
        <v>45999.47571759259</v>
      </c>
      <c r="AA253" t="n">
        <v>0</v>
      </c>
      <c r="AD253" t="n">
        <v>2</v>
      </c>
      <c r="AE253" t="n">
        <v>2</v>
      </c>
      <c r="AF253" t="n">
        <v>0</v>
      </c>
      <c r="AI253" t="n">
        <v>0</v>
      </c>
      <c r="AJ253" t="n">
        <v>0</v>
      </c>
      <c r="AM253" t="n">
        <v>18</v>
      </c>
      <c r="AN253" t="n">
        <v>0</v>
      </c>
      <c r="AO253" t="n">
        <v>0</v>
      </c>
      <c r="AP253" t="n">
        <v>0</v>
      </c>
      <c r="AQ253" t="n">
        <v>24</v>
      </c>
      <c r="AR253" t="n">
        <v>0</v>
      </c>
    </row>
    <row r="254">
      <c r="A254" t="n">
        <v>199781</v>
      </c>
      <c r="B254" t="inlineStr">
        <is>
          <t>دیتا ننداختن گزارش عملکرد آموزشی</t>
        </is>
      </c>
      <c r="D254" t="inlineStr">
        <is>
          <t>Medium</t>
        </is>
      </c>
      <c r="E254" t="n">
        <v>2</v>
      </c>
      <c r="F254" t="inlineStr">
        <is>
          <t>Removed</t>
        </is>
      </c>
      <c r="G254" t="inlineStr">
        <is>
          <t>Other</t>
        </is>
      </c>
      <c r="J254" t="inlineStr">
        <is>
          <t>Post Bank</t>
        </is>
      </c>
      <c r="K254" t="inlineStr">
        <is>
          <t>Sprint 20</t>
        </is>
      </c>
      <c r="M254" t="inlineStr">
        <is>
          <t>Hoseini Fatemeh</t>
        </is>
      </c>
      <c r="Q254" s="42" t="n">
        <v>46007.40894675926</v>
      </c>
      <c r="S254" t="n">
        <v>0</v>
      </c>
      <c r="T254" s="42" t="n">
        <v>46007.40894675926</v>
      </c>
      <c r="AA254" t="n">
        <v>0</v>
      </c>
      <c r="AD254" t="n">
        <v>2</v>
      </c>
      <c r="AE254" t="n">
        <v>2</v>
      </c>
      <c r="AF254" t="n">
        <v>0</v>
      </c>
      <c r="AI254" t="n">
        <v>0</v>
      </c>
      <c r="AJ254" t="n">
        <v>0</v>
      </c>
      <c r="AN254" t="n">
        <v>0</v>
      </c>
      <c r="AO254" t="n">
        <v>0</v>
      </c>
      <c r="AP254" t="n">
        <v>0</v>
      </c>
      <c r="AQ254" t="n">
        <v>24</v>
      </c>
      <c r="AR254" t="n">
        <v>0</v>
      </c>
    </row>
    <row r="255">
      <c r="A255" t="n">
        <v>199782</v>
      </c>
      <c r="B255" t="inlineStr">
        <is>
          <t>تعداد شاغلینش اشتباه در گزارش آمار شاغلین</t>
        </is>
      </c>
      <c r="D255" t="inlineStr">
        <is>
          <t>Medium</t>
        </is>
      </c>
      <c r="E255" t="n">
        <v>2</v>
      </c>
      <c r="F255" t="inlineStr">
        <is>
          <t>Closed</t>
        </is>
      </c>
      <c r="G255" t="inlineStr">
        <is>
          <t>Other</t>
        </is>
      </c>
      <c r="J255" t="inlineStr">
        <is>
          <t>Post Bank</t>
        </is>
      </c>
      <c r="K255" t="inlineStr">
        <is>
          <t>Sprint 20</t>
        </is>
      </c>
      <c r="L255" t="inlineStr">
        <is>
          <t>Completed</t>
        </is>
      </c>
      <c r="M255" t="inlineStr">
        <is>
          <t>Arshi Mahmood</t>
        </is>
      </c>
      <c r="N255" t="inlineStr">
        <is>
          <t>Mohseni Hadise</t>
        </is>
      </c>
      <c r="O255" s="42" t="n">
        <v>46007.47487268518</v>
      </c>
      <c r="Q255" s="42" t="n">
        <v>46007.47487268518</v>
      </c>
      <c r="S255" t="n">
        <v>0</v>
      </c>
      <c r="T255" s="42" t="n">
        <v>46007.47487268518</v>
      </c>
      <c r="Z255" s="42" t="n">
        <v>46007.47487268518</v>
      </c>
      <c r="AA255" t="n">
        <v>0</v>
      </c>
      <c r="AD255" t="n">
        <v>2</v>
      </c>
      <c r="AE255" t="n">
        <v>2</v>
      </c>
      <c r="AF255" t="n">
        <v>0</v>
      </c>
      <c r="AI255" t="n">
        <v>0</v>
      </c>
      <c r="AJ255" t="n">
        <v>0</v>
      </c>
      <c r="AK255" t="n">
        <v>0</v>
      </c>
      <c r="AL255" t="n">
        <v>0</v>
      </c>
      <c r="AN255" t="n">
        <v>0</v>
      </c>
      <c r="AO255" t="n">
        <v>0</v>
      </c>
      <c r="AP255" t="n">
        <v>0</v>
      </c>
      <c r="AQ255" t="n">
        <v>24</v>
      </c>
      <c r="AR255" t="n">
        <v>0</v>
      </c>
    </row>
    <row r="256">
      <c r="A256" t="n">
        <v>199785</v>
      </c>
      <c r="B256" t="inlineStr">
        <is>
          <t>2مشکلات گزارش عملکرد آموزشی</t>
        </is>
      </c>
      <c r="D256" t="inlineStr">
        <is>
          <t>Medium</t>
        </is>
      </c>
      <c r="E256" t="n">
        <v>2</v>
      </c>
      <c r="F256" t="inlineStr">
        <is>
          <t>Removed</t>
        </is>
      </c>
      <c r="G256" t="inlineStr">
        <is>
          <t>Other</t>
        </is>
      </c>
      <c r="J256" t="inlineStr">
        <is>
          <t>Post Bank</t>
        </is>
      </c>
      <c r="K256" t="inlineStr">
        <is>
          <t>Sprint 20</t>
        </is>
      </c>
      <c r="M256" t="inlineStr">
        <is>
          <t>Hoseini Fatemeh</t>
        </is>
      </c>
      <c r="Q256" s="42" t="n">
        <v>46007.40868055556</v>
      </c>
      <c r="S256" t="n">
        <v>0</v>
      </c>
      <c r="T256" s="42" t="n">
        <v>46007.40868055556</v>
      </c>
      <c r="AA256" t="n">
        <v>0</v>
      </c>
      <c r="AD256" t="n">
        <v>2</v>
      </c>
      <c r="AE256" t="n">
        <v>2</v>
      </c>
      <c r="AF256" t="n">
        <v>0</v>
      </c>
      <c r="AI256" t="n">
        <v>0</v>
      </c>
      <c r="AJ256" t="n">
        <v>0</v>
      </c>
      <c r="AN256" t="n">
        <v>0</v>
      </c>
      <c r="AO256" t="n">
        <v>0</v>
      </c>
      <c r="AP256" t="n">
        <v>0</v>
      </c>
      <c r="AQ256" t="n">
        <v>24</v>
      </c>
      <c r="AR256" t="n">
        <v>0</v>
      </c>
    </row>
    <row r="257">
      <c r="A257" t="n">
        <v>199786</v>
      </c>
      <c r="B257" t="inlineStr">
        <is>
          <t>عدم اعمال تغییرات در گزارش آمار قرار داد ها</t>
        </is>
      </c>
      <c r="D257" t="inlineStr">
        <is>
          <t>Medium</t>
        </is>
      </c>
      <c r="E257" t="n">
        <v>2</v>
      </c>
      <c r="F257" t="inlineStr">
        <is>
          <t>Closed</t>
        </is>
      </c>
      <c r="G257" t="inlineStr">
        <is>
          <t>Other</t>
        </is>
      </c>
      <c r="J257" t="inlineStr">
        <is>
          <t>Post Bank</t>
        </is>
      </c>
      <c r="K257" t="inlineStr">
        <is>
          <t>Sprint 20</t>
        </is>
      </c>
      <c r="L257" t="inlineStr">
        <is>
          <t>Completed</t>
        </is>
      </c>
      <c r="M257" t="inlineStr">
        <is>
          <t>Arshi Mahmood</t>
        </is>
      </c>
      <c r="N257" t="inlineStr">
        <is>
          <t>Mohseni Hadise</t>
        </is>
      </c>
      <c r="O257" s="42" t="n">
        <v>46007.4753125</v>
      </c>
      <c r="Q257" s="42" t="n">
        <v>46007.4753125</v>
      </c>
      <c r="S257" t="n">
        <v>0</v>
      </c>
      <c r="T257" s="42" t="n">
        <v>46007.4753125</v>
      </c>
      <c r="Z257" s="42" t="n">
        <v>46007.4753125</v>
      </c>
      <c r="AA257" t="n">
        <v>0</v>
      </c>
      <c r="AD257" t="n">
        <v>2</v>
      </c>
      <c r="AE257" t="n">
        <v>2</v>
      </c>
      <c r="AF257" t="n">
        <v>0</v>
      </c>
      <c r="AI257" t="n">
        <v>0</v>
      </c>
      <c r="AJ257" t="n">
        <v>0</v>
      </c>
      <c r="AK257" t="n">
        <v>0</v>
      </c>
      <c r="AL257" t="n">
        <v>0</v>
      </c>
      <c r="AN257" t="n">
        <v>0</v>
      </c>
      <c r="AO257" t="n">
        <v>0</v>
      </c>
      <c r="AP257" t="n">
        <v>0</v>
      </c>
      <c r="AQ257" t="n">
        <v>24</v>
      </c>
      <c r="AR257" t="n">
        <v>0</v>
      </c>
    </row>
    <row r="258">
      <c r="A258" t="n">
        <v>199788</v>
      </c>
      <c r="B258" t="inlineStr">
        <is>
          <t>اصلاح نام گزارش تغییر نام مسئولین</t>
        </is>
      </c>
      <c r="D258" t="inlineStr">
        <is>
          <t>Medium</t>
        </is>
      </c>
      <c r="E258" t="n">
        <v>2</v>
      </c>
      <c r="F258" t="inlineStr">
        <is>
          <t>Closed</t>
        </is>
      </c>
      <c r="G258" t="inlineStr">
        <is>
          <t>Other</t>
        </is>
      </c>
      <c r="J258" t="inlineStr">
        <is>
          <t>Post Bank</t>
        </is>
      </c>
      <c r="K258" t="inlineStr">
        <is>
          <t>Sprint 20</t>
        </is>
      </c>
      <c r="L258" t="inlineStr">
        <is>
          <t>Completed</t>
        </is>
      </c>
      <c r="M258" t="inlineStr">
        <is>
          <t>Arshi Mahmood</t>
        </is>
      </c>
      <c r="N258" t="inlineStr">
        <is>
          <t>Mohseni Hadise</t>
        </is>
      </c>
      <c r="O258" s="42" t="n">
        <v>46006.54399305556</v>
      </c>
      <c r="Q258" s="42" t="n">
        <v>46006.54399305556</v>
      </c>
      <c r="S258" t="n">
        <v>0</v>
      </c>
      <c r="T258" s="42" t="n">
        <v>46006.54399305556</v>
      </c>
      <c r="Z258" s="42" t="n">
        <v>46006.54399305556</v>
      </c>
      <c r="AA258" t="n">
        <v>0</v>
      </c>
      <c r="AD258" t="n">
        <v>2</v>
      </c>
      <c r="AE258" t="n">
        <v>2</v>
      </c>
      <c r="AF258" t="n">
        <v>0</v>
      </c>
      <c r="AI258" t="n">
        <v>0</v>
      </c>
      <c r="AJ258" t="n">
        <v>0</v>
      </c>
      <c r="AK258" t="n">
        <v>0</v>
      </c>
      <c r="AL258" t="n">
        <v>0</v>
      </c>
      <c r="AN258" t="n">
        <v>0</v>
      </c>
      <c r="AO258" t="n">
        <v>0</v>
      </c>
      <c r="AP258" t="n">
        <v>0</v>
      </c>
      <c r="AQ258" t="n">
        <v>24</v>
      </c>
      <c r="AR258" t="n">
        <v>0</v>
      </c>
    </row>
    <row r="259">
      <c r="A259" t="n">
        <v>199791</v>
      </c>
      <c r="B259" t="inlineStr">
        <is>
          <t>درخواست بایگانی - ثبت اطلاعات دسته اسناد - دکمه عودت پاراف باید پر باشد</t>
        </is>
      </c>
      <c r="D259" t="inlineStr">
        <is>
          <t>Medium</t>
        </is>
      </c>
      <c r="E259" t="n">
        <v>2</v>
      </c>
      <c r="F259" t="inlineStr">
        <is>
          <t>Closed</t>
        </is>
      </c>
      <c r="G259" t="inlineStr">
        <is>
          <t>Other</t>
        </is>
      </c>
      <c r="J259" t="inlineStr">
        <is>
          <t>Stagnant Archive</t>
        </is>
      </c>
      <c r="K259" t="inlineStr">
        <is>
          <t>Sp_22</t>
        </is>
      </c>
      <c r="M259" t="inlineStr">
        <is>
          <t>Homayoun Mohammad</t>
        </is>
      </c>
      <c r="N259" t="inlineStr">
        <is>
          <t>Monfared Mobina</t>
        </is>
      </c>
      <c r="O259" s="42" t="n">
        <v>45998.70670138889</v>
      </c>
      <c r="Q259" s="42" t="n">
        <v>45998.70670138889</v>
      </c>
      <c r="S259" t="n">
        <v>0</v>
      </c>
      <c r="T259" s="42" t="n">
        <v>45998.70670138889</v>
      </c>
      <c r="Z259" s="42" t="n">
        <v>45998.70670138889</v>
      </c>
      <c r="AA259" t="n">
        <v>0</v>
      </c>
      <c r="AD259" t="n">
        <v>2</v>
      </c>
      <c r="AE259" t="n">
        <v>2</v>
      </c>
      <c r="AF259" t="n">
        <v>0</v>
      </c>
      <c r="AI259" t="n">
        <v>0</v>
      </c>
      <c r="AJ259" t="n">
        <v>0</v>
      </c>
      <c r="AK259" t="n">
        <v>0</v>
      </c>
      <c r="AL259" t="n">
        <v>0</v>
      </c>
      <c r="AN259" t="n">
        <v>0</v>
      </c>
      <c r="AO259" t="n">
        <v>0</v>
      </c>
      <c r="AP259" t="n">
        <v>0</v>
      </c>
      <c r="AQ259" t="n">
        <v>24</v>
      </c>
      <c r="AR259" t="n">
        <v>0</v>
      </c>
    </row>
    <row r="260">
      <c r="A260" t="n">
        <v>199814</v>
      </c>
      <c r="B260" t="inlineStr">
        <is>
          <t>test</t>
        </is>
      </c>
      <c r="D260" t="inlineStr">
        <is>
          <t>Medium</t>
        </is>
      </c>
      <c r="E260" t="n">
        <v>2</v>
      </c>
      <c r="F260" t="inlineStr">
        <is>
          <t>Triage</t>
        </is>
      </c>
      <c r="G260" t="inlineStr">
        <is>
          <t>Other</t>
        </is>
      </c>
      <c r="J260" t="inlineStr">
        <is>
          <t>Test Process</t>
        </is>
      </c>
      <c r="K260" t="inlineStr">
        <is>
          <t>sprint 40</t>
        </is>
      </c>
      <c r="M260" t="inlineStr">
        <is>
          <t>Badiei Fateme</t>
        </is>
      </c>
      <c r="Q260" s="42" t="n">
        <v>45998.58826388889</v>
      </c>
      <c r="S260" t="n">
        <v>0</v>
      </c>
      <c r="T260" s="42" t="n">
        <v>45998.58826388889</v>
      </c>
      <c r="AA260" t="n">
        <v>0</v>
      </c>
      <c r="AD260" t="n">
        <v>2</v>
      </c>
      <c r="AE260" t="n">
        <v>2</v>
      </c>
      <c r="AF260" t="n">
        <v>0</v>
      </c>
      <c r="AI260" t="n">
        <v>0</v>
      </c>
      <c r="AJ260" t="n">
        <v>0</v>
      </c>
      <c r="AN260" t="n">
        <v>0</v>
      </c>
      <c r="AO260" t="n">
        <v>0</v>
      </c>
      <c r="AP260" t="n">
        <v>0</v>
      </c>
      <c r="AQ260" t="n">
        <v>24</v>
      </c>
      <c r="AR260" t="n">
        <v>0</v>
      </c>
    </row>
    <row r="261">
      <c r="A261" t="n">
        <v>197741</v>
      </c>
      <c r="B261" t="inlineStr">
        <is>
          <t>دیتا های گزارش باجه های تحت نظارت مدیریت شعب استان/شعبه</t>
        </is>
      </c>
      <c r="D261" t="inlineStr">
        <is>
          <t>Medium</t>
        </is>
      </c>
      <c r="E261" t="n">
        <v>3</v>
      </c>
      <c r="F261" t="inlineStr">
        <is>
          <t>Closed</t>
        </is>
      </c>
      <c r="G261" t="inlineStr">
        <is>
          <t>Other</t>
        </is>
      </c>
      <c r="J261" t="inlineStr">
        <is>
          <t>Post Bank</t>
        </is>
      </c>
      <c r="K261" t="inlineStr">
        <is>
          <t>Sprint 20</t>
        </is>
      </c>
      <c r="L261" t="inlineStr">
        <is>
          <t>Completed</t>
        </is>
      </c>
      <c r="M261" t="inlineStr">
        <is>
          <t>Arshi Mahmood</t>
        </is>
      </c>
      <c r="N261" t="inlineStr">
        <is>
          <t>Mohseni Hadise</t>
        </is>
      </c>
      <c r="O261" s="42" t="n">
        <v>46007.47464120371</v>
      </c>
      <c r="Q261" s="42" t="n">
        <v>46007.47464120371</v>
      </c>
      <c r="S261" t="n">
        <v>0</v>
      </c>
      <c r="T261" s="42" t="n">
        <v>46007.47464120371</v>
      </c>
      <c r="Z261" s="42" t="n">
        <v>46007.47464120371</v>
      </c>
      <c r="AA261" t="n">
        <v>0</v>
      </c>
      <c r="AD261" t="n">
        <v>2</v>
      </c>
      <c r="AE261" t="n">
        <v>2</v>
      </c>
      <c r="AF261" t="n">
        <v>0</v>
      </c>
      <c r="AI261" t="n">
        <v>0</v>
      </c>
      <c r="AJ261" t="n">
        <v>0</v>
      </c>
      <c r="AK261" t="n">
        <v>0</v>
      </c>
      <c r="AL261" t="n">
        <v>0</v>
      </c>
      <c r="AN261" t="n">
        <v>0</v>
      </c>
      <c r="AO261" t="n">
        <v>0</v>
      </c>
      <c r="AP261" t="n">
        <v>0</v>
      </c>
      <c r="AQ261" t="n">
        <v>24</v>
      </c>
      <c r="AR261" t="n">
        <v>0</v>
      </c>
    </row>
    <row r="262">
      <c r="A262" t="n">
        <v>197768</v>
      </c>
      <c r="B262" t="inlineStr">
        <is>
          <t xml:space="preserve">درخواست بایگانی اسناد - ثبت صورتجلسه اسناد - خطا هنگام بازکردن فرم </t>
        </is>
      </c>
      <c r="D262" t="inlineStr">
        <is>
          <t>Medium</t>
        </is>
      </c>
      <c r="E262" t="n">
        <v>1</v>
      </c>
      <c r="F262" t="inlineStr">
        <is>
          <t>Ready for Retest</t>
        </is>
      </c>
      <c r="G262" t="inlineStr">
        <is>
          <t>Other</t>
        </is>
      </c>
      <c r="J262" t="inlineStr">
        <is>
          <t>Stagnant Archive</t>
        </is>
      </c>
      <c r="K262" t="inlineStr">
        <is>
          <t>Sp_23</t>
        </is>
      </c>
      <c r="M262" t="inlineStr">
        <is>
          <t>Navab Erfan</t>
        </is>
      </c>
      <c r="Q262" s="42" t="n">
        <v>46015.65667824074</v>
      </c>
      <c r="S262" t="n">
        <v>0</v>
      </c>
      <c r="T262" s="42" t="n">
        <v>46015.65667824074</v>
      </c>
      <c r="AA262" t="n">
        <v>0</v>
      </c>
      <c r="AD262" t="n">
        <v>2</v>
      </c>
      <c r="AE262" t="n">
        <v>2</v>
      </c>
      <c r="AF262" t="n">
        <v>0</v>
      </c>
      <c r="AI262" t="n">
        <v>0</v>
      </c>
      <c r="AJ262" t="n">
        <v>0</v>
      </c>
      <c r="AN262" t="n">
        <v>0</v>
      </c>
      <c r="AO262" t="n">
        <v>0</v>
      </c>
      <c r="AP262" t="n">
        <v>0</v>
      </c>
      <c r="AQ262" t="n">
        <v>24</v>
      </c>
      <c r="AR262" t="n">
        <v>0</v>
      </c>
    </row>
    <row r="263">
      <c r="A263" t="n">
        <v>197811</v>
      </c>
      <c r="B263" t="inlineStr">
        <is>
          <t>عدم امکان انجام فرآیند حضور و غیاب/NFWPB</t>
        </is>
      </c>
      <c r="D263" t="inlineStr">
        <is>
          <t>Medium</t>
        </is>
      </c>
      <c r="E263" t="n">
        <v>2</v>
      </c>
      <c r="F263" t="inlineStr">
        <is>
          <t>Closed</t>
        </is>
      </c>
      <c r="G263" t="inlineStr">
        <is>
          <t>Other</t>
        </is>
      </c>
      <c r="J263" t="inlineStr">
        <is>
          <t>Infrastructure Bizagi Extension</t>
        </is>
      </c>
      <c r="K263" t="inlineStr">
        <is>
          <t>SP_88</t>
        </is>
      </c>
      <c r="L263" t="inlineStr">
        <is>
          <t>Completed</t>
        </is>
      </c>
      <c r="M263" t="inlineStr">
        <is>
          <t>Rezaee Reza</t>
        </is>
      </c>
      <c r="N263" t="inlineStr">
        <is>
          <t>Mohseni Hadise</t>
        </is>
      </c>
      <c r="O263" s="42" t="n">
        <v>46012.6750462963</v>
      </c>
      <c r="Q263" s="42" t="n">
        <v>46012.6750462963</v>
      </c>
      <c r="S263" t="n">
        <v>0</v>
      </c>
      <c r="T263" s="42" t="n">
        <v>46012.6750462963</v>
      </c>
      <c r="Z263" s="42" t="n">
        <v>46012.6750462963</v>
      </c>
      <c r="AA263" t="n">
        <v>0</v>
      </c>
      <c r="AD263" t="n">
        <v>2</v>
      </c>
      <c r="AE263" t="n">
        <v>2</v>
      </c>
      <c r="AF263" t="n">
        <v>0</v>
      </c>
      <c r="AI263" t="n">
        <v>0</v>
      </c>
      <c r="AJ263" t="n">
        <v>0</v>
      </c>
      <c r="AK263" t="n">
        <v>0</v>
      </c>
      <c r="AL263" t="n">
        <v>0</v>
      </c>
      <c r="AN263" t="n">
        <v>0</v>
      </c>
      <c r="AO263" t="n">
        <v>0</v>
      </c>
      <c r="AP263" t="n">
        <v>0</v>
      </c>
      <c r="AQ263" t="n">
        <v>24</v>
      </c>
      <c r="AR263" t="n">
        <v>0</v>
      </c>
    </row>
    <row r="264">
      <c r="A264" t="n">
        <v>197837</v>
      </c>
      <c r="B264" t="inlineStr">
        <is>
          <t>مشکل دیتا های گزارش درگاه های الکترونیک</t>
        </is>
      </c>
      <c r="D264" t="inlineStr">
        <is>
          <t>Medium</t>
        </is>
      </c>
      <c r="E264" t="n">
        <v>3</v>
      </c>
      <c r="F264" t="inlineStr">
        <is>
          <t>Closed</t>
        </is>
      </c>
      <c r="G264" t="inlineStr">
        <is>
          <t>Other</t>
        </is>
      </c>
      <c r="J264" t="inlineStr">
        <is>
          <t>Post Bank</t>
        </is>
      </c>
      <c r="K264" t="inlineStr">
        <is>
          <t>Sprint 20</t>
        </is>
      </c>
      <c r="L264" t="inlineStr">
        <is>
          <t>Completed</t>
        </is>
      </c>
      <c r="M264" t="inlineStr">
        <is>
          <t>Arshi Mahmood</t>
        </is>
      </c>
      <c r="N264" t="inlineStr">
        <is>
          <t>Mohseni Hadise</t>
        </is>
      </c>
      <c r="O264" s="42" t="n">
        <v>46006.61673611111</v>
      </c>
      <c r="Q264" s="42" t="n">
        <v>46006.61673611111</v>
      </c>
      <c r="S264" t="n">
        <v>0</v>
      </c>
      <c r="T264" s="42" t="n">
        <v>46006.61673611111</v>
      </c>
      <c r="Z264" s="42" t="n">
        <v>46006.61673611111</v>
      </c>
      <c r="AA264" t="n">
        <v>0</v>
      </c>
      <c r="AD264" t="n">
        <v>2</v>
      </c>
      <c r="AE264" t="n">
        <v>2</v>
      </c>
      <c r="AF264" t="n">
        <v>0</v>
      </c>
      <c r="AI264" t="n">
        <v>0</v>
      </c>
      <c r="AJ264" t="n">
        <v>0</v>
      </c>
      <c r="AK264" t="n">
        <v>0</v>
      </c>
      <c r="AL264" t="n">
        <v>0</v>
      </c>
      <c r="AN264" t="n">
        <v>0</v>
      </c>
      <c r="AO264" t="n">
        <v>0</v>
      </c>
      <c r="AP264" t="n">
        <v>0</v>
      </c>
      <c r="AQ264" t="n">
        <v>24</v>
      </c>
      <c r="AR264" t="n">
        <v>0</v>
      </c>
    </row>
    <row r="265">
      <c r="A265" t="n">
        <v>197845</v>
      </c>
      <c r="B265" t="inlineStr">
        <is>
          <t>امکان ثبت قرارداد تکراری برای باجه ها</t>
        </is>
      </c>
      <c r="D265" t="inlineStr">
        <is>
          <t>Medium</t>
        </is>
      </c>
      <c r="E265" t="n">
        <v>2</v>
      </c>
      <c r="F265" t="inlineStr">
        <is>
          <t>Closed</t>
        </is>
      </c>
      <c r="G265" t="inlineStr">
        <is>
          <t>Other</t>
        </is>
      </c>
      <c r="J265" t="inlineStr">
        <is>
          <t>Post Bank</t>
        </is>
      </c>
      <c r="K265" t="inlineStr">
        <is>
          <t>Sprint 20</t>
        </is>
      </c>
      <c r="L265" t="inlineStr">
        <is>
          <t>Completed</t>
        </is>
      </c>
      <c r="M265" t="inlineStr">
        <is>
          <t>Arshi Mahmood</t>
        </is>
      </c>
      <c r="N265" t="inlineStr">
        <is>
          <t>Mohseni Hadise</t>
        </is>
      </c>
      <c r="O265" s="42" t="n">
        <v>46006.54511574074</v>
      </c>
      <c r="Q265" s="42" t="n">
        <v>46006.54511574074</v>
      </c>
      <c r="S265" t="n">
        <v>0</v>
      </c>
      <c r="T265" s="42" t="n">
        <v>46006.54511574074</v>
      </c>
      <c r="Z265" s="42" t="n">
        <v>46006.54511574074</v>
      </c>
      <c r="AA265" t="n">
        <v>0</v>
      </c>
      <c r="AD265" t="n">
        <v>2</v>
      </c>
      <c r="AE265" t="n">
        <v>2</v>
      </c>
      <c r="AF265" t="n">
        <v>0</v>
      </c>
      <c r="AI265" t="n">
        <v>0</v>
      </c>
      <c r="AJ265" t="n">
        <v>0</v>
      </c>
      <c r="AK265" t="n">
        <v>0</v>
      </c>
      <c r="AL265" t="n">
        <v>0</v>
      </c>
      <c r="AN265" t="n">
        <v>0</v>
      </c>
      <c r="AO265" t="n">
        <v>0</v>
      </c>
      <c r="AP265" t="n">
        <v>0</v>
      </c>
      <c r="AQ265" t="n">
        <v>24</v>
      </c>
      <c r="AR265" t="n">
        <v>0</v>
      </c>
    </row>
    <row r="266">
      <c r="A266" t="n">
        <v>199752</v>
      </c>
      <c r="B266" t="inlineStr">
        <is>
          <t>بایگانی اسناد - فرم صورتجلسه. فرم ثبت کارتن</t>
        </is>
      </c>
      <c r="D266" t="inlineStr">
        <is>
          <t>Medium</t>
        </is>
      </c>
      <c r="E266" t="n">
        <v>2</v>
      </c>
      <c r="F266" t="inlineStr">
        <is>
          <t>Closed</t>
        </is>
      </c>
      <c r="G266" t="inlineStr">
        <is>
          <t>Other</t>
        </is>
      </c>
      <c r="J266" t="inlineStr">
        <is>
          <t>Stagnant Archive</t>
        </is>
      </c>
      <c r="K266" t="inlineStr">
        <is>
          <t>Sp_22</t>
        </is>
      </c>
      <c r="M266" t="inlineStr">
        <is>
          <t>Homayoun Mohammad</t>
        </is>
      </c>
      <c r="N266" t="inlineStr">
        <is>
          <t>Monfared Mobina</t>
        </is>
      </c>
      <c r="O266" s="42" t="n">
        <v>45998.70818287037</v>
      </c>
      <c r="Q266" s="42" t="n">
        <v>45998.70818287037</v>
      </c>
      <c r="S266" t="n">
        <v>0</v>
      </c>
      <c r="T266" s="42" t="n">
        <v>45998.70818287037</v>
      </c>
      <c r="Z266" s="42" t="n">
        <v>45998.70818287037</v>
      </c>
      <c r="AA266" t="n">
        <v>0</v>
      </c>
      <c r="AD266" t="n">
        <v>2</v>
      </c>
      <c r="AE266" t="n">
        <v>2</v>
      </c>
      <c r="AF266" t="n">
        <v>0</v>
      </c>
      <c r="AI266" t="n">
        <v>0</v>
      </c>
      <c r="AJ266" t="n">
        <v>0</v>
      </c>
      <c r="AK266" t="n">
        <v>0</v>
      </c>
      <c r="AL266" t="n">
        <v>0</v>
      </c>
      <c r="AN266" t="n">
        <v>0</v>
      </c>
      <c r="AO266" t="n">
        <v>0</v>
      </c>
      <c r="AP266" t="n">
        <v>0</v>
      </c>
      <c r="AQ266" t="n">
        <v>24</v>
      </c>
      <c r="AR266" t="n">
        <v>0</v>
      </c>
    </row>
    <row r="267">
      <c r="A267" t="n">
        <v>199753</v>
      </c>
      <c r="B267" t="inlineStr">
        <is>
          <t>خطا در هنگام تعیین وضعیت ثبتی پلاک توسط بایگان و انتخاب</t>
        </is>
      </c>
      <c r="D267" t="inlineStr">
        <is>
          <t>Medium</t>
        </is>
      </c>
      <c r="E267" t="n">
        <v>2</v>
      </c>
      <c r="F267" t="inlineStr">
        <is>
          <t>Closed</t>
        </is>
      </c>
      <c r="G267" t="inlineStr">
        <is>
          <t>Other</t>
        </is>
      </c>
      <c r="I267" t="inlineStr">
        <is>
          <t>Bizagi_Team</t>
        </is>
      </c>
      <c r="J267" t="inlineStr">
        <is>
          <t>SAJAK</t>
        </is>
      </c>
      <c r="K267" t="inlineStr">
        <is>
          <t>Estate_Sprint 45</t>
        </is>
      </c>
      <c r="M267" t="inlineStr">
        <is>
          <t>Tedadi Abbas</t>
        </is>
      </c>
      <c r="N267" t="inlineStr">
        <is>
          <t>Moradnoori Parinaz</t>
        </is>
      </c>
      <c r="O267" s="42" t="n">
        <v>46000.42258101852</v>
      </c>
      <c r="Q267" s="42" t="n">
        <v>46000.42258101852</v>
      </c>
      <c r="S267" t="n">
        <v>0</v>
      </c>
      <c r="T267" s="42" t="n">
        <v>46000.42258101852</v>
      </c>
      <c r="Z267" s="42" t="n">
        <v>46000.42258101852</v>
      </c>
      <c r="AA267" t="n">
        <v>0</v>
      </c>
      <c r="AD267" t="n">
        <v>2</v>
      </c>
      <c r="AE267" t="n">
        <v>2</v>
      </c>
      <c r="AF267" t="n">
        <v>0</v>
      </c>
      <c r="AI267" t="n">
        <v>0</v>
      </c>
      <c r="AJ267" t="n">
        <v>0</v>
      </c>
      <c r="AK267" t="n">
        <v>0</v>
      </c>
      <c r="AL267" t="n">
        <v>0</v>
      </c>
      <c r="AN267" t="n">
        <v>0</v>
      </c>
      <c r="AO267" t="n">
        <v>0</v>
      </c>
      <c r="AP267" t="n">
        <v>0</v>
      </c>
      <c r="AQ267" t="n">
        <v>24</v>
      </c>
      <c r="AR267" t="n">
        <v>0</v>
      </c>
    </row>
    <row r="268">
      <c r="A268" t="n">
        <v>199764</v>
      </c>
      <c r="B268" t="inlineStr">
        <is>
          <t>بایگانی اسناد - عودت از مرحله ثبت اطلاعات کارتن های صورتجلسه به مرحله ثبت اطلاعات صورتجلسه</t>
        </is>
      </c>
      <c r="D268" t="inlineStr">
        <is>
          <t>Medium</t>
        </is>
      </c>
      <c r="E268" t="n">
        <v>2</v>
      </c>
      <c r="F268" t="inlineStr">
        <is>
          <t>Closed</t>
        </is>
      </c>
      <c r="G268" t="inlineStr">
        <is>
          <t>Other</t>
        </is>
      </c>
      <c r="J268" t="inlineStr">
        <is>
          <t>Stagnant Archive</t>
        </is>
      </c>
      <c r="K268" t="inlineStr">
        <is>
          <t>Sp_22</t>
        </is>
      </c>
      <c r="M268" t="inlineStr">
        <is>
          <t>Homayoun Mohammad</t>
        </is>
      </c>
      <c r="N268" t="inlineStr">
        <is>
          <t>Monfared Mobina</t>
        </is>
      </c>
      <c r="O268" s="42" t="n">
        <v>45998.70876157407</v>
      </c>
      <c r="Q268" s="42" t="n">
        <v>45998.70876157407</v>
      </c>
      <c r="S268" t="n">
        <v>0</v>
      </c>
      <c r="T268" s="42" t="n">
        <v>45998.70876157407</v>
      </c>
      <c r="Z268" s="42" t="n">
        <v>45998.70876157407</v>
      </c>
      <c r="AA268" t="n">
        <v>0</v>
      </c>
      <c r="AD268" t="n">
        <v>2</v>
      </c>
      <c r="AE268" t="n">
        <v>2</v>
      </c>
      <c r="AF268" t="n">
        <v>0</v>
      </c>
      <c r="AI268" t="n">
        <v>0</v>
      </c>
      <c r="AJ268" t="n">
        <v>0</v>
      </c>
      <c r="AK268" t="n">
        <v>0</v>
      </c>
      <c r="AL268" t="n">
        <v>0</v>
      </c>
      <c r="AN268" t="n">
        <v>0</v>
      </c>
      <c r="AO268" t="n">
        <v>0</v>
      </c>
      <c r="AP268" t="n">
        <v>0</v>
      </c>
      <c r="AQ268" t="n">
        <v>24</v>
      </c>
      <c r="AR268" t="n">
        <v>0</v>
      </c>
    </row>
    <row r="269">
      <c r="A269" t="n">
        <v>199773</v>
      </c>
      <c r="B269" t="inlineStr">
        <is>
          <t>بایگانی اسناد - صورتجلسه. پاراف</t>
        </is>
      </c>
      <c r="D269" t="inlineStr">
        <is>
          <t>Medium</t>
        </is>
      </c>
      <c r="E269" t="n">
        <v>2</v>
      </c>
      <c r="F269" t="inlineStr">
        <is>
          <t>Closed</t>
        </is>
      </c>
      <c r="G269" t="inlineStr">
        <is>
          <t>Other</t>
        </is>
      </c>
      <c r="J269" t="inlineStr">
        <is>
          <t>Stagnant Archive</t>
        </is>
      </c>
      <c r="K269" t="inlineStr">
        <is>
          <t>Sp_22</t>
        </is>
      </c>
      <c r="M269" t="inlineStr">
        <is>
          <t>Homayoun Mohammad</t>
        </is>
      </c>
      <c r="N269" t="inlineStr">
        <is>
          <t>Monfared Mobina</t>
        </is>
      </c>
      <c r="O269" s="42" t="n">
        <v>45998.71146990741</v>
      </c>
      <c r="Q269" s="42" t="n">
        <v>45998.71146990741</v>
      </c>
      <c r="S269" t="n">
        <v>0</v>
      </c>
      <c r="T269" s="42" t="n">
        <v>45998.71146990741</v>
      </c>
      <c r="Z269" s="42" t="n">
        <v>45998.71146990741</v>
      </c>
      <c r="AA269" t="n">
        <v>0</v>
      </c>
      <c r="AD269" t="n">
        <v>2</v>
      </c>
      <c r="AE269" t="n">
        <v>2</v>
      </c>
      <c r="AF269" t="n">
        <v>0</v>
      </c>
      <c r="AI269" t="n">
        <v>0</v>
      </c>
      <c r="AJ269" t="n">
        <v>0</v>
      </c>
      <c r="AK269" t="n">
        <v>0</v>
      </c>
      <c r="AL269" t="n">
        <v>0</v>
      </c>
      <c r="AN269" t="n">
        <v>0</v>
      </c>
      <c r="AO269" t="n">
        <v>0</v>
      </c>
      <c r="AP269" t="n">
        <v>0</v>
      </c>
      <c r="AQ269" t="n">
        <v>24</v>
      </c>
      <c r="AR269" t="n">
        <v>0</v>
      </c>
    </row>
    <row r="270">
      <c r="A270" t="n">
        <v>199776</v>
      </c>
      <c r="B270" t="inlineStr">
        <is>
          <t>AE_SAJA\\ خطا در ثبت هیات و کارنکردن فیلتر استان</t>
        </is>
      </c>
      <c r="D270" t="inlineStr">
        <is>
          <t>Medium</t>
        </is>
      </c>
      <c r="E270" t="n">
        <v>1</v>
      </c>
      <c r="F270" t="inlineStr">
        <is>
          <t>Closed</t>
        </is>
      </c>
      <c r="G270" t="inlineStr">
        <is>
          <t>Other</t>
        </is>
      </c>
      <c r="J270" t="inlineStr">
        <is>
          <t>Infrastructure Bizagi Extension</t>
        </is>
      </c>
      <c r="K270" t="inlineStr">
        <is>
          <t>SP-87</t>
        </is>
      </c>
      <c r="L270" t="inlineStr">
        <is>
          <t>Completed</t>
        </is>
      </c>
      <c r="M270" t="inlineStr">
        <is>
          <t>Faraji Reza</t>
        </is>
      </c>
      <c r="N270" t="inlineStr">
        <is>
          <t>Kalaei Saman</t>
        </is>
      </c>
      <c r="O270" s="42" t="n">
        <v>46004.61630787037</v>
      </c>
      <c r="Q270" s="42" t="n">
        <v>46004.61630787037</v>
      </c>
      <c r="S270" t="n">
        <v>0</v>
      </c>
      <c r="T270" s="42" t="n">
        <v>46004.61630787037</v>
      </c>
      <c r="Z270" s="42" t="n">
        <v>46004.61630787037</v>
      </c>
      <c r="AA270" t="n">
        <v>0</v>
      </c>
      <c r="AD270" t="n">
        <v>2</v>
      </c>
      <c r="AE270" t="n">
        <v>2</v>
      </c>
      <c r="AF270" t="n">
        <v>0</v>
      </c>
      <c r="AI270" t="n">
        <v>0</v>
      </c>
      <c r="AJ270" t="n">
        <v>0</v>
      </c>
      <c r="AK270" t="n">
        <v>0</v>
      </c>
      <c r="AL270" t="n">
        <v>0</v>
      </c>
      <c r="AN270" t="n">
        <v>0</v>
      </c>
      <c r="AO270" t="n">
        <v>0</v>
      </c>
      <c r="AP270" t="n">
        <v>0</v>
      </c>
      <c r="AQ270" t="n">
        <v>24</v>
      </c>
      <c r="AR270" t="n">
        <v>0</v>
      </c>
    </row>
    <row r="271">
      <c r="A271" t="n">
        <v>199991</v>
      </c>
      <c r="B271" t="inlineStr">
        <is>
          <t>بازیابی -بازدارنده -عدم نمایش اسناد ستادی     s.kh</t>
        </is>
      </c>
      <c r="D271" t="inlineStr">
        <is>
          <t>Medium</t>
        </is>
      </c>
      <c r="E271" t="n">
        <v>2</v>
      </c>
      <c r="F271" t="inlineStr">
        <is>
          <t>Closed</t>
        </is>
      </c>
      <c r="G271" t="inlineStr">
        <is>
          <t>Other</t>
        </is>
      </c>
      <c r="J271" t="inlineStr">
        <is>
          <t>Stagnant Archive</t>
        </is>
      </c>
      <c r="K271" t="inlineStr">
        <is>
          <t>Sp_22</t>
        </is>
      </c>
      <c r="L271" t="inlineStr">
        <is>
          <t>Completed</t>
        </is>
      </c>
      <c r="M271" t="inlineStr">
        <is>
          <t>Homayoun Mohammad</t>
        </is>
      </c>
      <c r="N271" t="inlineStr">
        <is>
          <t>Khodabakhsh Sadaf</t>
        </is>
      </c>
      <c r="O271" s="42" t="n">
        <v>46001.669375</v>
      </c>
      <c r="Q271" s="42" t="n">
        <v>46001.669375</v>
      </c>
      <c r="S271" t="n">
        <v>0</v>
      </c>
      <c r="T271" s="42" t="n">
        <v>46001.669375</v>
      </c>
      <c r="Z271" s="42" t="n">
        <v>46001.669375</v>
      </c>
      <c r="AA271" t="n">
        <v>0</v>
      </c>
      <c r="AD271" t="n">
        <v>2</v>
      </c>
      <c r="AE271" t="n">
        <v>2</v>
      </c>
      <c r="AF271" t="n">
        <v>0</v>
      </c>
      <c r="AI271" t="n">
        <v>0</v>
      </c>
      <c r="AJ271" t="n">
        <v>0</v>
      </c>
      <c r="AK271" t="n">
        <v>0</v>
      </c>
      <c r="AL271" t="n">
        <v>0</v>
      </c>
      <c r="AN271" t="n">
        <v>0</v>
      </c>
      <c r="AO271" t="n">
        <v>0</v>
      </c>
      <c r="AP271" t="n">
        <v>0</v>
      </c>
      <c r="AQ271" t="n">
        <v>24</v>
      </c>
      <c r="AR271" t="n">
        <v>0</v>
      </c>
    </row>
    <row r="272">
      <c r="A272" t="n">
        <v>199993</v>
      </c>
      <c r="B272" t="inlineStr">
        <is>
          <t>بازیابی -نمایش اشتباه وضعیت    s.kh</t>
        </is>
      </c>
      <c r="D272" t="inlineStr">
        <is>
          <t>Medium</t>
        </is>
      </c>
      <c r="E272" t="n">
        <v>2</v>
      </c>
      <c r="F272" t="inlineStr">
        <is>
          <t>Closed</t>
        </is>
      </c>
      <c r="G272" t="inlineStr">
        <is>
          <t>Other</t>
        </is>
      </c>
      <c r="J272" t="inlineStr">
        <is>
          <t>Stagnant Archive</t>
        </is>
      </c>
      <c r="K272" t="inlineStr">
        <is>
          <t>Sp_22</t>
        </is>
      </c>
      <c r="L272" t="inlineStr">
        <is>
          <t>Completed</t>
        </is>
      </c>
      <c r="M272" t="inlineStr">
        <is>
          <t>Homayoun Mohammad</t>
        </is>
      </c>
      <c r="N272" t="inlineStr">
        <is>
          <t>Khodabakhsh Sadaf</t>
        </is>
      </c>
      <c r="O272" s="42" t="n">
        <v>46004.90552083333</v>
      </c>
      <c r="Q272" s="42" t="n">
        <v>46004.90552083333</v>
      </c>
      <c r="S272" t="n">
        <v>0</v>
      </c>
      <c r="T272" s="42" t="n">
        <v>46004.90552083333</v>
      </c>
      <c r="Z272" s="42" t="n">
        <v>46004.90552083333</v>
      </c>
      <c r="AA272" t="n">
        <v>0</v>
      </c>
      <c r="AD272" t="n">
        <v>2</v>
      </c>
      <c r="AE272" t="n">
        <v>2</v>
      </c>
      <c r="AF272" t="n">
        <v>0</v>
      </c>
      <c r="AI272" t="n">
        <v>0</v>
      </c>
      <c r="AJ272" t="n">
        <v>0</v>
      </c>
      <c r="AK272" t="n">
        <v>0</v>
      </c>
      <c r="AL272" t="n">
        <v>0</v>
      </c>
      <c r="AN272" t="n">
        <v>0</v>
      </c>
      <c r="AO272" t="n">
        <v>0</v>
      </c>
      <c r="AP272" t="n">
        <v>0</v>
      </c>
      <c r="AQ272" t="n">
        <v>24</v>
      </c>
      <c r="AR272" t="n">
        <v>0</v>
      </c>
    </row>
    <row r="273">
      <c r="A273" t="n">
        <v>199997</v>
      </c>
      <c r="B273" t="inlineStr">
        <is>
          <t xml:space="preserve">تاریخچه فعالیت  پیغام خطا می دهد/ 1382,1377 </t>
        </is>
      </c>
      <c r="D273" t="inlineStr">
        <is>
          <t>Medium</t>
        </is>
      </c>
      <c r="E273" t="n">
        <v>1</v>
      </c>
      <c r="F273" t="inlineStr">
        <is>
          <t>Closed</t>
        </is>
      </c>
      <c r="G273" t="inlineStr">
        <is>
          <t>Other</t>
        </is>
      </c>
      <c r="J273" t="inlineStr">
        <is>
          <t>Dem</t>
        </is>
      </c>
      <c r="K273" t="inlineStr">
        <is>
          <t>DemBiz</t>
        </is>
      </c>
      <c r="L273" t="inlineStr">
        <is>
          <t>Completed</t>
        </is>
      </c>
      <c r="M273" t="inlineStr">
        <is>
          <t>Hoseini Fatemeh</t>
        </is>
      </c>
      <c r="N273" t="inlineStr">
        <is>
          <t>Hajizadeh Elnaz</t>
        </is>
      </c>
      <c r="O273" s="42" t="n">
        <v>46012.70178240741</v>
      </c>
      <c r="Q273" s="42" t="n">
        <v>46012.70178240741</v>
      </c>
      <c r="S273" t="n">
        <v>0</v>
      </c>
      <c r="T273" s="42" t="n">
        <v>46012.70178240741</v>
      </c>
      <c r="Z273" s="42" t="n">
        <v>46012.70178240741</v>
      </c>
      <c r="AA273" t="n">
        <v>0</v>
      </c>
      <c r="AD273" t="n">
        <v>2</v>
      </c>
      <c r="AE273" t="n">
        <v>2</v>
      </c>
      <c r="AF273" t="n">
        <v>0</v>
      </c>
      <c r="AI273" t="n">
        <v>0</v>
      </c>
      <c r="AJ273" t="n">
        <v>0</v>
      </c>
      <c r="AK273" t="n">
        <v>0</v>
      </c>
      <c r="AL273" t="n">
        <v>0</v>
      </c>
      <c r="AN273" t="n">
        <v>0</v>
      </c>
      <c r="AO273" t="n">
        <v>0</v>
      </c>
      <c r="AP273" t="n">
        <v>0</v>
      </c>
      <c r="AQ273" t="n">
        <v>24</v>
      </c>
      <c r="AR273" t="n">
        <v>0</v>
      </c>
    </row>
    <row r="274">
      <c r="A274" t="n">
        <v>200002</v>
      </c>
      <c r="B274" t="inlineStr">
        <is>
          <t>با سرچ مشتری  در فرم  بررسی و گزارش نویسی پرونده  پیغام خطا می دهد1382</t>
        </is>
      </c>
      <c r="D274" t="inlineStr">
        <is>
          <t>Medium</t>
        </is>
      </c>
      <c r="E274" t="n">
        <v>2</v>
      </c>
      <c r="F274" t="inlineStr">
        <is>
          <t>Closed</t>
        </is>
      </c>
      <c r="G274" t="inlineStr">
        <is>
          <t>Other</t>
        </is>
      </c>
      <c r="J274" t="inlineStr">
        <is>
          <t>Dem</t>
        </is>
      </c>
      <c r="K274" t="inlineStr">
        <is>
          <t>DemBiz</t>
        </is>
      </c>
      <c r="M274" t="inlineStr">
        <is>
          <t>Hoseini Fatemeh</t>
        </is>
      </c>
      <c r="N274" t="inlineStr">
        <is>
          <t>Hajizadeh Elnaz</t>
        </is>
      </c>
      <c r="O274" s="42" t="n">
        <v>46000.43174768519</v>
      </c>
      <c r="Q274" s="42" t="n">
        <v>46000.43174768519</v>
      </c>
      <c r="S274" t="n">
        <v>0</v>
      </c>
      <c r="T274" s="42" t="n">
        <v>46000.43174768519</v>
      </c>
      <c r="Z274" s="42" t="n">
        <v>46000.43174768519</v>
      </c>
      <c r="AA274" t="n">
        <v>0</v>
      </c>
      <c r="AD274" t="n">
        <v>2</v>
      </c>
      <c r="AE274" t="n">
        <v>2</v>
      </c>
      <c r="AF274" t="n">
        <v>0</v>
      </c>
      <c r="AI274" t="n">
        <v>0</v>
      </c>
      <c r="AJ274" t="n">
        <v>0</v>
      </c>
      <c r="AK274" t="n">
        <v>0</v>
      </c>
      <c r="AL274" t="n">
        <v>0</v>
      </c>
      <c r="AN274" t="n">
        <v>0</v>
      </c>
      <c r="AO274" t="n">
        <v>0</v>
      </c>
      <c r="AP274" t="n">
        <v>0</v>
      </c>
      <c r="AQ274" t="n">
        <v>24</v>
      </c>
      <c r="AR274" t="n">
        <v>0</v>
      </c>
    </row>
    <row r="275">
      <c r="A275" t="n">
        <v>200005</v>
      </c>
      <c r="B275" t="inlineStr">
        <is>
          <t xml:space="preserve">دکمه ذخیره از  گزارش  اطلاعات بروز رسانی سامانه حذف شود/NFWDem  </t>
        </is>
      </c>
      <c r="D275" t="inlineStr">
        <is>
          <t>Medium</t>
        </is>
      </c>
      <c r="E275" t="n">
        <v>1</v>
      </c>
      <c r="F275" t="inlineStr">
        <is>
          <t>Closed</t>
        </is>
      </c>
      <c r="G275" t="inlineStr">
        <is>
          <t>Other</t>
        </is>
      </c>
      <c r="J275" t="inlineStr">
        <is>
          <t>Infrastructure Bizagi Extension</t>
        </is>
      </c>
      <c r="K275" t="inlineStr">
        <is>
          <t>SP_88</t>
        </is>
      </c>
      <c r="L275" t="inlineStr">
        <is>
          <t>Completed</t>
        </is>
      </c>
      <c r="M275" t="inlineStr">
        <is>
          <t>Parvaz Maryam</t>
        </is>
      </c>
      <c r="N275" t="inlineStr">
        <is>
          <t>Hajizadeh Elnaz</t>
        </is>
      </c>
      <c r="O275" s="42" t="n">
        <v>46014.42542824074</v>
      </c>
      <c r="Q275" s="42" t="n">
        <v>46014.42542824074</v>
      </c>
      <c r="S275" t="n">
        <v>0</v>
      </c>
      <c r="T275" s="42" t="n">
        <v>46014.42542824074</v>
      </c>
      <c r="Z275" s="42" t="n">
        <v>46014.42542824074</v>
      </c>
      <c r="AA275" t="n">
        <v>0</v>
      </c>
      <c r="AD275" t="n">
        <v>2</v>
      </c>
      <c r="AE275" t="n">
        <v>2</v>
      </c>
      <c r="AF275" t="n">
        <v>0</v>
      </c>
      <c r="AI275" t="n">
        <v>0</v>
      </c>
      <c r="AJ275" t="n">
        <v>0</v>
      </c>
      <c r="AK275" t="n">
        <v>0</v>
      </c>
      <c r="AL275" t="n">
        <v>0</v>
      </c>
      <c r="AN275" t="n">
        <v>0</v>
      </c>
      <c r="AO275" t="n">
        <v>0</v>
      </c>
      <c r="AP275" t="n">
        <v>0</v>
      </c>
      <c r="AQ275" t="n">
        <v>24</v>
      </c>
      <c r="AR275" t="n">
        <v>0</v>
      </c>
    </row>
    <row r="276">
      <c r="A276" t="n">
        <v>200007</v>
      </c>
      <c r="B276" t="inlineStr">
        <is>
          <t xml:space="preserve">تنظیم و ویرایش صورت مجلس تفکیکی در دو مرحله در یک سناریوی خاص </t>
        </is>
      </c>
      <c r="D276" t="inlineStr">
        <is>
          <t>Medium</t>
        </is>
      </c>
      <c r="E276" t="n">
        <v>4</v>
      </c>
      <c r="F276" t="inlineStr">
        <is>
          <t>Ready for Retest</t>
        </is>
      </c>
      <c r="G276" t="inlineStr">
        <is>
          <t>Other</t>
        </is>
      </c>
      <c r="I276" t="inlineStr">
        <is>
          <t>Bizagi_Team</t>
        </is>
      </c>
      <c r="J276" t="inlineStr">
        <is>
          <t>SAJAK</t>
        </is>
      </c>
      <c r="K276" t="inlineStr">
        <is>
          <t>Estate_Sprint 45</t>
        </is>
      </c>
      <c r="M276" t="inlineStr">
        <is>
          <t>Tedadi Abbas</t>
        </is>
      </c>
      <c r="Q276" s="42" t="n">
        <v>46011.43327546296</v>
      </c>
      <c r="S276" t="n">
        <v>0</v>
      </c>
      <c r="T276" s="42" t="n">
        <v>46011.43327546296</v>
      </c>
      <c r="AA276" t="n">
        <v>0</v>
      </c>
      <c r="AD276" t="n">
        <v>2</v>
      </c>
      <c r="AE276" t="n">
        <v>2</v>
      </c>
      <c r="AF276" t="n">
        <v>0</v>
      </c>
      <c r="AI276" t="n">
        <v>0</v>
      </c>
      <c r="AJ276" t="n">
        <v>0</v>
      </c>
      <c r="AN276" t="n">
        <v>0</v>
      </c>
      <c r="AO276" t="n">
        <v>0</v>
      </c>
      <c r="AP276" t="n">
        <v>0</v>
      </c>
      <c r="AQ276" t="n">
        <v>24</v>
      </c>
      <c r="AR276" t="n">
        <v>0</v>
      </c>
    </row>
    <row r="277">
      <c r="A277" t="n">
        <v>200014</v>
      </c>
      <c r="B277" t="inlineStr">
        <is>
          <t>بررسی باجه هایی غیرفعالی در orgunitstructure که isactive در countercode فالس است</t>
        </is>
      </c>
      <c r="D277" t="inlineStr">
        <is>
          <t>Medium</t>
        </is>
      </c>
      <c r="E277" t="n">
        <v>2</v>
      </c>
      <c r="F277" t="inlineStr">
        <is>
          <t>Open</t>
        </is>
      </c>
      <c r="G277" t="inlineStr">
        <is>
          <t>Other</t>
        </is>
      </c>
      <c r="J277" t="inlineStr">
        <is>
          <t>Post Bank</t>
        </is>
      </c>
      <c r="K277" t="inlineStr">
        <is>
          <t>Sprint 21</t>
        </is>
      </c>
      <c r="M277" t="inlineStr">
        <is>
          <t>Arshi Mahmood</t>
        </is>
      </c>
      <c r="Q277" s="42" t="n">
        <v>46008.70584490741</v>
      </c>
      <c r="S277" t="n">
        <v>0</v>
      </c>
      <c r="T277" s="42" t="n">
        <v>46008.70584490741</v>
      </c>
      <c r="AA277" t="n">
        <v>0</v>
      </c>
      <c r="AD277" t="n">
        <v>2</v>
      </c>
      <c r="AE277" t="n">
        <v>2</v>
      </c>
      <c r="AF277" t="n">
        <v>0</v>
      </c>
      <c r="AI277" t="n">
        <v>0</v>
      </c>
      <c r="AJ277" t="n">
        <v>0</v>
      </c>
      <c r="AM277" t="n">
        <v>9</v>
      </c>
      <c r="AN277" t="n">
        <v>0</v>
      </c>
      <c r="AO277" t="n">
        <v>0</v>
      </c>
      <c r="AP277" t="n">
        <v>0</v>
      </c>
      <c r="AQ277" t="n">
        <v>24</v>
      </c>
      <c r="AR277" t="n">
        <v>0</v>
      </c>
    </row>
    <row r="278">
      <c r="A278" t="n">
        <v>200021</v>
      </c>
      <c r="B278" t="inlineStr">
        <is>
          <t>در مدیریت کاربران شاغلین فیلتر islastversion لحاظ نشده است</t>
        </is>
      </c>
      <c r="D278" t="inlineStr">
        <is>
          <t>Medium</t>
        </is>
      </c>
      <c r="E278" t="n">
        <v>2</v>
      </c>
      <c r="F278" t="inlineStr">
        <is>
          <t>Open</t>
        </is>
      </c>
      <c r="G278" t="inlineStr">
        <is>
          <t>Other</t>
        </is>
      </c>
      <c r="J278" t="inlineStr">
        <is>
          <t>Post Bank</t>
        </is>
      </c>
      <c r="K278" t="inlineStr">
        <is>
          <t>Sprint 21</t>
        </is>
      </c>
      <c r="M278" t="inlineStr">
        <is>
          <t>Arshi Mahmood</t>
        </is>
      </c>
      <c r="Q278" s="42" t="n">
        <v>46008.70596064815</v>
      </c>
      <c r="S278" t="n">
        <v>0</v>
      </c>
      <c r="T278" s="42" t="n">
        <v>46008.70596064815</v>
      </c>
      <c r="AA278" t="n">
        <v>0</v>
      </c>
      <c r="AD278" t="n">
        <v>2</v>
      </c>
      <c r="AE278" t="n">
        <v>2</v>
      </c>
      <c r="AF278" t="n">
        <v>0</v>
      </c>
      <c r="AI278" t="n">
        <v>0</v>
      </c>
      <c r="AJ278" t="n">
        <v>0</v>
      </c>
      <c r="AM278" t="n">
        <v>9</v>
      </c>
      <c r="AN278" t="n">
        <v>0</v>
      </c>
      <c r="AO278" t="n">
        <v>0</v>
      </c>
      <c r="AP278" t="n">
        <v>0</v>
      </c>
      <c r="AQ278" t="n">
        <v>24</v>
      </c>
      <c r="AR278" t="n">
        <v>0</v>
      </c>
    </row>
    <row r="279">
      <c r="A279" t="n">
        <v>200072</v>
      </c>
      <c r="B279" t="inlineStr">
        <is>
          <t>ثبت پاراف در مشاهده نتیجه کمیته باگ دارد /1382</t>
        </is>
      </c>
      <c r="D279" t="inlineStr">
        <is>
          <t>Medium</t>
        </is>
      </c>
      <c r="E279" t="n">
        <v>1</v>
      </c>
      <c r="F279" t="inlineStr">
        <is>
          <t>Closed</t>
        </is>
      </c>
      <c r="G279" t="inlineStr">
        <is>
          <t>Other</t>
        </is>
      </c>
      <c r="J279" t="inlineStr">
        <is>
          <t>Dem</t>
        </is>
      </c>
      <c r="K279" t="inlineStr">
        <is>
          <t>DemBiz</t>
        </is>
      </c>
      <c r="M279" t="inlineStr">
        <is>
          <t>Hoseini Fatemeh</t>
        </is>
      </c>
      <c r="N279" t="inlineStr">
        <is>
          <t>Hajizadeh Elnaz</t>
        </is>
      </c>
      <c r="O279" s="42" t="n">
        <v>46000.55615740741</v>
      </c>
      <c r="Q279" s="42" t="n">
        <v>46000.55615740741</v>
      </c>
      <c r="S279" t="n">
        <v>0</v>
      </c>
      <c r="T279" s="42" t="n">
        <v>46000.55615740741</v>
      </c>
      <c r="Z279" s="42" t="n">
        <v>46000.55615740741</v>
      </c>
      <c r="AA279" t="n">
        <v>0</v>
      </c>
      <c r="AD279" t="n">
        <v>2</v>
      </c>
      <c r="AE279" t="n">
        <v>2</v>
      </c>
      <c r="AF279" t="n">
        <v>0</v>
      </c>
      <c r="AI279" t="n">
        <v>0</v>
      </c>
      <c r="AJ279" t="n">
        <v>0</v>
      </c>
      <c r="AK279" t="n">
        <v>0</v>
      </c>
      <c r="AL279" t="n">
        <v>0</v>
      </c>
      <c r="AN279" t="n">
        <v>0</v>
      </c>
      <c r="AO279" t="n">
        <v>0</v>
      </c>
      <c r="AP279" t="n">
        <v>0</v>
      </c>
      <c r="AQ279" t="n">
        <v>24</v>
      </c>
      <c r="AR279" t="n">
        <v>0</v>
      </c>
    </row>
    <row r="280">
      <c r="A280" t="n">
        <v>200077</v>
      </c>
      <c r="B280" t="inlineStr">
        <is>
          <t>به هم ریختن صورتمجلس تفکیکی با وارد کردن تعداد کاراکتر زیاد در هنگام ویرایش</t>
        </is>
      </c>
      <c r="D280" t="inlineStr">
        <is>
          <t>Medium</t>
        </is>
      </c>
      <c r="E280" t="n">
        <v>4</v>
      </c>
      <c r="F280" t="inlineStr">
        <is>
          <t>Ready for Retest</t>
        </is>
      </c>
      <c r="G280" t="inlineStr">
        <is>
          <t>Other</t>
        </is>
      </c>
      <c r="I280" t="inlineStr">
        <is>
          <t>Bizagi_Team</t>
        </is>
      </c>
      <c r="J280" t="inlineStr">
        <is>
          <t>SAJAK</t>
        </is>
      </c>
      <c r="K280" t="inlineStr">
        <is>
          <t>Estate_Sprint 45</t>
        </is>
      </c>
      <c r="M280" t="inlineStr">
        <is>
          <t>Tedadi Abbas</t>
        </is>
      </c>
      <c r="Q280" s="42" t="n">
        <v>46006.58328703704</v>
      </c>
      <c r="S280" t="n">
        <v>0</v>
      </c>
      <c r="T280" s="42" t="n">
        <v>46006.58328703704</v>
      </c>
      <c r="AA280" t="n">
        <v>0</v>
      </c>
      <c r="AD280" t="n">
        <v>2</v>
      </c>
      <c r="AE280" t="n">
        <v>2</v>
      </c>
      <c r="AF280" t="n">
        <v>0</v>
      </c>
      <c r="AI280" t="n">
        <v>0</v>
      </c>
      <c r="AJ280" t="n">
        <v>0</v>
      </c>
      <c r="AN280" t="n">
        <v>0</v>
      </c>
      <c r="AO280" t="n">
        <v>0</v>
      </c>
      <c r="AP280" t="n">
        <v>0</v>
      </c>
      <c r="AQ280" t="n">
        <v>24</v>
      </c>
      <c r="AR280" t="n">
        <v>0</v>
      </c>
    </row>
    <row r="281">
      <c r="A281" t="n">
        <v>200118</v>
      </c>
      <c r="B281" t="inlineStr">
        <is>
          <t>Mom01_بررسی پرونده هیات-خطا در ارجاع</t>
        </is>
      </c>
      <c r="D281" t="inlineStr">
        <is>
          <t>Medium</t>
        </is>
      </c>
      <c r="E281" t="n">
        <v>2</v>
      </c>
      <c r="F281" t="inlineStr">
        <is>
          <t>Active</t>
        </is>
      </c>
      <c r="G281" t="inlineStr">
        <is>
          <t>Other</t>
        </is>
      </c>
      <c r="I281" t="inlineStr">
        <is>
          <t>Bizagi_Team</t>
        </is>
      </c>
      <c r="J281" t="inlineStr">
        <is>
          <t>SAJAK</t>
        </is>
      </c>
      <c r="K281" t="inlineStr">
        <is>
          <t>Estate_Sprint 45</t>
        </is>
      </c>
      <c r="M281" t="inlineStr">
        <is>
          <t>Tedadi Abbas</t>
        </is>
      </c>
      <c r="Q281" s="42" t="n">
        <v>46006.60532407407</v>
      </c>
      <c r="S281" t="n">
        <v>0</v>
      </c>
      <c r="T281" s="42" t="n">
        <v>46006.60532407407</v>
      </c>
      <c r="AA281" t="n">
        <v>0</v>
      </c>
      <c r="AD281" t="n">
        <v>2</v>
      </c>
      <c r="AE281" t="n">
        <v>2</v>
      </c>
      <c r="AF281" t="n">
        <v>0</v>
      </c>
      <c r="AI281" t="n">
        <v>0</v>
      </c>
      <c r="AJ281" t="n">
        <v>0</v>
      </c>
      <c r="AM281" t="n">
        <v>11</v>
      </c>
      <c r="AN281" t="n">
        <v>0</v>
      </c>
      <c r="AO281" t="n">
        <v>0</v>
      </c>
      <c r="AP281" t="n">
        <v>0</v>
      </c>
      <c r="AQ281" t="n">
        <v>24</v>
      </c>
      <c r="AR281" t="n">
        <v>0</v>
      </c>
    </row>
    <row r="282">
      <c r="A282" t="n">
        <v>200150</v>
      </c>
      <c r="B282" t="inlineStr">
        <is>
          <t>Mom01_بررسی پرونده هیات-عدم نمایش اطلاعات درخواست</t>
        </is>
      </c>
      <c r="D282" t="inlineStr">
        <is>
          <t>Medium</t>
        </is>
      </c>
      <c r="E282" t="n">
        <v>2</v>
      </c>
      <c r="F282" t="inlineStr">
        <is>
          <t>Active</t>
        </is>
      </c>
      <c r="G282" t="inlineStr">
        <is>
          <t>Other</t>
        </is>
      </c>
      <c r="I282" t="inlineStr">
        <is>
          <t>Bizagi_Team</t>
        </is>
      </c>
      <c r="J282" t="inlineStr">
        <is>
          <t>SAJAK</t>
        </is>
      </c>
      <c r="K282" t="inlineStr">
        <is>
          <t>Estate_Sprint 45</t>
        </is>
      </c>
      <c r="M282" t="inlineStr">
        <is>
          <t>Tedadi Abbas</t>
        </is>
      </c>
      <c r="Q282" s="42" t="n">
        <v>46011.69527777778</v>
      </c>
      <c r="S282" t="n">
        <v>0</v>
      </c>
      <c r="T282" s="42" t="n">
        <v>46011.69527777778</v>
      </c>
      <c r="AA282" t="n">
        <v>0</v>
      </c>
      <c r="AD282" t="n">
        <v>2</v>
      </c>
      <c r="AE282" t="n">
        <v>2</v>
      </c>
      <c r="AF282" t="n">
        <v>0</v>
      </c>
      <c r="AI282" t="n">
        <v>0</v>
      </c>
      <c r="AJ282" t="n">
        <v>0</v>
      </c>
      <c r="AM282" t="n">
        <v>6</v>
      </c>
      <c r="AN282" t="n">
        <v>0</v>
      </c>
      <c r="AO282" t="n">
        <v>0</v>
      </c>
      <c r="AP282" t="n">
        <v>0</v>
      </c>
      <c r="AQ282" t="n">
        <v>24</v>
      </c>
      <c r="AR282" t="n">
        <v>0</v>
      </c>
    </row>
    <row r="283">
      <c r="A283" t="n">
        <v>200151</v>
      </c>
      <c r="B283" t="inlineStr">
        <is>
          <t>Mom01_برگزاری جلسه هیات-عدم نمایش استان واحد ثبتی</t>
        </is>
      </c>
      <c r="D283" t="inlineStr">
        <is>
          <t>Medium</t>
        </is>
      </c>
      <c r="E283" t="n">
        <v>2</v>
      </c>
      <c r="F283" t="inlineStr">
        <is>
          <t>Active</t>
        </is>
      </c>
      <c r="G283" t="inlineStr">
        <is>
          <t>Other</t>
        </is>
      </c>
      <c r="I283" t="inlineStr">
        <is>
          <t>Bizagi_Team</t>
        </is>
      </c>
      <c r="J283" t="inlineStr">
        <is>
          <t>SAJAK</t>
        </is>
      </c>
      <c r="K283" t="inlineStr">
        <is>
          <t>Estate_Sprint 45</t>
        </is>
      </c>
      <c r="M283" t="inlineStr">
        <is>
          <t>Shamsfard Ahmad</t>
        </is>
      </c>
      <c r="Q283" s="42" t="n">
        <v>46011.46113425926</v>
      </c>
      <c r="S283" t="n">
        <v>0</v>
      </c>
      <c r="T283" s="42" t="n">
        <v>46011.46113425926</v>
      </c>
      <c r="AA283" t="n">
        <v>0</v>
      </c>
      <c r="AD283" t="n">
        <v>2</v>
      </c>
      <c r="AE283" t="n">
        <v>2</v>
      </c>
      <c r="AF283" t="n">
        <v>0</v>
      </c>
      <c r="AI283" t="n">
        <v>0</v>
      </c>
      <c r="AJ283" t="n">
        <v>0</v>
      </c>
      <c r="AM283" t="n">
        <v>6</v>
      </c>
      <c r="AN283" t="n">
        <v>0</v>
      </c>
      <c r="AO283" t="n">
        <v>0</v>
      </c>
      <c r="AP283" t="n">
        <v>0</v>
      </c>
      <c r="AQ283" t="n">
        <v>24</v>
      </c>
      <c r="AR283" t="n">
        <v>0</v>
      </c>
    </row>
    <row r="284">
      <c r="A284" t="n">
        <v>200152</v>
      </c>
      <c r="B284" t="inlineStr">
        <is>
          <t>Mom01_برگزاری جلسه هیات-نمایش لینک در زمان جلسه حضوری</t>
        </is>
      </c>
      <c r="D284" t="inlineStr">
        <is>
          <t>Medium</t>
        </is>
      </c>
      <c r="E284" t="n">
        <v>2</v>
      </c>
      <c r="F284" t="inlineStr">
        <is>
          <t>Ready for Retest</t>
        </is>
      </c>
      <c r="G284" t="inlineStr">
        <is>
          <t>Other</t>
        </is>
      </c>
      <c r="I284" t="inlineStr">
        <is>
          <t>Bizagi_Team</t>
        </is>
      </c>
      <c r="J284" t="inlineStr">
        <is>
          <t>SAJAK</t>
        </is>
      </c>
      <c r="K284" t="inlineStr">
        <is>
          <t>Estate_Sprint 45</t>
        </is>
      </c>
      <c r="M284" t="inlineStr">
        <is>
          <t>Tedadi Abbas</t>
        </is>
      </c>
      <c r="Q284" s="42" t="n">
        <v>46006.60597222222</v>
      </c>
      <c r="S284" t="n">
        <v>0</v>
      </c>
      <c r="T284" s="42" t="n">
        <v>46006.60597222222</v>
      </c>
      <c r="AA284" t="n">
        <v>0</v>
      </c>
      <c r="AD284" t="n">
        <v>2</v>
      </c>
      <c r="AE284" t="n">
        <v>2</v>
      </c>
      <c r="AF284" t="n">
        <v>0</v>
      </c>
      <c r="AI284" t="n">
        <v>0</v>
      </c>
      <c r="AJ284" t="n">
        <v>0</v>
      </c>
      <c r="AN284" t="n">
        <v>0</v>
      </c>
      <c r="AO284" t="n">
        <v>0</v>
      </c>
      <c r="AP284" t="n">
        <v>0</v>
      </c>
      <c r="AQ284" t="n">
        <v>24</v>
      </c>
      <c r="AR284" t="n">
        <v>0</v>
      </c>
    </row>
    <row r="285">
      <c r="A285" t="n">
        <v>200153</v>
      </c>
      <c r="B285" t="inlineStr">
        <is>
          <t>MOM01-برگزاری جلسه-نمایش دو کمبو نتیجه هیات</t>
        </is>
      </c>
      <c r="D285" t="inlineStr">
        <is>
          <t>Medium</t>
        </is>
      </c>
      <c r="E285" t="n">
        <v>1</v>
      </c>
      <c r="F285" t="inlineStr">
        <is>
          <t>Active</t>
        </is>
      </c>
      <c r="G285" t="inlineStr">
        <is>
          <t>Other</t>
        </is>
      </c>
      <c r="I285" t="inlineStr">
        <is>
          <t>Bizagi_Team</t>
        </is>
      </c>
      <c r="J285" t="inlineStr">
        <is>
          <t>SAJAK</t>
        </is>
      </c>
      <c r="K285" t="inlineStr">
        <is>
          <t>Estate_Sprint 45</t>
        </is>
      </c>
      <c r="M285" t="inlineStr">
        <is>
          <t>Tedadi Abbas</t>
        </is>
      </c>
      <c r="Q285" s="42" t="n">
        <v>46011.66986111111</v>
      </c>
      <c r="S285" t="n">
        <v>0</v>
      </c>
      <c r="T285" s="42" t="n">
        <v>46011.66986111111</v>
      </c>
      <c r="AA285" t="n">
        <v>0</v>
      </c>
      <c r="AD285" t="n">
        <v>2</v>
      </c>
      <c r="AE285" t="n">
        <v>2</v>
      </c>
      <c r="AF285" t="n">
        <v>0</v>
      </c>
      <c r="AI285" t="n">
        <v>0</v>
      </c>
      <c r="AJ285" t="n">
        <v>0</v>
      </c>
      <c r="AM285" t="n">
        <v>6</v>
      </c>
      <c r="AN285" t="n">
        <v>0</v>
      </c>
      <c r="AO285" t="n">
        <v>0</v>
      </c>
      <c r="AP285" t="n">
        <v>0</v>
      </c>
      <c r="AQ285" t="n">
        <v>24</v>
      </c>
      <c r="AR285" t="n">
        <v>0</v>
      </c>
    </row>
    <row r="286">
      <c r="A286" t="n">
        <v>200161</v>
      </c>
      <c r="B286" t="inlineStr">
        <is>
          <t>MOM01-برگزاری جلسه-صدور رای هیات</t>
        </is>
      </c>
      <c r="D286" t="inlineStr">
        <is>
          <t>Medium</t>
        </is>
      </c>
      <c r="E286" t="n">
        <v>1</v>
      </c>
      <c r="F286" t="inlineStr">
        <is>
          <t>Active</t>
        </is>
      </c>
      <c r="G286" t="inlineStr">
        <is>
          <t>Other</t>
        </is>
      </c>
      <c r="I286" t="inlineStr">
        <is>
          <t>Bizagi_Team</t>
        </is>
      </c>
      <c r="J286" t="inlineStr">
        <is>
          <t>SAJAK</t>
        </is>
      </c>
      <c r="K286" t="inlineStr">
        <is>
          <t>Estate_Sprint 45</t>
        </is>
      </c>
      <c r="M286" t="inlineStr">
        <is>
          <t>Tedadi Abbas</t>
        </is>
      </c>
      <c r="Q286" s="42" t="n">
        <v>46006.59708333333</v>
      </c>
      <c r="S286" t="n">
        <v>0</v>
      </c>
      <c r="T286" s="42" t="n">
        <v>46006.59708333333</v>
      </c>
      <c r="AA286" t="n">
        <v>0</v>
      </c>
      <c r="AD286" t="n">
        <v>2</v>
      </c>
      <c r="AE286" t="n">
        <v>2</v>
      </c>
      <c r="AF286" t="n">
        <v>0</v>
      </c>
      <c r="AI286" t="n">
        <v>0</v>
      </c>
      <c r="AJ286" t="n">
        <v>0</v>
      </c>
      <c r="AM286" t="n">
        <v>11</v>
      </c>
      <c r="AN286" t="n">
        <v>0</v>
      </c>
      <c r="AO286" t="n">
        <v>0</v>
      </c>
      <c r="AP286" t="n">
        <v>0</v>
      </c>
      <c r="AQ286" t="n">
        <v>24</v>
      </c>
      <c r="AR286" t="n">
        <v>0</v>
      </c>
    </row>
    <row r="287">
      <c r="A287" t="n">
        <v>200162</v>
      </c>
      <c r="B287" t="inlineStr">
        <is>
          <t>MOM01-برگزاری جلسه-اضافه کردن پرونده-پرونده ها</t>
        </is>
      </c>
      <c r="D287" t="inlineStr">
        <is>
          <t>Medium</t>
        </is>
      </c>
      <c r="E287" t="n">
        <v>1</v>
      </c>
      <c r="F287" t="inlineStr">
        <is>
          <t>Ready for Retest</t>
        </is>
      </c>
      <c r="G287" t="inlineStr">
        <is>
          <t>Other</t>
        </is>
      </c>
      <c r="I287" t="inlineStr">
        <is>
          <t>Bizagi_Team</t>
        </is>
      </c>
      <c r="J287" t="inlineStr">
        <is>
          <t>SAJAK</t>
        </is>
      </c>
      <c r="K287" t="inlineStr">
        <is>
          <t>Estate_Sprint 45</t>
        </is>
      </c>
      <c r="M287" t="inlineStr">
        <is>
          <t>Tedadi Abbas</t>
        </is>
      </c>
      <c r="Q287" s="42" t="n">
        <v>46006.59662037037</v>
      </c>
      <c r="S287" t="n">
        <v>0</v>
      </c>
      <c r="T287" s="42" t="n">
        <v>46006.59662037037</v>
      </c>
      <c r="AA287" t="n">
        <v>0</v>
      </c>
      <c r="AD287" t="n">
        <v>2</v>
      </c>
      <c r="AE287" t="n">
        <v>2</v>
      </c>
      <c r="AF287" t="n">
        <v>0</v>
      </c>
      <c r="AI287" t="n">
        <v>0</v>
      </c>
      <c r="AJ287" t="n">
        <v>0</v>
      </c>
      <c r="AN287" t="n">
        <v>0</v>
      </c>
      <c r="AO287" t="n">
        <v>0</v>
      </c>
      <c r="AP287" t="n">
        <v>0</v>
      </c>
      <c r="AQ287" t="n">
        <v>24</v>
      </c>
      <c r="AR287" t="n">
        <v>0</v>
      </c>
    </row>
    <row r="288">
      <c r="A288" t="n">
        <v>200163</v>
      </c>
      <c r="B288" t="inlineStr">
        <is>
          <t xml:space="preserve">MOM01-گزارش درخواستهای در انتظار هیات </t>
        </is>
      </c>
      <c r="D288" t="inlineStr">
        <is>
          <t>Medium</t>
        </is>
      </c>
      <c r="E288" t="n">
        <v>2</v>
      </c>
      <c r="F288" t="inlineStr">
        <is>
          <t>Active</t>
        </is>
      </c>
      <c r="G288" t="inlineStr">
        <is>
          <t>Other</t>
        </is>
      </c>
      <c r="I288" t="inlineStr">
        <is>
          <t>Bizagi_Team</t>
        </is>
      </c>
      <c r="J288" t="inlineStr">
        <is>
          <t>SAJAK</t>
        </is>
      </c>
      <c r="K288" t="inlineStr">
        <is>
          <t>Estate_Sprint 45</t>
        </is>
      </c>
      <c r="M288" t="inlineStr">
        <is>
          <t>Tedadi Abbas</t>
        </is>
      </c>
      <c r="Q288" s="42" t="n">
        <v>46011.69383101852</v>
      </c>
      <c r="S288" t="n">
        <v>0</v>
      </c>
      <c r="T288" s="42" t="n">
        <v>46011.69383101852</v>
      </c>
      <c r="AA288" t="n">
        <v>0</v>
      </c>
      <c r="AD288" t="n">
        <v>2</v>
      </c>
      <c r="AE288" t="n">
        <v>2</v>
      </c>
      <c r="AF288" t="n">
        <v>0</v>
      </c>
      <c r="AI288" t="n">
        <v>0</v>
      </c>
      <c r="AJ288" t="n">
        <v>0</v>
      </c>
      <c r="AM288" t="n">
        <v>6</v>
      </c>
      <c r="AN288" t="n">
        <v>0</v>
      </c>
      <c r="AO288" t="n">
        <v>0</v>
      </c>
      <c r="AP288" t="n">
        <v>0</v>
      </c>
      <c r="AQ288" t="n">
        <v>24</v>
      </c>
      <c r="AR288" t="n">
        <v>0</v>
      </c>
    </row>
    <row r="289">
      <c r="A289" t="n">
        <v>200165</v>
      </c>
      <c r="B289" t="inlineStr">
        <is>
          <t>بازیابی -نمایش رکورد تکراری     s.kh</t>
        </is>
      </c>
      <c r="D289" t="inlineStr">
        <is>
          <t>Medium</t>
        </is>
      </c>
      <c r="E289" t="n">
        <v>2</v>
      </c>
      <c r="F289" t="inlineStr">
        <is>
          <t>Closed</t>
        </is>
      </c>
      <c r="G289" t="inlineStr">
        <is>
          <t>Other</t>
        </is>
      </c>
      <c r="J289" t="inlineStr">
        <is>
          <t>Stagnant Archive</t>
        </is>
      </c>
      <c r="K289" t="inlineStr">
        <is>
          <t>Sp_22</t>
        </is>
      </c>
      <c r="L289" t="inlineStr">
        <is>
          <t>Completed</t>
        </is>
      </c>
      <c r="M289" t="inlineStr">
        <is>
          <t>Homayoun Mohammad</t>
        </is>
      </c>
      <c r="N289" t="inlineStr">
        <is>
          <t>Khodabakhsh Sadaf</t>
        </is>
      </c>
      <c r="O289" s="42" t="n">
        <v>46004.88322916667</v>
      </c>
      <c r="Q289" s="42" t="n">
        <v>46004.88322916667</v>
      </c>
      <c r="S289" t="n">
        <v>0</v>
      </c>
      <c r="T289" s="42" t="n">
        <v>46004.88322916667</v>
      </c>
      <c r="Z289" s="42" t="n">
        <v>46004.88322916667</v>
      </c>
      <c r="AA289" t="n">
        <v>0</v>
      </c>
      <c r="AD289" t="n">
        <v>2</v>
      </c>
      <c r="AE289" t="n">
        <v>2</v>
      </c>
      <c r="AF289" t="n">
        <v>0</v>
      </c>
      <c r="AI289" t="n">
        <v>0</v>
      </c>
      <c r="AJ289" t="n">
        <v>0</v>
      </c>
      <c r="AK289" t="n">
        <v>0</v>
      </c>
      <c r="AL289" t="n">
        <v>0</v>
      </c>
      <c r="AN289" t="n">
        <v>0</v>
      </c>
      <c r="AO289" t="n">
        <v>0</v>
      </c>
      <c r="AP289" t="n">
        <v>0</v>
      </c>
      <c r="AQ289" t="n">
        <v>24</v>
      </c>
      <c r="AR289" t="n">
        <v>0</v>
      </c>
    </row>
    <row r="290">
      <c r="A290" t="n">
        <v>200168</v>
      </c>
      <c r="B290" t="inlineStr">
        <is>
          <t>بازیابی -عدم نمایش اطلاعات اسناد در نود رئیس     s.kh</t>
        </is>
      </c>
      <c r="D290" t="inlineStr">
        <is>
          <t>Medium</t>
        </is>
      </c>
      <c r="E290" t="n">
        <v>2</v>
      </c>
      <c r="F290" t="inlineStr">
        <is>
          <t>Closed</t>
        </is>
      </c>
      <c r="G290" t="inlineStr">
        <is>
          <t>Other</t>
        </is>
      </c>
      <c r="J290" t="inlineStr">
        <is>
          <t>Stagnant Archive</t>
        </is>
      </c>
      <c r="K290" t="inlineStr">
        <is>
          <t>Sp_22</t>
        </is>
      </c>
      <c r="L290" t="inlineStr">
        <is>
          <t>Completed</t>
        </is>
      </c>
      <c r="M290" t="inlineStr">
        <is>
          <t>Homayoun Mohammad</t>
        </is>
      </c>
      <c r="N290" t="inlineStr">
        <is>
          <t>Khodabakhsh Sadaf</t>
        </is>
      </c>
      <c r="O290" s="42" t="n">
        <v>46005.70442129629</v>
      </c>
      <c r="Q290" s="42" t="n">
        <v>46005.70442129629</v>
      </c>
      <c r="S290" t="n">
        <v>0</v>
      </c>
      <c r="T290" s="42" t="n">
        <v>46005.70442129629</v>
      </c>
      <c r="Z290" s="42" t="n">
        <v>46005.70442129629</v>
      </c>
      <c r="AA290" t="n">
        <v>0</v>
      </c>
      <c r="AD290" t="n">
        <v>2</v>
      </c>
      <c r="AE290" t="n">
        <v>2</v>
      </c>
      <c r="AF290" t="n">
        <v>0</v>
      </c>
      <c r="AI290" t="n">
        <v>0</v>
      </c>
      <c r="AJ290" t="n">
        <v>0</v>
      </c>
      <c r="AK290" t="n">
        <v>0</v>
      </c>
      <c r="AL290" t="n">
        <v>0</v>
      </c>
      <c r="AN290" t="n">
        <v>0</v>
      </c>
      <c r="AO290" t="n">
        <v>0</v>
      </c>
      <c r="AP290" t="n">
        <v>0</v>
      </c>
      <c r="AQ290" t="n">
        <v>24</v>
      </c>
      <c r="AR290" t="n">
        <v>0</v>
      </c>
    </row>
    <row r="291">
      <c r="A291" t="n">
        <v>200184</v>
      </c>
      <c r="B291" t="inlineStr">
        <is>
          <t>عدم کارکردن دکمه محاسبه کل در فرم استعلام  بانک مرکزی /1382</t>
        </is>
      </c>
      <c r="D291" t="inlineStr">
        <is>
          <t>Medium</t>
        </is>
      </c>
      <c r="E291" t="n">
        <v>1</v>
      </c>
      <c r="F291" t="inlineStr">
        <is>
          <t>Closed</t>
        </is>
      </c>
      <c r="G291" t="inlineStr">
        <is>
          <t>Other</t>
        </is>
      </c>
      <c r="J291" t="inlineStr">
        <is>
          <t>Dem</t>
        </is>
      </c>
      <c r="K291" t="inlineStr">
        <is>
          <t>DemBiz</t>
        </is>
      </c>
      <c r="L291" t="inlineStr">
        <is>
          <t>Completed</t>
        </is>
      </c>
      <c r="M291" t="inlineStr">
        <is>
          <t>Moradi Mohammad</t>
        </is>
      </c>
      <c r="N291" t="inlineStr">
        <is>
          <t>Mohseni Hadise</t>
        </is>
      </c>
      <c r="O291" s="42" t="n">
        <v>46008.70559027778</v>
      </c>
      <c r="Q291" s="42" t="n">
        <v>46008.70559027778</v>
      </c>
      <c r="S291" t="n">
        <v>0</v>
      </c>
      <c r="T291" s="42" t="n">
        <v>46008.70559027778</v>
      </c>
      <c r="Z291" s="42" t="n">
        <v>46008.70559027778</v>
      </c>
      <c r="AA291" t="n">
        <v>0</v>
      </c>
      <c r="AD291" t="n">
        <v>2</v>
      </c>
      <c r="AE291" t="n">
        <v>2</v>
      </c>
      <c r="AF291" t="n">
        <v>0</v>
      </c>
      <c r="AI291" t="n">
        <v>0</v>
      </c>
      <c r="AJ291" t="n">
        <v>0</v>
      </c>
      <c r="AK291" t="n">
        <v>0</v>
      </c>
      <c r="AL291" t="n">
        <v>0</v>
      </c>
      <c r="AN291" t="n">
        <v>0</v>
      </c>
      <c r="AO291" t="n">
        <v>0</v>
      </c>
      <c r="AP291" t="n">
        <v>0</v>
      </c>
      <c r="AQ291" t="n">
        <v>24</v>
      </c>
      <c r="AR291" t="n">
        <v>0</v>
      </c>
    </row>
    <row r="292">
      <c r="A292" t="n">
        <v>200188</v>
      </c>
      <c r="B292" t="inlineStr">
        <is>
          <t>عدم محاسبه مجموع فیلد های اعتبار اسنادی کل و مانده وضعیت کل/1382</t>
        </is>
      </c>
      <c r="D292" t="inlineStr">
        <is>
          <t>Medium</t>
        </is>
      </c>
      <c r="E292" t="n">
        <v>1</v>
      </c>
      <c r="F292" t="inlineStr">
        <is>
          <t>Closed</t>
        </is>
      </c>
      <c r="G292" t="inlineStr">
        <is>
          <t>Other</t>
        </is>
      </c>
      <c r="J292" t="inlineStr">
        <is>
          <t>Dem</t>
        </is>
      </c>
      <c r="K292" t="inlineStr">
        <is>
          <t>DemBiz</t>
        </is>
      </c>
      <c r="L292" t="inlineStr">
        <is>
          <t>Completed</t>
        </is>
      </c>
      <c r="M292" t="inlineStr">
        <is>
          <t>Moradi Mohammad</t>
        </is>
      </c>
      <c r="N292" t="inlineStr">
        <is>
          <t>Hajizadeh Elnaz</t>
        </is>
      </c>
      <c r="O292" s="42" t="n">
        <v>46011.38765046297</v>
      </c>
      <c r="Q292" s="42" t="n">
        <v>46011.38765046297</v>
      </c>
      <c r="S292" t="n">
        <v>0</v>
      </c>
      <c r="T292" s="42" t="n">
        <v>46011.38765046297</v>
      </c>
      <c r="Z292" s="42" t="n">
        <v>46011.38765046297</v>
      </c>
      <c r="AA292" t="n">
        <v>0</v>
      </c>
      <c r="AD292" t="n">
        <v>2</v>
      </c>
      <c r="AE292" t="n">
        <v>2</v>
      </c>
      <c r="AF292" t="n">
        <v>0</v>
      </c>
      <c r="AI292" t="n">
        <v>0</v>
      </c>
      <c r="AJ292" t="n">
        <v>0</v>
      </c>
      <c r="AK292" t="n">
        <v>0</v>
      </c>
      <c r="AL292" t="n">
        <v>0</v>
      </c>
      <c r="AN292" t="n">
        <v>0</v>
      </c>
      <c r="AO292" t="n">
        <v>0</v>
      </c>
      <c r="AP292" t="n">
        <v>0</v>
      </c>
      <c r="AQ292" t="n">
        <v>24</v>
      </c>
      <c r="AR292" t="n">
        <v>0</v>
      </c>
    </row>
    <row r="293">
      <c r="A293" t="n">
        <v>192159</v>
      </c>
      <c r="B293" t="inlineStr">
        <is>
          <t>خارج شدن سند از کارتابل کاربر، بعدازکلیک دکمه تایید در فرم ورود اطلاعات پیشنهاد</t>
        </is>
      </c>
      <c r="D293" t="inlineStr">
        <is>
          <t>Medium</t>
        </is>
      </c>
      <c r="E293" t="n">
        <v>1</v>
      </c>
      <c r="F293" t="inlineStr">
        <is>
          <t>Closed</t>
        </is>
      </c>
      <c r="G293" t="inlineStr">
        <is>
          <t>Other</t>
        </is>
      </c>
      <c r="J293" t="inlineStr">
        <is>
          <t>Dem</t>
        </is>
      </c>
      <c r="K293" t="inlineStr">
        <is>
          <t>DemBiz</t>
        </is>
      </c>
      <c r="M293" t="inlineStr">
        <is>
          <t>Moradi Mohammad</t>
        </is>
      </c>
      <c r="N293" t="inlineStr">
        <is>
          <t>Hajizadeh Elnaz</t>
        </is>
      </c>
      <c r="O293" s="42" t="n">
        <v>45959.48964120371</v>
      </c>
      <c r="Q293" s="42" t="n">
        <v>45959.48964120371</v>
      </c>
      <c r="S293" t="n">
        <v>0</v>
      </c>
      <c r="T293" s="42" t="n">
        <v>45959.48964120371</v>
      </c>
      <c r="Z293" s="42" t="n">
        <v>45959.48964120371</v>
      </c>
      <c r="AA293" t="n">
        <v>0</v>
      </c>
      <c r="AD293" t="n">
        <v>2</v>
      </c>
      <c r="AE293" t="n">
        <v>2</v>
      </c>
      <c r="AF293" t="n">
        <v>0</v>
      </c>
      <c r="AI293" t="n">
        <v>0</v>
      </c>
      <c r="AJ293" t="n">
        <v>0</v>
      </c>
      <c r="AK293" t="n">
        <v>0</v>
      </c>
      <c r="AL293" t="n">
        <v>0</v>
      </c>
      <c r="AN293" t="n">
        <v>0</v>
      </c>
      <c r="AO293" t="n">
        <v>0</v>
      </c>
      <c r="AP293" t="n">
        <v>0</v>
      </c>
      <c r="AQ293" t="n">
        <v>24</v>
      </c>
      <c r="AR293" t="n">
        <v>0</v>
      </c>
    </row>
    <row r="294">
      <c r="A294" t="n">
        <v>192162</v>
      </c>
      <c r="B294" t="inlineStr">
        <is>
          <t xml:space="preserve">با باز شدن فرم انتخاب پیشنهاد جهت اصلاح ، پیغام خطا می دهد </t>
        </is>
      </c>
      <c r="D294" t="inlineStr">
        <is>
          <t>Medium</t>
        </is>
      </c>
      <c r="E294" t="n">
        <v>1</v>
      </c>
      <c r="F294" t="inlineStr">
        <is>
          <t>Closed</t>
        </is>
      </c>
      <c r="G294" t="inlineStr">
        <is>
          <t>Other</t>
        </is>
      </c>
      <c r="J294" t="inlineStr">
        <is>
          <t>Dem</t>
        </is>
      </c>
      <c r="K294" t="inlineStr">
        <is>
          <t>DemBiz</t>
        </is>
      </c>
      <c r="M294" t="inlineStr">
        <is>
          <t>Arshi Mahmood</t>
        </is>
      </c>
      <c r="N294" t="inlineStr">
        <is>
          <t>Hajizadeh Elnaz</t>
        </is>
      </c>
      <c r="O294" s="42" t="n">
        <v>45959.55126157407</v>
      </c>
      <c r="Q294" s="42" t="n">
        <v>45959.55126157407</v>
      </c>
      <c r="S294" t="n">
        <v>0</v>
      </c>
      <c r="T294" s="42" t="n">
        <v>45959.55126157407</v>
      </c>
      <c r="Z294" s="42" t="n">
        <v>45959.55126157407</v>
      </c>
      <c r="AA294" t="n">
        <v>0</v>
      </c>
      <c r="AD294" t="n">
        <v>2</v>
      </c>
      <c r="AE294" t="n">
        <v>2</v>
      </c>
      <c r="AF294" t="n">
        <v>0</v>
      </c>
      <c r="AI294" t="n">
        <v>0</v>
      </c>
      <c r="AJ294" t="n">
        <v>0</v>
      </c>
      <c r="AK294" t="n">
        <v>0</v>
      </c>
      <c r="AL294" t="n">
        <v>0</v>
      </c>
      <c r="AN294" t="n">
        <v>0</v>
      </c>
      <c r="AO294" t="n">
        <v>0</v>
      </c>
      <c r="AP294" t="n">
        <v>0</v>
      </c>
      <c r="AQ294" t="n">
        <v>24</v>
      </c>
      <c r="AR294" t="n">
        <v>0</v>
      </c>
    </row>
    <row r="295">
      <c r="A295" t="n">
        <v>192167</v>
      </c>
      <c r="B295" t="inlineStr">
        <is>
          <t xml:space="preserve">عدم شناسایی کد ملی ، مشتری ثبت شده قدیمی  </t>
        </is>
      </c>
      <c r="D295" t="inlineStr">
        <is>
          <t>Medium</t>
        </is>
      </c>
      <c r="E295" t="n">
        <v>1</v>
      </c>
      <c r="F295" t="inlineStr">
        <is>
          <t>Closed</t>
        </is>
      </c>
      <c r="G295" t="inlineStr">
        <is>
          <t>Other</t>
        </is>
      </c>
      <c r="J295" t="inlineStr">
        <is>
          <t>Dem</t>
        </is>
      </c>
      <c r="K295" t="inlineStr">
        <is>
          <t>DemBiz</t>
        </is>
      </c>
      <c r="M295" t="inlineStr">
        <is>
          <t>Moradi Mohammad</t>
        </is>
      </c>
      <c r="N295" t="inlineStr">
        <is>
          <t>Hajizadeh Elnaz</t>
        </is>
      </c>
      <c r="O295" s="42" t="n">
        <v>45959.63221064815</v>
      </c>
      <c r="Q295" s="42" t="n">
        <v>45959.63221064815</v>
      </c>
      <c r="S295" t="n">
        <v>0</v>
      </c>
      <c r="T295" s="42" t="n">
        <v>45959.63221064815</v>
      </c>
      <c r="Z295" s="42" t="n">
        <v>45959.63221064815</v>
      </c>
      <c r="AA295" t="n">
        <v>0</v>
      </c>
      <c r="AD295" t="n">
        <v>2</v>
      </c>
      <c r="AE295" t="n">
        <v>2</v>
      </c>
      <c r="AF295" t="n">
        <v>0</v>
      </c>
      <c r="AI295" t="n">
        <v>0</v>
      </c>
      <c r="AJ295" t="n">
        <v>0</v>
      </c>
      <c r="AK295" t="n">
        <v>0</v>
      </c>
      <c r="AL295" t="n">
        <v>0</v>
      </c>
      <c r="AN295" t="n">
        <v>0</v>
      </c>
      <c r="AO295" t="n">
        <v>0</v>
      </c>
      <c r="AP295" t="n">
        <v>0</v>
      </c>
      <c r="AQ295" t="n">
        <v>24</v>
      </c>
      <c r="AR295" t="n">
        <v>0</v>
      </c>
    </row>
    <row r="296">
      <c r="A296" t="n">
        <v>192184</v>
      </c>
      <c r="B296" t="inlineStr">
        <is>
          <t xml:space="preserve">اصلاح متن پیغام در لینک کپی اطلاعات پیشنهادبا انتخاب چند رهگیری  </t>
        </is>
      </c>
      <c r="D296" t="inlineStr">
        <is>
          <t>Medium</t>
        </is>
      </c>
      <c r="E296" t="n">
        <v>2</v>
      </c>
      <c r="F296" t="inlineStr">
        <is>
          <t>Closed</t>
        </is>
      </c>
      <c r="G296" t="inlineStr">
        <is>
          <t>Other</t>
        </is>
      </c>
      <c r="J296" t="inlineStr">
        <is>
          <t>Dem</t>
        </is>
      </c>
      <c r="K296" t="inlineStr">
        <is>
          <t>DemBiz</t>
        </is>
      </c>
      <c r="M296" t="inlineStr">
        <is>
          <t>Arshi Mahmood</t>
        </is>
      </c>
      <c r="N296" t="inlineStr">
        <is>
          <t>Baniamer Shaghayegh</t>
        </is>
      </c>
      <c r="O296" s="42" t="n">
        <v>45959.7378587963</v>
      </c>
      <c r="Q296" s="42" t="n">
        <v>45959.7378587963</v>
      </c>
      <c r="S296" t="n">
        <v>0</v>
      </c>
      <c r="T296" s="42" t="n">
        <v>45959.7378587963</v>
      </c>
      <c r="Z296" s="42" t="n">
        <v>45959.7378587963</v>
      </c>
      <c r="AA296" t="n">
        <v>0</v>
      </c>
      <c r="AD296" t="n">
        <v>2</v>
      </c>
      <c r="AE296" t="n">
        <v>2</v>
      </c>
      <c r="AF296" t="n">
        <v>0</v>
      </c>
      <c r="AI296" t="n">
        <v>0</v>
      </c>
      <c r="AJ296" t="n">
        <v>0</v>
      </c>
      <c r="AK296" t="n">
        <v>0</v>
      </c>
      <c r="AL296" t="n">
        <v>0</v>
      </c>
      <c r="AN296" t="n">
        <v>0</v>
      </c>
      <c r="AO296" t="n">
        <v>0</v>
      </c>
      <c r="AP296" t="n">
        <v>0</v>
      </c>
      <c r="AQ296" t="n">
        <v>24</v>
      </c>
      <c r="AR296" t="n">
        <v>0</v>
      </c>
    </row>
    <row r="297">
      <c r="A297" t="n">
        <v>192214</v>
      </c>
      <c r="B297" t="inlineStr">
        <is>
          <t xml:space="preserve">نکست شدن سند به فرم تکمیل اطلاعات ، بدون ثبت درخواست  تسهیلاتی /غیر تسهیلاتی </t>
        </is>
      </c>
      <c r="D297" t="inlineStr">
        <is>
          <t>Medium</t>
        </is>
      </c>
      <c r="E297" t="n">
        <v>1</v>
      </c>
      <c r="F297" t="inlineStr">
        <is>
          <t>Closed</t>
        </is>
      </c>
      <c r="G297" t="inlineStr">
        <is>
          <t>Other</t>
        </is>
      </c>
      <c r="J297" t="inlineStr">
        <is>
          <t>Dem</t>
        </is>
      </c>
      <c r="K297" t="inlineStr">
        <is>
          <t>DemBiz</t>
        </is>
      </c>
      <c r="M297" t="inlineStr">
        <is>
          <t>Arshi Mahmood</t>
        </is>
      </c>
      <c r="N297" t="inlineStr">
        <is>
          <t>Hajizadeh Elnaz</t>
        </is>
      </c>
      <c r="O297" s="42" t="n">
        <v>45959.54886574074</v>
      </c>
      <c r="Q297" s="42" t="n">
        <v>45959.54886574074</v>
      </c>
      <c r="S297" t="n">
        <v>0</v>
      </c>
      <c r="T297" s="42" t="n">
        <v>45959.54886574074</v>
      </c>
      <c r="Z297" s="42" t="n">
        <v>45959.54886574074</v>
      </c>
      <c r="AA297" t="n">
        <v>0</v>
      </c>
      <c r="AD297" t="n">
        <v>2</v>
      </c>
      <c r="AE297" t="n">
        <v>2</v>
      </c>
      <c r="AF297" t="n">
        <v>0</v>
      </c>
      <c r="AI297" t="n">
        <v>0</v>
      </c>
      <c r="AJ297" t="n">
        <v>0</v>
      </c>
      <c r="AK297" t="n">
        <v>0</v>
      </c>
      <c r="AL297" t="n">
        <v>0</v>
      </c>
      <c r="AN297" t="n">
        <v>0</v>
      </c>
      <c r="AO297" t="n">
        <v>0</v>
      </c>
      <c r="AP297" t="n">
        <v>0</v>
      </c>
      <c r="AQ297" t="n">
        <v>24</v>
      </c>
      <c r="AR297" t="n">
        <v>0</v>
      </c>
    </row>
    <row r="298">
      <c r="A298" t="n">
        <v>192243</v>
      </c>
      <c r="B298" t="inlineStr">
        <is>
          <t>امکان ثبت خود فرد به عنوان شریک خودش در مشتریان حقیقی</t>
        </is>
      </c>
      <c r="D298" t="inlineStr">
        <is>
          <t>Medium</t>
        </is>
      </c>
      <c r="E298" t="n">
        <v>3</v>
      </c>
      <c r="F298" t="inlineStr">
        <is>
          <t>Closed</t>
        </is>
      </c>
      <c r="G298" t="inlineStr">
        <is>
          <t>Other</t>
        </is>
      </c>
      <c r="J298" t="inlineStr">
        <is>
          <t>Dem</t>
        </is>
      </c>
      <c r="K298" t="inlineStr">
        <is>
          <t>DemBiz</t>
        </is>
      </c>
      <c r="M298" t="inlineStr">
        <is>
          <t>Arshi Mahmood</t>
        </is>
      </c>
      <c r="N298" t="inlineStr">
        <is>
          <t>Hajizadeh Elnaz</t>
        </is>
      </c>
      <c r="O298" s="42" t="n">
        <v>45962.47394675926</v>
      </c>
      <c r="Q298" s="42" t="n">
        <v>45962.47394675926</v>
      </c>
      <c r="S298" t="n">
        <v>0</v>
      </c>
      <c r="T298" s="42" t="n">
        <v>45962.47394675926</v>
      </c>
      <c r="Z298" s="42" t="n">
        <v>45962.47394675926</v>
      </c>
      <c r="AA298" t="n">
        <v>0</v>
      </c>
      <c r="AD298" t="n">
        <v>2</v>
      </c>
      <c r="AE298" t="n">
        <v>2</v>
      </c>
      <c r="AF298" t="n">
        <v>0</v>
      </c>
      <c r="AI298" t="n">
        <v>0</v>
      </c>
      <c r="AJ298" t="n">
        <v>0</v>
      </c>
      <c r="AK298" t="n">
        <v>0</v>
      </c>
      <c r="AL298" t="n">
        <v>0</v>
      </c>
      <c r="AN298" t="n">
        <v>0</v>
      </c>
      <c r="AO298" t="n">
        <v>0</v>
      </c>
      <c r="AP298" t="n">
        <v>0</v>
      </c>
      <c r="AQ298" t="n">
        <v>24</v>
      </c>
      <c r="AR298" t="n">
        <v>0</v>
      </c>
    </row>
    <row r="299">
      <c r="A299" t="n">
        <v>192251</v>
      </c>
      <c r="B299" t="inlineStr">
        <is>
          <t>AE_SAJA\\ایجاد جلسه هیئت از منو قسمت  ویرایش غیر قابل ویرایش بودن گرید حاضرین</t>
        </is>
      </c>
      <c r="D299" t="inlineStr">
        <is>
          <t>Medium</t>
        </is>
      </c>
      <c r="E299" t="n">
        <v>1</v>
      </c>
      <c r="F299" t="inlineStr">
        <is>
          <t>Closed</t>
        </is>
      </c>
      <c r="G299" t="inlineStr">
        <is>
          <t>Other</t>
        </is>
      </c>
      <c r="J299" t="inlineStr">
        <is>
          <t>Infrastructure Bizagi Extension</t>
        </is>
      </c>
      <c r="K299" t="inlineStr">
        <is>
          <t>SP-87</t>
        </is>
      </c>
      <c r="M299" t="inlineStr">
        <is>
          <t>Nemati Hasan</t>
        </is>
      </c>
      <c r="N299" t="inlineStr">
        <is>
          <t>Shamsfard Ahmad</t>
        </is>
      </c>
      <c r="O299" s="42" t="n">
        <v>45970.40482638889</v>
      </c>
      <c r="Q299" s="42" t="n">
        <v>45970.40482638889</v>
      </c>
      <c r="S299" t="n">
        <v>0</v>
      </c>
      <c r="T299" s="42" t="n">
        <v>45970.40482638889</v>
      </c>
      <c r="Z299" s="42" t="n">
        <v>45970.40482638889</v>
      </c>
      <c r="AA299" t="n">
        <v>0</v>
      </c>
      <c r="AD299" t="n">
        <v>2</v>
      </c>
      <c r="AE299" t="n">
        <v>2</v>
      </c>
      <c r="AF299" t="n">
        <v>0</v>
      </c>
      <c r="AI299" t="n">
        <v>0</v>
      </c>
      <c r="AJ299" t="n">
        <v>0</v>
      </c>
      <c r="AK299" t="n">
        <v>0</v>
      </c>
      <c r="AL299" t="n">
        <v>0</v>
      </c>
      <c r="AN299" t="n">
        <v>0</v>
      </c>
      <c r="AO299" t="n">
        <v>0</v>
      </c>
      <c r="AP299" t="n">
        <v>0</v>
      </c>
      <c r="AQ299" t="n">
        <v>24</v>
      </c>
      <c r="AR299" t="n">
        <v>0</v>
      </c>
    </row>
    <row r="300">
      <c r="A300" t="n">
        <v>196320</v>
      </c>
      <c r="B300" t="inlineStr">
        <is>
          <t>مشکل دسترسی بنیاد مسکن (سرویس یک)</t>
        </is>
      </c>
      <c r="D300" t="inlineStr">
        <is>
          <t>Medium</t>
        </is>
      </c>
      <c r="E300" t="n">
        <v>1</v>
      </c>
      <c r="F300" t="inlineStr">
        <is>
          <t>Closed</t>
        </is>
      </c>
      <c r="G300" t="inlineStr">
        <is>
          <t>Other</t>
        </is>
      </c>
      <c r="I300" t="inlineStr">
        <is>
          <t>Bizagi_Team</t>
        </is>
      </c>
      <c r="J300" t="inlineStr">
        <is>
          <t>SAJAK</t>
        </is>
      </c>
      <c r="K300" t="inlineStr">
        <is>
          <t>Estate_Sprint 44</t>
        </is>
      </c>
      <c r="M300" t="inlineStr">
        <is>
          <t>GanjiRad Mohammad</t>
        </is>
      </c>
      <c r="N300" t="inlineStr">
        <is>
          <t>GanjiRad Mohammad</t>
        </is>
      </c>
      <c r="O300" s="42" t="n">
        <v>45986.34175925926</v>
      </c>
      <c r="Q300" s="42" t="n">
        <v>45986.34175925926</v>
      </c>
      <c r="S300" t="n">
        <v>0</v>
      </c>
      <c r="T300" s="42" t="n">
        <v>45986.34175925926</v>
      </c>
      <c r="Z300" s="42" t="n">
        <v>45986.34175925926</v>
      </c>
      <c r="AA300" t="n">
        <v>0</v>
      </c>
      <c r="AD300" t="n">
        <v>2</v>
      </c>
      <c r="AE300" t="n">
        <v>2</v>
      </c>
      <c r="AF300" t="n">
        <v>0</v>
      </c>
      <c r="AI300" t="n">
        <v>0</v>
      </c>
      <c r="AJ300" t="n">
        <v>0</v>
      </c>
      <c r="AK300" t="n">
        <v>0</v>
      </c>
      <c r="AL300" t="n">
        <v>0</v>
      </c>
      <c r="AN300" t="n">
        <v>0</v>
      </c>
      <c r="AO300" t="n">
        <v>0</v>
      </c>
      <c r="AP300" t="n">
        <v>0</v>
      </c>
      <c r="AQ300" t="n">
        <v>24</v>
      </c>
      <c r="AR300" t="n">
        <v>0</v>
      </c>
    </row>
    <row r="301">
      <c r="A301" t="n">
        <v>196321</v>
      </c>
      <c r="B301" t="inlineStr">
        <is>
          <t>درخواست بازیابی - نمایش نتایج جستجو اسناد. نمایش سایر تاریخ های موجود در جلدی که یکی از تاریخ های آن مورد نیاز است</t>
        </is>
      </c>
      <c r="D301" t="inlineStr">
        <is>
          <t>Medium</t>
        </is>
      </c>
      <c r="E301" t="n">
        <v>2</v>
      </c>
      <c r="F301" t="inlineStr">
        <is>
          <t>Closed</t>
        </is>
      </c>
      <c r="G301" t="inlineStr">
        <is>
          <t>Other</t>
        </is>
      </c>
      <c r="J301" t="inlineStr">
        <is>
          <t>Stagnant Archive</t>
        </is>
      </c>
      <c r="K301" t="inlineStr">
        <is>
          <t>Sp_22</t>
        </is>
      </c>
      <c r="M301" t="inlineStr">
        <is>
          <t>Karimian Morteza</t>
        </is>
      </c>
      <c r="N301" t="inlineStr">
        <is>
          <t>Monfared Mobina</t>
        </is>
      </c>
      <c r="O301" s="42" t="n">
        <v>45998.65875</v>
      </c>
      <c r="Q301" s="42" t="n">
        <v>45998.65875</v>
      </c>
      <c r="S301" t="n">
        <v>0</v>
      </c>
      <c r="T301" s="42" t="n">
        <v>45998.65875</v>
      </c>
      <c r="Z301" s="42" t="n">
        <v>45998.65875</v>
      </c>
      <c r="AA301" t="n">
        <v>0</v>
      </c>
      <c r="AD301" t="n">
        <v>2</v>
      </c>
      <c r="AE301" t="n">
        <v>2</v>
      </c>
      <c r="AF301" t="n">
        <v>0</v>
      </c>
      <c r="AI301" t="n">
        <v>0</v>
      </c>
      <c r="AJ301" t="n">
        <v>0</v>
      </c>
      <c r="AK301" t="n">
        <v>0</v>
      </c>
      <c r="AL301" t="n">
        <v>0</v>
      </c>
      <c r="AN301" t="n">
        <v>0</v>
      </c>
      <c r="AO301" t="n">
        <v>0</v>
      </c>
      <c r="AP301" t="n">
        <v>0</v>
      </c>
      <c r="AQ301" t="n">
        <v>24</v>
      </c>
      <c r="AR301" t="n">
        <v>0</v>
      </c>
    </row>
    <row r="302">
      <c r="A302" t="n">
        <v>196322</v>
      </c>
      <c r="B302" t="inlineStr">
        <is>
          <t>Mom01_ثبت جلسه هیات -خطای 500</t>
        </is>
      </c>
      <c r="D302" t="inlineStr">
        <is>
          <t>Medium</t>
        </is>
      </c>
      <c r="E302" t="n">
        <v>2</v>
      </c>
      <c r="F302" t="inlineStr">
        <is>
          <t>Closed</t>
        </is>
      </c>
      <c r="G302" t="inlineStr">
        <is>
          <t>Other</t>
        </is>
      </c>
      <c r="I302" t="inlineStr">
        <is>
          <t>Bizagi_Team</t>
        </is>
      </c>
      <c r="J302" t="inlineStr">
        <is>
          <t>SAJAK</t>
        </is>
      </c>
      <c r="K302" t="inlineStr">
        <is>
          <t>Estate_Sprint 44</t>
        </is>
      </c>
      <c r="M302" t="inlineStr">
        <is>
          <t>Tedadi Abbas</t>
        </is>
      </c>
      <c r="N302" t="inlineStr">
        <is>
          <t>Moradnoori Parinaz</t>
        </is>
      </c>
      <c r="O302" s="42" t="n">
        <v>46000.52449074074</v>
      </c>
      <c r="Q302" s="42" t="n">
        <v>46000.52449074074</v>
      </c>
      <c r="S302" t="n">
        <v>0</v>
      </c>
      <c r="T302" s="42" t="n">
        <v>46000.52449074074</v>
      </c>
      <c r="Z302" s="42" t="n">
        <v>46000.52449074074</v>
      </c>
      <c r="AA302" t="n">
        <v>0</v>
      </c>
      <c r="AD302" t="n">
        <v>2</v>
      </c>
      <c r="AE302" t="n">
        <v>2</v>
      </c>
      <c r="AF302" t="n">
        <v>0</v>
      </c>
      <c r="AI302" t="n">
        <v>0</v>
      </c>
      <c r="AJ302" t="n">
        <v>0</v>
      </c>
      <c r="AK302" t="n">
        <v>0</v>
      </c>
      <c r="AL302" t="n">
        <v>0</v>
      </c>
      <c r="AN302" t="n">
        <v>0</v>
      </c>
      <c r="AO302" t="n">
        <v>0</v>
      </c>
      <c r="AP302" t="n">
        <v>0</v>
      </c>
      <c r="AQ302" t="n">
        <v>24</v>
      </c>
      <c r="AR302" t="n">
        <v>0</v>
      </c>
    </row>
    <row r="303">
      <c r="A303" t="n">
        <v>196323</v>
      </c>
      <c r="B303" t="inlineStr">
        <is>
          <t>Mom01_برگزاری جلسه-در صورت ثبت رای اعضا ادامه فرایند امکان پذیر نیست</t>
        </is>
      </c>
      <c r="D303" t="inlineStr">
        <is>
          <t>Medium</t>
        </is>
      </c>
      <c r="E303" t="n">
        <v>2</v>
      </c>
      <c r="F303" t="inlineStr">
        <is>
          <t>Active</t>
        </is>
      </c>
      <c r="G303" t="inlineStr">
        <is>
          <t>Other</t>
        </is>
      </c>
      <c r="I303" t="inlineStr">
        <is>
          <t>Bizagi_Team</t>
        </is>
      </c>
      <c r="J303" t="inlineStr">
        <is>
          <t>SAJAK</t>
        </is>
      </c>
      <c r="K303" t="inlineStr">
        <is>
          <t>Estate_Sprint 44</t>
        </is>
      </c>
      <c r="M303" t="inlineStr">
        <is>
          <t>Tedadi Abbas</t>
        </is>
      </c>
      <c r="Q303" s="42" t="n">
        <v>45984.69743055556</v>
      </c>
      <c r="S303" t="n">
        <v>0</v>
      </c>
      <c r="T303" s="42" t="n">
        <v>45984.69743055556</v>
      </c>
      <c r="AA303" t="n">
        <v>0</v>
      </c>
      <c r="AD303" t="n">
        <v>2</v>
      </c>
      <c r="AE303" t="n">
        <v>2</v>
      </c>
      <c r="AF303" t="n">
        <v>0</v>
      </c>
      <c r="AI303" t="n">
        <v>0</v>
      </c>
      <c r="AJ303" t="n">
        <v>0</v>
      </c>
      <c r="AM303" t="n">
        <v>33</v>
      </c>
      <c r="AN303" t="n">
        <v>0</v>
      </c>
      <c r="AO303" t="n">
        <v>0</v>
      </c>
      <c r="AP303" t="n">
        <v>0</v>
      </c>
      <c r="AQ303" t="n">
        <v>24</v>
      </c>
      <c r="AR303" t="n">
        <v>0</v>
      </c>
    </row>
    <row r="304">
      <c r="A304" t="n">
        <v>196332</v>
      </c>
      <c r="B304" t="inlineStr">
        <is>
          <t xml:space="preserve"> 08/26با انتخاب درخواست مصوب تکراری ، رکورد های تکراری ایجاد می شود</t>
        </is>
      </c>
      <c r="D304" t="inlineStr">
        <is>
          <t>Medium</t>
        </is>
      </c>
      <c r="E304" t="n">
        <v>1</v>
      </c>
      <c r="F304" t="inlineStr">
        <is>
          <t>Closed</t>
        </is>
      </c>
      <c r="G304" t="inlineStr">
        <is>
          <t>Other</t>
        </is>
      </c>
      <c r="J304" t="inlineStr">
        <is>
          <t>Dem</t>
        </is>
      </c>
      <c r="K304" t="inlineStr">
        <is>
          <t>DemBiz</t>
        </is>
      </c>
      <c r="M304" t="inlineStr">
        <is>
          <t>Hoseini Fatemeh</t>
        </is>
      </c>
      <c r="N304" t="inlineStr">
        <is>
          <t>Hajizadeh Elnaz</t>
        </is>
      </c>
      <c r="O304" s="42" t="n">
        <v>45983.51704861111</v>
      </c>
      <c r="Q304" s="42" t="n">
        <v>45983.51704861111</v>
      </c>
      <c r="S304" t="n">
        <v>0</v>
      </c>
      <c r="T304" s="42" t="n">
        <v>45983.51704861111</v>
      </c>
      <c r="Z304" s="42" t="n">
        <v>45983.51704861111</v>
      </c>
      <c r="AA304" t="n">
        <v>0</v>
      </c>
      <c r="AD304" t="n">
        <v>2</v>
      </c>
      <c r="AE304" t="n">
        <v>2</v>
      </c>
      <c r="AF304" t="n">
        <v>0</v>
      </c>
      <c r="AI304" t="n">
        <v>0</v>
      </c>
      <c r="AJ304" t="n">
        <v>0</v>
      </c>
      <c r="AK304" t="n">
        <v>0</v>
      </c>
      <c r="AL304" t="n">
        <v>0</v>
      </c>
      <c r="AN304" t="n">
        <v>0</v>
      </c>
      <c r="AO304" t="n">
        <v>0</v>
      </c>
      <c r="AP304" t="n">
        <v>0</v>
      </c>
      <c r="AQ304" t="n">
        <v>24</v>
      </c>
      <c r="AR304" t="n">
        <v>0</v>
      </c>
    </row>
    <row r="305">
      <c r="A305" t="n">
        <v>196388</v>
      </c>
      <c r="B305" t="inlineStr">
        <is>
          <t>لینک جزییات عقود غیر تسهیلاتی ، پیغام چنین فرمی بارگزاری نشده است  می دهد 26/08</t>
        </is>
      </c>
      <c r="D305" t="inlineStr">
        <is>
          <t>Medium</t>
        </is>
      </c>
      <c r="E305" t="n">
        <v>1</v>
      </c>
      <c r="F305" t="inlineStr">
        <is>
          <t>Closed</t>
        </is>
      </c>
      <c r="G305" t="inlineStr">
        <is>
          <t>Other</t>
        </is>
      </c>
      <c r="J305" t="inlineStr">
        <is>
          <t>Dem</t>
        </is>
      </c>
      <c r="K305" t="inlineStr">
        <is>
          <t>DemBiz</t>
        </is>
      </c>
      <c r="M305" t="inlineStr">
        <is>
          <t>Hoseini Fatemeh</t>
        </is>
      </c>
      <c r="N305" t="inlineStr">
        <is>
          <t>Hajizadeh Elnaz</t>
        </is>
      </c>
      <c r="O305" s="42" t="n">
        <v>45983.36700231482</v>
      </c>
      <c r="Q305" s="42" t="n">
        <v>45983.36700231482</v>
      </c>
      <c r="S305" t="n">
        <v>0</v>
      </c>
      <c r="T305" s="42" t="n">
        <v>45983.36700231482</v>
      </c>
      <c r="Z305" s="42" t="n">
        <v>45983.36700231482</v>
      </c>
      <c r="AA305" t="n">
        <v>0</v>
      </c>
      <c r="AD305" t="n">
        <v>2</v>
      </c>
      <c r="AE305" t="n">
        <v>2</v>
      </c>
      <c r="AF305" t="n">
        <v>0</v>
      </c>
      <c r="AI305" t="n">
        <v>0</v>
      </c>
      <c r="AJ305" t="n">
        <v>0</v>
      </c>
      <c r="AK305" t="n">
        <v>0</v>
      </c>
      <c r="AL305" t="n">
        <v>0</v>
      </c>
      <c r="AN305" t="n">
        <v>0</v>
      </c>
      <c r="AO305" t="n">
        <v>0</v>
      </c>
      <c r="AP305" t="n">
        <v>0</v>
      </c>
      <c r="AQ305" t="n">
        <v>24</v>
      </c>
      <c r="AR305" t="n">
        <v>0</v>
      </c>
    </row>
    <row r="306">
      <c r="A306" t="n">
        <v>196393</v>
      </c>
      <c r="B306" t="inlineStr">
        <is>
          <t>خالی بودن پنل جزییات عقد و وثائق در فرم  نمایش درخواست غیرتسهیلاتی 26/08</t>
        </is>
      </c>
      <c r="D306" t="inlineStr">
        <is>
          <t>Medium</t>
        </is>
      </c>
      <c r="E306" t="n">
        <v>1</v>
      </c>
      <c r="F306" t="inlineStr">
        <is>
          <t>Closed</t>
        </is>
      </c>
      <c r="G306" t="inlineStr">
        <is>
          <t>Other</t>
        </is>
      </c>
      <c r="J306" t="inlineStr">
        <is>
          <t>Dem</t>
        </is>
      </c>
      <c r="K306" t="inlineStr">
        <is>
          <t>DemBiz</t>
        </is>
      </c>
      <c r="M306" t="inlineStr">
        <is>
          <t>Hoseini Fatemeh</t>
        </is>
      </c>
      <c r="N306" t="inlineStr">
        <is>
          <t>Hajizadeh Elnaz</t>
        </is>
      </c>
      <c r="O306" s="42" t="n">
        <v>45984.57600694444</v>
      </c>
      <c r="Q306" s="42" t="n">
        <v>45984.57600694444</v>
      </c>
      <c r="S306" t="n">
        <v>0</v>
      </c>
      <c r="T306" s="42" t="n">
        <v>45984.57600694444</v>
      </c>
      <c r="Z306" s="42" t="n">
        <v>45984.57600694444</v>
      </c>
      <c r="AA306" t="n">
        <v>0</v>
      </c>
      <c r="AD306" t="n">
        <v>2</v>
      </c>
      <c r="AE306" t="n">
        <v>2</v>
      </c>
      <c r="AF306" t="n">
        <v>0</v>
      </c>
      <c r="AI306" t="n">
        <v>0</v>
      </c>
      <c r="AJ306" t="n">
        <v>0</v>
      </c>
      <c r="AK306" t="n">
        <v>0</v>
      </c>
      <c r="AL306" t="n">
        <v>0</v>
      </c>
      <c r="AN306" t="n">
        <v>0</v>
      </c>
      <c r="AO306" t="n">
        <v>0</v>
      </c>
      <c r="AP306" t="n">
        <v>0</v>
      </c>
      <c r="AQ306" t="n">
        <v>24</v>
      </c>
      <c r="AR306" t="n">
        <v>0</v>
      </c>
    </row>
    <row r="307">
      <c r="A307" t="n">
        <v>196412</v>
      </c>
      <c r="B307" t="inlineStr">
        <is>
          <t>کمبو  کد رهگیری مرتبط در فرم تکمیل اطلاعات ، به صورت دیفالت رهگیری نمایش می دهد 26/08</t>
        </is>
      </c>
      <c r="D307" t="inlineStr">
        <is>
          <t>Medium</t>
        </is>
      </c>
      <c r="E307" t="n">
        <v>1</v>
      </c>
      <c r="F307" t="inlineStr">
        <is>
          <t>Closed</t>
        </is>
      </c>
      <c r="G307" t="inlineStr">
        <is>
          <t>Other</t>
        </is>
      </c>
      <c r="J307" t="inlineStr">
        <is>
          <t>Dem</t>
        </is>
      </c>
      <c r="K307" t="inlineStr">
        <is>
          <t>DemBiz</t>
        </is>
      </c>
      <c r="M307" t="inlineStr">
        <is>
          <t>Hoseini Fatemeh</t>
        </is>
      </c>
      <c r="N307" t="inlineStr">
        <is>
          <t>Hajizadeh Elnaz</t>
        </is>
      </c>
      <c r="O307" s="42" t="n">
        <v>45983.36637731481</v>
      </c>
      <c r="Q307" s="42" t="n">
        <v>45983.36637731481</v>
      </c>
      <c r="S307" t="n">
        <v>0</v>
      </c>
      <c r="T307" s="42" t="n">
        <v>45983.36637731481</v>
      </c>
      <c r="Z307" s="42" t="n">
        <v>45983.36637731481</v>
      </c>
      <c r="AA307" t="n">
        <v>0</v>
      </c>
      <c r="AD307" t="n">
        <v>2</v>
      </c>
      <c r="AE307" t="n">
        <v>2</v>
      </c>
      <c r="AF307" t="n">
        <v>0</v>
      </c>
      <c r="AI307" t="n">
        <v>0</v>
      </c>
      <c r="AJ307" t="n">
        <v>0</v>
      </c>
      <c r="AK307" t="n">
        <v>0</v>
      </c>
      <c r="AL307" t="n">
        <v>0</v>
      </c>
      <c r="AN307" t="n">
        <v>0</v>
      </c>
      <c r="AO307" t="n">
        <v>0</v>
      </c>
      <c r="AP307" t="n">
        <v>0</v>
      </c>
      <c r="AQ307" t="n">
        <v>24</v>
      </c>
      <c r="AR307" t="n">
        <v>0</v>
      </c>
    </row>
    <row r="308">
      <c r="A308" t="n">
        <v>196446</v>
      </c>
      <c r="B308" t="inlineStr">
        <is>
          <t>ایجاد کالا/عدم کنترل ارسال رکورد خالی  ویژگی دسته بندی  //   s.kh</t>
        </is>
      </c>
      <c r="D308" t="inlineStr">
        <is>
          <t>Medium</t>
        </is>
      </c>
      <c r="E308" t="n">
        <v>2</v>
      </c>
      <c r="F308" t="inlineStr">
        <is>
          <t>Ready for Retest</t>
        </is>
      </c>
      <c r="G308" t="inlineStr">
        <is>
          <t>Other</t>
        </is>
      </c>
      <c r="J308" t="inlineStr">
        <is>
          <t>Integrated Warehouse</t>
        </is>
      </c>
      <c r="K308" t="inlineStr">
        <is>
          <t>Sprint 32</t>
        </is>
      </c>
      <c r="M308" t="inlineStr">
        <is>
          <t>Khedmati Aylin</t>
        </is>
      </c>
      <c r="Q308" s="42" t="n">
        <v>46015.68054398148</v>
      </c>
      <c r="S308" t="n">
        <v>0</v>
      </c>
      <c r="T308" s="42" t="n">
        <v>46015.68054398148</v>
      </c>
      <c r="AA308" t="n">
        <v>0</v>
      </c>
      <c r="AD308" t="n">
        <v>2</v>
      </c>
      <c r="AE308" t="n">
        <v>2</v>
      </c>
      <c r="AF308" t="n">
        <v>0</v>
      </c>
      <c r="AI308" t="n">
        <v>0</v>
      </c>
      <c r="AJ308" t="n">
        <v>0</v>
      </c>
      <c r="AN308" t="n">
        <v>0</v>
      </c>
      <c r="AO308" t="n">
        <v>0</v>
      </c>
      <c r="AP308" t="n">
        <v>0</v>
      </c>
      <c r="AQ308" t="n">
        <v>24</v>
      </c>
      <c r="AR308" t="n">
        <v>0</v>
      </c>
    </row>
    <row r="309">
      <c r="A309" t="n">
        <v>196447</v>
      </c>
      <c r="B309" t="inlineStr">
        <is>
          <t>باگ عدم نمایش پلاک در جمع آوری    s,kh</t>
        </is>
      </c>
      <c r="D309" t="inlineStr">
        <is>
          <t>Medium</t>
        </is>
      </c>
      <c r="E309" t="n">
        <v>2</v>
      </c>
      <c r="F309" t="inlineStr">
        <is>
          <t>Ready for Retest</t>
        </is>
      </c>
      <c r="G309" t="inlineStr">
        <is>
          <t>Other</t>
        </is>
      </c>
      <c r="J309" t="inlineStr">
        <is>
          <t>Integrated Warehouse</t>
        </is>
      </c>
      <c r="K309" t="inlineStr">
        <is>
          <t>Sprint 32</t>
        </is>
      </c>
      <c r="M309" t="inlineStr">
        <is>
          <t>Hajkhalil Mehrzad</t>
        </is>
      </c>
      <c r="Q309" s="42" t="n">
        <v>46015.64015046296</v>
      </c>
      <c r="S309" t="n">
        <v>0</v>
      </c>
      <c r="T309" s="42" t="n">
        <v>46015.64015046296</v>
      </c>
      <c r="AA309" t="n">
        <v>0</v>
      </c>
      <c r="AD309" t="n">
        <v>2</v>
      </c>
      <c r="AE309" t="n">
        <v>2</v>
      </c>
      <c r="AF309" t="n">
        <v>0</v>
      </c>
      <c r="AI309" t="n">
        <v>0</v>
      </c>
      <c r="AJ309" t="n">
        <v>0</v>
      </c>
      <c r="AN309" t="n">
        <v>0</v>
      </c>
      <c r="AO309" t="n">
        <v>0</v>
      </c>
      <c r="AP309" t="n">
        <v>0</v>
      </c>
      <c r="AQ309" t="n">
        <v>24</v>
      </c>
      <c r="AR309" t="n">
        <v>0</v>
      </c>
    </row>
    <row r="310">
      <c r="A310" t="n">
        <v>195116</v>
      </c>
      <c r="B310" t="inlineStr">
        <is>
          <t xml:space="preserve">درج نقش کاربر در گرید اظهار نظر درخواست مرتبط با نقشی که قرار است اظهار نظر کند </t>
        </is>
      </c>
      <c r="D310" t="inlineStr">
        <is>
          <t>Medium</t>
        </is>
      </c>
      <c r="E310" t="n">
        <v>4</v>
      </c>
      <c r="F310" t="inlineStr">
        <is>
          <t>Closed</t>
        </is>
      </c>
      <c r="G310" t="inlineStr">
        <is>
          <t>Other</t>
        </is>
      </c>
      <c r="I310" t="inlineStr">
        <is>
          <t>Bizagi_Team</t>
        </is>
      </c>
      <c r="J310" t="inlineStr">
        <is>
          <t>SAJAK</t>
        </is>
      </c>
      <c r="K310" t="inlineStr">
        <is>
          <t>Estate_Sprint 44</t>
        </is>
      </c>
      <c r="M310" t="inlineStr">
        <is>
          <t>Kalaei Saman</t>
        </is>
      </c>
      <c r="N310" t="inlineStr">
        <is>
          <t>Moradnoori Parinaz</t>
        </is>
      </c>
      <c r="O310" s="42" t="n">
        <v>45978.39430555556</v>
      </c>
      <c r="Q310" s="42" t="n">
        <v>45978.39430555556</v>
      </c>
      <c r="S310" t="n">
        <v>0</v>
      </c>
      <c r="T310" s="42" t="n">
        <v>45978.39430555556</v>
      </c>
      <c r="Z310" s="42" t="n">
        <v>45978.39430555556</v>
      </c>
      <c r="AA310" t="n">
        <v>0</v>
      </c>
      <c r="AD310" t="n">
        <v>2</v>
      </c>
      <c r="AE310" t="n">
        <v>2</v>
      </c>
      <c r="AF310" t="n">
        <v>0</v>
      </c>
      <c r="AI310" t="n">
        <v>0</v>
      </c>
      <c r="AJ310" t="n">
        <v>0</v>
      </c>
      <c r="AK310" t="n">
        <v>0</v>
      </c>
      <c r="AL310" t="n">
        <v>0</v>
      </c>
      <c r="AN310" t="n">
        <v>0</v>
      </c>
      <c r="AO310" t="n">
        <v>0</v>
      </c>
      <c r="AP310" t="n">
        <v>0</v>
      </c>
      <c r="AQ310" t="n">
        <v>24</v>
      </c>
      <c r="AR310" t="n">
        <v>0</v>
      </c>
    </row>
    <row r="311">
      <c r="A311" t="n">
        <v>195117</v>
      </c>
      <c r="B311" t="inlineStr">
        <is>
          <t xml:space="preserve">نمایش رکورد قبلی با درج یک رکورد در جدول افراد دخیل و اضافه کردن مجدد رکورد دیگر  </t>
        </is>
      </c>
      <c r="D311" t="inlineStr">
        <is>
          <t>Medium</t>
        </is>
      </c>
      <c r="E311" t="n">
        <v>3</v>
      </c>
      <c r="F311" t="inlineStr">
        <is>
          <t>Closed</t>
        </is>
      </c>
      <c r="G311" t="inlineStr">
        <is>
          <t>Other</t>
        </is>
      </c>
      <c r="I311" t="inlineStr">
        <is>
          <t>Bizagi_Team</t>
        </is>
      </c>
      <c r="J311" t="inlineStr">
        <is>
          <t>SAJAK</t>
        </is>
      </c>
      <c r="K311" t="inlineStr">
        <is>
          <t>Estate_Sprint 44</t>
        </is>
      </c>
      <c r="M311" t="inlineStr">
        <is>
          <t>Shamsfard Ahmad</t>
        </is>
      </c>
      <c r="N311" t="inlineStr">
        <is>
          <t>Moradnoori Parinaz</t>
        </is>
      </c>
      <c r="O311" s="42" t="n">
        <v>45977.77980324074</v>
      </c>
      <c r="Q311" s="42" t="n">
        <v>45977.77980324074</v>
      </c>
      <c r="S311" t="n">
        <v>0</v>
      </c>
      <c r="T311" s="42" t="n">
        <v>45977.77980324074</v>
      </c>
      <c r="Z311" s="42" t="n">
        <v>45977.77980324074</v>
      </c>
      <c r="AA311" t="n">
        <v>0</v>
      </c>
      <c r="AD311" t="n">
        <v>2</v>
      </c>
      <c r="AE311" t="n">
        <v>2</v>
      </c>
      <c r="AF311" t="n">
        <v>0</v>
      </c>
      <c r="AI311" t="n">
        <v>0</v>
      </c>
      <c r="AJ311" t="n">
        <v>0</v>
      </c>
      <c r="AK311" t="n">
        <v>0</v>
      </c>
      <c r="AL311" t="n">
        <v>0</v>
      </c>
      <c r="AN311" t="n">
        <v>0</v>
      </c>
      <c r="AO311" t="n">
        <v>0</v>
      </c>
      <c r="AP311" t="n">
        <v>0</v>
      </c>
      <c r="AQ311" t="n">
        <v>24</v>
      </c>
      <c r="AR311" t="n">
        <v>0</v>
      </c>
    </row>
    <row r="312">
      <c r="A312" t="n">
        <v>195118</v>
      </c>
      <c r="B312" t="inlineStr">
        <is>
          <t>مواجهه با صفحه دارای دیتا در ایجاد رخداد جریان ثبتی پلاک جدید و اقدام به اضافه کردن فرد دخیل</t>
        </is>
      </c>
      <c r="D312" t="inlineStr">
        <is>
          <t>Medium</t>
        </is>
      </c>
      <c r="E312" t="n">
        <v>2</v>
      </c>
      <c r="F312" t="inlineStr">
        <is>
          <t>Closed</t>
        </is>
      </c>
      <c r="G312" t="inlineStr">
        <is>
          <t>Other</t>
        </is>
      </c>
      <c r="I312" t="inlineStr">
        <is>
          <t>Bizagi_Team</t>
        </is>
      </c>
      <c r="J312" t="inlineStr">
        <is>
          <t>SAJAK</t>
        </is>
      </c>
      <c r="K312" t="inlineStr">
        <is>
          <t>Estate_Sprint 44</t>
        </is>
      </c>
      <c r="M312" t="inlineStr">
        <is>
          <t>Shamsfard Ahmad</t>
        </is>
      </c>
      <c r="N312" t="inlineStr">
        <is>
          <t>Moradnoori Parinaz</t>
        </is>
      </c>
      <c r="O312" s="42" t="n">
        <v>45977.72255787037</v>
      </c>
      <c r="Q312" s="42" t="n">
        <v>45977.72255787037</v>
      </c>
      <c r="S312" t="n">
        <v>0</v>
      </c>
      <c r="T312" s="42" t="n">
        <v>45977.72255787037</v>
      </c>
      <c r="Z312" s="42" t="n">
        <v>45977.72255787037</v>
      </c>
      <c r="AA312" t="n">
        <v>0</v>
      </c>
      <c r="AD312" t="n">
        <v>2</v>
      </c>
      <c r="AE312" t="n">
        <v>2</v>
      </c>
      <c r="AF312" t="n">
        <v>0</v>
      </c>
      <c r="AI312" t="n">
        <v>0</v>
      </c>
      <c r="AJ312" t="n">
        <v>0</v>
      </c>
      <c r="AK312" t="n">
        <v>0</v>
      </c>
      <c r="AL312" t="n">
        <v>0</v>
      </c>
      <c r="AN312" t="n">
        <v>0</v>
      </c>
      <c r="AO312" t="n">
        <v>0</v>
      </c>
      <c r="AP312" t="n">
        <v>0</v>
      </c>
      <c r="AQ312" t="n">
        <v>24</v>
      </c>
      <c r="AR312" t="n">
        <v>0</v>
      </c>
    </row>
    <row r="313">
      <c r="A313" t="n">
        <v>195119</v>
      </c>
      <c r="B313" t="inlineStr">
        <is>
          <t xml:space="preserve">مواجهه با خطای اطلاعات فیلد پر نشده است در حین کلیک بر دکمه تایید و ادامه در حالی که اطلاعاتی وجود ندارد که پر نشده باشد </t>
        </is>
      </c>
      <c r="D313" t="inlineStr">
        <is>
          <t>Medium</t>
        </is>
      </c>
      <c r="E313" t="n">
        <v>1</v>
      </c>
      <c r="F313" t="inlineStr">
        <is>
          <t>Closed</t>
        </is>
      </c>
      <c r="G313" t="inlineStr">
        <is>
          <t>Other</t>
        </is>
      </c>
      <c r="I313" t="inlineStr">
        <is>
          <t>Bizagi_Team</t>
        </is>
      </c>
      <c r="J313" t="inlineStr">
        <is>
          <t>SAJAK</t>
        </is>
      </c>
      <c r="K313" t="inlineStr">
        <is>
          <t>Estate_Sprint 44</t>
        </is>
      </c>
      <c r="M313" t="inlineStr">
        <is>
          <t>Shamsfard Ahmad</t>
        </is>
      </c>
      <c r="N313" t="inlineStr">
        <is>
          <t>Moradnoori Parinaz</t>
        </is>
      </c>
      <c r="O313" s="42" t="n">
        <v>45979.5125</v>
      </c>
      <c r="Q313" s="42" t="n">
        <v>45979.5125</v>
      </c>
      <c r="S313" t="n">
        <v>0</v>
      </c>
      <c r="T313" s="42" t="n">
        <v>45979.5125</v>
      </c>
      <c r="Z313" s="42" t="n">
        <v>45979.5125</v>
      </c>
      <c r="AA313" t="n">
        <v>0</v>
      </c>
      <c r="AD313" t="n">
        <v>2</v>
      </c>
      <c r="AE313" t="n">
        <v>2</v>
      </c>
      <c r="AF313" t="n">
        <v>0</v>
      </c>
      <c r="AI313" t="n">
        <v>0</v>
      </c>
      <c r="AJ313" t="n">
        <v>0</v>
      </c>
      <c r="AK313" t="n">
        <v>0</v>
      </c>
      <c r="AL313" t="n">
        <v>0</v>
      </c>
      <c r="AN313" t="n">
        <v>0</v>
      </c>
      <c r="AO313" t="n">
        <v>0</v>
      </c>
      <c r="AP313" t="n">
        <v>0</v>
      </c>
      <c r="AQ313" t="n">
        <v>24</v>
      </c>
      <c r="AR313" t="n">
        <v>0</v>
      </c>
    </row>
    <row r="314">
      <c r="A314" t="n">
        <v>195120</v>
      </c>
      <c r="B314" t="inlineStr">
        <is>
          <t xml:space="preserve">عدم بازگشت درخواست به کارتابل رئیس بعد از ارسال به بنیاد </t>
        </is>
      </c>
      <c r="D314" t="inlineStr">
        <is>
          <t>Medium</t>
        </is>
      </c>
      <c r="E314" t="n">
        <v>1</v>
      </c>
      <c r="F314" t="inlineStr">
        <is>
          <t>Closed</t>
        </is>
      </c>
      <c r="G314" t="inlineStr">
        <is>
          <t>Other</t>
        </is>
      </c>
      <c r="I314" t="inlineStr">
        <is>
          <t>Bizagi_Team</t>
        </is>
      </c>
      <c r="J314" t="inlineStr">
        <is>
          <t>SAJAK</t>
        </is>
      </c>
      <c r="K314" t="inlineStr">
        <is>
          <t>Estate_Sprint 44</t>
        </is>
      </c>
      <c r="M314" t="inlineStr">
        <is>
          <t>Zeynali Masoud</t>
        </is>
      </c>
      <c r="N314" t="inlineStr">
        <is>
          <t>Moradnoori Parinaz</t>
        </is>
      </c>
      <c r="O314" s="42" t="n">
        <v>45977.70564814815</v>
      </c>
      <c r="Q314" s="42" t="n">
        <v>45977.70564814815</v>
      </c>
      <c r="S314" t="n">
        <v>0</v>
      </c>
      <c r="T314" s="42" t="n">
        <v>45977.70564814815</v>
      </c>
      <c r="Z314" s="42" t="n">
        <v>45977.70564814815</v>
      </c>
      <c r="AA314" t="n">
        <v>0</v>
      </c>
      <c r="AD314" t="n">
        <v>2</v>
      </c>
      <c r="AE314" t="n">
        <v>2</v>
      </c>
      <c r="AF314" t="n">
        <v>0</v>
      </c>
      <c r="AI314" t="n">
        <v>0</v>
      </c>
      <c r="AJ314" t="n">
        <v>0</v>
      </c>
      <c r="AK314" t="n">
        <v>0</v>
      </c>
      <c r="AL314" t="n">
        <v>0</v>
      </c>
      <c r="AN314" t="n">
        <v>0</v>
      </c>
      <c r="AO314" t="n">
        <v>0</v>
      </c>
      <c r="AP314" t="n">
        <v>0</v>
      </c>
      <c r="AQ314" t="n">
        <v>24</v>
      </c>
      <c r="AR314" t="n">
        <v>0</v>
      </c>
    </row>
    <row r="315">
      <c r="A315" t="n">
        <v>195121</v>
      </c>
      <c r="B315" t="inlineStr">
        <is>
          <t xml:space="preserve">عدم عملکرد کلیک بر روی حقیقی یا حقوقی بودن در صفحه شخص دخیل در رخداد </t>
        </is>
      </c>
      <c r="D315" t="inlineStr">
        <is>
          <t>Medium</t>
        </is>
      </c>
      <c r="E315" t="n">
        <v>4</v>
      </c>
      <c r="F315" t="inlineStr">
        <is>
          <t>Closed</t>
        </is>
      </c>
      <c r="G315" t="inlineStr">
        <is>
          <t>Other</t>
        </is>
      </c>
      <c r="I315" t="inlineStr">
        <is>
          <t>Bizagi_Team</t>
        </is>
      </c>
      <c r="J315" t="inlineStr">
        <is>
          <t>SAJAK</t>
        </is>
      </c>
      <c r="K315" t="inlineStr">
        <is>
          <t>Estate_Sprint 44</t>
        </is>
      </c>
      <c r="M315" t="inlineStr">
        <is>
          <t>Shamsfard Ahmad</t>
        </is>
      </c>
      <c r="N315" t="inlineStr">
        <is>
          <t>Moradnoori Parinaz</t>
        </is>
      </c>
      <c r="O315" s="42" t="n">
        <v>45979.55752314815</v>
      </c>
      <c r="Q315" s="42" t="n">
        <v>45979.55752314815</v>
      </c>
      <c r="S315" t="n">
        <v>0</v>
      </c>
      <c r="T315" s="42" t="n">
        <v>45979.55752314815</v>
      </c>
      <c r="Z315" s="42" t="n">
        <v>45979.55752314815</v>
      </c>
      <c r="AA315" t="n">
        <v>0</v>
      </c>
      <c r="AD315" t="n">
        <v>2</v>
      </c>
      <c r="AE315" t="n">
        <v>2</v>
      </c>
      <c r="AF315" t="n">
        <v>0</v>
      </c>
      <c r="AI315" t="n">
        <v>0</v>
      </c>
      <c r="AJ315" t="n">
        <v>0</v>
      </c>
      <c r="AK315" t="n">
        <v>0</v>
      </c>
      <c r="AL315" t="n">
        <v>0</v>
      </c>
      <c r="AN315" t="n">
        <v>0</v>
      </c>
      <c r="AO315" t="n">
        <v>0</v>
      </c>
      <c r="AP315" t="n">
        <v>0</v>
      </c>
      <c r="AQ315" t="n">
        <v>24</v>
      </c>
      <c r="AR315" t="n">
        <v>0</v>
      </c>
    </row>
    <row r="316">
      <c r="A316" t="n">
        <v>195122</v>
      </c>
      <c r="B316" t="inlineStr">
        <is>
          <t xml:space="preserve">کنترل دیتای موجود در دراپ دان روش نقشه برداری </t>
        </is>
      </c>
      <c r="D316" t="inlineStr">
        <is>
          <t>Medium</t>
        </is>
      </c>
      <c r="E316" t="n">
        <v>1</v>
      </c>
      <c r="F316" t="inlineStr">
        <is>
          <t>New</t>
        </is>
      </c>
      <c r="G316" t="inlineStr">
        <is>
          <t>Other</t>
        </is>
      </c>
      <c r="I316" t="inlineStr">
        <is>
          <t>Bizagi_Team</t>
        </is>
      </c>
      <c r="J316" t="inlineStr">
        <is>
          <t>SAJAK</t>
        </is>
      </c>
      <c r="K316" t="inlineStr">
        <is>
          <t>Estate_Sprint 44</t>
        </is>
      </c>
      <c r="M316" t="inlineStr">
        <is>
          <t>Taleb Amirreza</t>
        </is>
      </c>
      <c r="Q316" s="42" t="n">
        <v>45974.5459375</v>
      </c>
      <c r="S316" t="n">
        <v>0</v>
      </c>
      <c r="T316" s="42" t="n">
        <v>45974.5459375</v>
      </c>
      <c r="AA316" t="n">
        <v>0</v>
      </c>
      <c r="AD316" t="n">
        <v>2</v>
      </c>
      <c r="AE316" t="n">
        <v>2</v>
      </c>
      <c r="AF316" t="n">
        <v>0</v>
      </c>
      <c r="AI316" t="n">
        <v>0</v>
      </c>
      <c r="AJ316" t="n">
        <v>0</v>
      </c>
      <c r="AM316" t="n">
        <v>43</v>
      </c>
      <c r="AN316" t="n">
        <v>0</v>
      </c>
      <c r="AO316" t="n">
        <v>0</v>
      </c>
      <c r="AP316" t="n">
        <v>0</v>
      </c>
      <c r="AQ316" t="n">
        <v>24</v>
      </c>
      <c r="AR316" t="n">
        <v>0</v>
      </c>
    </row>
    <row r="317">
      <c r="A317" t="n">
        <v>195169</v>
      </c>
      <c r="B317" t="inlineStr">
        <is>
          <t>محاسبه اشتباه مجموع در گزارش خودرو های مصوب</t>
        </is>
      </c>
      <c r="D317" t="inlineStr">
        <is>
          <t>Medium</t>
        </is>
      </c>
      <c r="E317" t="n">
        <v>1</v>
      </c>
      <c r="F317" t="inlineStr">
        <is>
          <t>Ready for Retest</t>
        </is>
      </c>
      <c r="G317" t="inlineStr">
        <is>
          <t>Other</t>
        </is>
      </c>
      <c r="J317" t="inlineStr">
        <is>
          <t>Transportation</t>
        </is>
      </c>
      <c r="K317" t="inlineStr">
        <is>
          <t>Sp_25</t>
        </is>
      </c>
      <c r="M317" t="inlineStr">
        <is>
          <t>Homayoun Mohammad</t>
        </is>
      </c>
      <c r="Q317" s="42" t="n">
        <v>46015.65981481481</v>
      </c>
      <c r="S317" t="n">
        <v>0</v>
      </c>
      <c r="T317" s="42" t="n">
        <v>46015.65981481481</v>
      </c>
      <c r="AA317" t="n">
        <v>0</v>
      </c>
      <c r="AD317" t="n">
        <v>2</v>
      </c>
      <c r="AE317" t="n">
        <v>2</v>
      </c>
      <c r="AF317" t="n">
        <v>0</v>
      </c>
      <c r="AI317" t="n">
        <v>0</v>
      </c>
      <c r="AJ317" t="n">
        <v>0</v>
      </c>
      <c r="AN317" t="n">
        <v>0</v>
      </c>
      <c r="AO317" t="n">
        <v>0</v>
      </c>
      <c r="AP317" t="n">
        <v>0</v>
      </c>
      <c r="AQ317" t="n">
        <v>24</v>
      </c>
      <c r="AR317" t="n">
        <v>0</v>
      </c>
    </row>
    <row r="318">
      <c r="A318" t="n">
        <v>195179</v>
      </c>
      <c r="B318" t="inlineStr">
        <is>
          <t xml:space="preserve">1377/1365//بعداز برگشت به ویرایش مشتری ، دکمه انصراف و تایید ادامه حذف و نمایش داده نمی شود  </t>
        </is>
      </c>
      <c r="D318" t="inlineStr">
        <is>
          <t>Medium</t>
        </is>
      </c>
      <c r="E318" t="n">
        <v>1</v>
      </c>
      <c r="F318" t="inlineStr">
        <is>
          <t>Closed</t>
        </is>
      </c>
      <c r="G318" t="inlineStr">
        <is>
          <t>Other</t>
        </is>
      </c>
      <c r="J318" t="inlineStr">
        <is>
          <t>Dem</t>
        </is>
      </c>
      <c r="K318" t="inlineStr">
        <is>
          <t>DemBiz</t>
        </is>
      </c>
      <c r="M318" t="inlineStr">
        <is>
          <t>Hoseini Fatemeh</t>
        </is>
      </c>
      <c r="N318" t="inlineStr">
        <is>
          <t>Baniamer Shaghayegh</t>
        </is>
      </c>
      <c r="O318" s="42" t="n">
        <v>45977.75016203704</v>
      </c>
      <c r="Q318" s="42" t="n">
        <v>45977.75016203704</v>
      </c>
      <c r="S318" t="n">
        <v>0</v>
      </c>
      <c r="T318" s="42" t="n">
        <v>45977.75016203704</v>
      </c>
      <c r="Z318" s="42" t="n">
        <v>45977.75016203704</v>
      </c>
      <c r="AA318" t="n">
        <v>0</v>
      </c>
      <c r="AD318" t="n">
        <v>2</v>
      </c>
      <c r="AE318" t="n">
        <v>2</v>
      </c>
      <c r="AF318" t="n">
        <v>0</v>
      </c>
      <c r="AI318" t="n">
        <v>0</v>
      </c>
      <c r="AJ318" t="n">
        <v>0</v>
      </c>
      <c r="AK318" t="n">
        <v>0</v>
      </c>
      <c r="AL318" t="n">
        <v>0</v>
      </c>
      <c r="AN318" t="n">
        <v>0</v>
      </c>
      <c r="AO318" t="n">
        <v>0</v>
      </c>
      <c r="AP318" t="n">
        <v>0</v>
      </c>
      <c r="AQ318" t="n">
        <v>24</v>
      </c>
      <c r="AR318" t="n">
        <v>0</v>
      </c>
    </row>
    <row r="319">
      <c r="A319" t="n">
        <v>195183</v>
      </c>
      <c r="B319" t="inlineStr">
        <is>
          <t xml:space="preserve">کارتابل </t>
        </is>
      </c>
      <c r="D319" t="inlineStr">
        <is>
          <t>Medium</t>
        </is>
      </c>
      <c r="E319" t="n">
        <v>1</v>
      </c>
      <c r="F319" t="inlineStr">
        <is>
          <t>Active</t>
        </is>
      </c>
      <c r="G319" t="inlineStr">
        <is>
          <t>Other</t>
        </is>
      </c>
      <c r="I319" t="inlineStr">
        <is>
          <t>Bizagi_Team</t>
        </is>
      </c>
      <c r="J319" t="inlineStr">
        <is>
          <t>SAJAK</t>
        </is>
      </c>
      <c r="K319" t="inlineStr">
        <is>
          <t>Estate_Sprint 44</t>
        </is>
      </c>
      <c r="M319" t="inlineStr">
        <is>
          <t>Tedadi Abbas</t>
        </is>
      </c>
      <c r="Q319" s="42" t="n">
        <v>46006.60429398148</v>
      </c>
      <c r="S319" t="n">
        <v>0</v>
      </c>
      <c r="T319" s="42" t="n">
        <v>46006.60429398148</v>
      </c>
      <c r="AA319" t="n">
        <v>0</v>
      </c>
      <c r="AD319" t="n">
        <v>2</v>
      </c>
      <c r="AE319" t="n">
        <v>2</v>
      </c>
      <c r="AF319" t="n">
        <v>0</v>
      </c>
      <c r="AI319" t="n">
        <v>0</v>
      </c>
      <c r="AJ319" t="n">
        <v>0</v>
      </c>
      <c r="AM319" t="n">
        <v>11</v>
      </c>
      <c r="AN319" t="n">
        <v>0</v>
      </c>
      <c r="AO319" t="n">
        <v>0</v>
      </c>
      <c r="AP319" t="n">
        <v>0</v>
      </c>
      <c r="AQ319" t="n">
        <v>24</v>
      </c>
      <c r="AR319" t="n">
        <v>0</v>
      </c>
    </row>
    <row r="320">
      <c r="A320" t="n">
        <v>195186</v>
      </c>
      <c r="B320" t="inlineStr">
        <is>
          <t xml:space="preserve">Atena_Rem13_کارتابل </t>
        </is>
      </c>
      <c r="D320" t="inlineStr">
        <is>
          <t>Medium</t>
        </is>
      </c>
      <c r="E320" t="n">
        <v>2</v>
      </c>
      <c r="F320" t="inlineStr">
        <is>
          <t>New</t>
        </is>
      </c>
      <c r="G320" t="inlineStr">
        <is>
          <t>Other</t>
        </is>
      </c>
      <c r="I320" t="inlineStr">
        <is>
          <t>Bizagi_Team; infra_Team</t>
        </is>
      </c>
      <c r="J320" t="inlineStr">
        <is>
          <t>SAJAK</t>
        </is>
      </c>
      <c r="K320" t="inlineStr">
        <is>
          <t>Estate_Sprint 43</t>
        </is>
      </c>
      <c r="M320" t="inlineStr">
        <is>
          <t>Jafari Saeed</t>
        </is>
      </c>
      <c r="Q320" s="42" t="n">
        <v>45976.44914351852</v>
      </c>
      <c r="S320" t="n">
        <v>0</v>
      </c>
      <c r="T320" s="42" t="n">
        <v>45976.44914351852</v>
      </c>
      <c r="AA320" t="n">
        <v>0</v>
      </c>
      <c r="AD320" t="n">
        <v>2</v>
      </c>
      <c r="AE320" t="n">
        <v>2</v>
      </c>
      <c r="AF320" t="n">
        <v>0</v>
      </c>
      <c r="AI320" t="n">
        <v>0</v>
      </c>
      <c r="AJ320" t="n">
        <v>0</v>
      </c>
      <c r="AM320" t="n">
        <v>41</v>
      </c>
      <c r="AN320" t="n">
        <v>0</v>
      </c>
      <c r="AO320" t="n">
        <v>0</v>
      </c>
      <c r="AP320" t="n">
        <v>0</v>
      </c>
      <c r="AQ320" t="n">
        <v>24</v>
      </c>
      <c r="AR320" t="n">
        <v>0</v>
      </c>
    </row>
    <row r="321">
      <c r="A321" t="n">
        <v>195212</v>
      </c>
      <c r="B321" t="inlineStr">
        <is>
          <t xml:space="preserve"> /1365/1377/کمبو مدت درفرم ثبت درخواست ضمانت نامه ریالی  خالی می باشد</t>
        </is>
      </c>
      <c r="D321" t="inlineStr">
        <is>
          <t>Medium</t>
        </is>
      </c>
      <c r="E321" t="n">
        <v>1</v>
      </c>
      <c r="F321" t="inlineStr">
        <is>
          <t>Closed</t>
        </is>
      </c>
      <c r="G321" t="inlineStr">
        <is>
          <t>Other</t>
        </is>
      </c>
      <c r="J321" t="inlineStr">
        <is>
          <t>Dem</t>
        </is>
      </c>
      <c r="K321" t="inlineStr">
        <is>
          <t>DemBiz</t>
        </is>
      </c>
      <c r="M321" t="inlineStr">
        <is>
          <t>Moradi Mohammad</t>
        </is>
      </c>
      <c r="N321" t="inlineStr">
        <is>
          <t>Hajizadeh Elnaz</t>
        </is>
      </c>
      <c r="O321" s="42" t="n">
        <v>45977.67091435185</v>
      </c>
      <c r="Q321" s="42" t="n">
        <v>45977.67091435185</v>
      </c>
      <c r="S321" t="n">
        <v>0</v>
      </c>
      <c r="T321" s="42" t="n">
        <v>45977.67091435185</v>
      </c>
      <c r="Z321" s="42" t="n">
        <v>45977.67091435185</v>
      </c>
      <c r="AA321" t="n">
        <v>0</v>
      </c>
      <c r="AD321" t="n">
        <v>2</v>
      </c>
      <c r="AE321" t="n">
        <v>2</v>
      </c>
      <c r="AF321" t="n">
        <v>0</v>
      </c>
      <c r="AI321" t="n">
        <v>0</v>
      </c>
      <c r="AJ321" t="n">
        <v>0</v>
      </c>
      <c r="AK321" t="n">
        <v>0</v>
      </c>
      <c r="AL321" t="n">
        <v>0</v>
      </c>
      <c r="AN321" t="n">
        <v>0</v>
      </c>
      <c r="AO321" t="n">
        <v>0</v>
      </c>
      <c r="AP321" t="n">
        <v>0</v>
      </c>
      <c r="AQ321" t="n">
        <v>24</v>
      </c>
      <c r="AR321" t="n">
        <v>0</v>
      </c>
    </row>
    <row r="322">
      <c r="A322" t="n">
        <v>191974</v>
      </c>
      <c r="B322" t="inlineStr">
        <is>
          <t xml:space="preserve"> درخواست بایگانی اسناد - ثبت صورتجلسات اسناد - نمایش تسک ها مشابه در ازای زدن چندبار دکمه ارجاع_NFWARCH</t>
        </is>
      </c>
      <c r="D322" t="inlineStr">
        <is>
          <t>Medium</t>
        </is>
      </c>
      <c r="E322" t="n">
        <v>1</v>
      </c>
      <c r="F322" t="inlineStr">
        <is>
          <t>Closed</t>
        </is>
      </c>
      <c r="G322" t="inlineStr">
        <is>
          <t>Other</t>
        </is>
      </c>
      <c r="J322" t="inlineStr">
        <is>
          <t>Infrastructure Bizagi Extension</t>
        </is>
      </c>
      <c r="K322" t="inlineStr">
        <is>
          <t>SP-87</t>
        </is>
      </c>
      <c r="M322" t="inlineStr">
        <is>
          <t>Mojtaba MohammadGholi</t>
        </is>
      </c>
      <c r="N322" t="inlineStr">
        <is>
          <t>Ghafarian Ghazaleh</t>
        </is>
      </c>
      <c r="O322" s="42" t="n">
        <v>45959.37851851852</v>
      </c>
      <c r="Q322" s="42" t="n">
        <v>45959.37851851852</v>
      </c>
      <c r="S322" t="n">
        <v>0</v>
      </c>
      <c r="T322" s="42" t="n">
        <v>45959.37851851852</v>
      </c>
      <c r="Z322" s="42" t="n">
        <v>45959.37851851852</v>
      </c>
      <c r="AA322" t="n">
        <v>0</v>
      </c>
      <c r="AD322" t="n">
        <v>2</v>
      </c>
      <c r="AE322" t="n">
        <v>2</v>
      </c>
      <c r="AF322" t="n">
        <v>0</v>
      </c>
      <c r="AI322" t="n">
        <v>0</v>
      </c>
      <c r="AJ322" t="n">
        <v>0</v>
      </c>
      <c r="AK322" t="n">
        <v>0</v>
      </c>
      <c r="AL322" t="n">
        <v>0</v>
      </c>
      <c r="AN322" t="n">
        <v>0</v>
      </c>
      <c r="AO322" t="n">
        <v>0</v>
      </c>
      <c r="AP322" t="n">
        <v>0</v>
      </c>
      <c r="AQ322" t="n">
        <v>24</v>
      </c>
      <c r="AR322" t="n">
        <v>0</v>
      </c>
    </row>
    <row r="323">
      <c r="A323" t="n">
        <v>191975</v>
      </c>
      <c r="B323" t="inlineStr">
        <is>
          <t>کارتابل بایگانی - نمایش دادن میلادی تاریخ -NFWARCH</t>
        </is>
      </c>
      <c r="D323" t="inlineStr">
        <is>
          <t>Medium</t>
        </is>
      </c>
      <c r="E323" t="n">
        <v>1</v>
      </c>
      <c r="F323" t="inlineStr">
        <is>
          <t>Closed</t>
        </is>
      </c>
      <c r="G323" t="inlineStr">
        <is>
          <t>Other</t>
        </is>
      </c>
      <c r="J323" t="inlineStr">
        <is>
          <t>Infrastructure Bizagi Extension</t>
        </is>
      </c>
      <c r="K323" t="inlineStr">
        <is>
          <t>SP-87</t>
        </is>
      </c>
      <c r="M323" t="inlineStr">
        <is>
          <t>Jafari Saeed</t>
        </is>
      </c>
      <c r="N323" t="inlineStr">
        <is>
          <t>Monfared Mobina</t>
        </is>
      </c>
      <c r="O323" s="42" t="n">
        <v>45959.35069444445</v>
      </c>
      <c r="Q323" s="42" t="n">
        <v>45959.35069444445</v>
      </c>
      <c r="S323" t="n">
        <v>0</v>
      </c>
      <c r="T323" s="42" t="n">
        <v>45959.35069444445</v>
      </c>
      <c r="Z323" s="42" t="n">
        <v>45959.35069444445</v>
      </c>
      <c r="AA323" t="n">
        <v>0</v>
      </c>
      <c r="AD323" t="n">
        <v>2</v>
      </c>
      <c r="AE323" t="n">
        <v>2</v>
      </c>
      <c r="AF323" t="n">
        <v>0</v>
      </c>
      <c r="AI323" t="n">
        <v>0</v>
      </c>
      <c r="AJ323" t="n">
        <v>0</v>
      </c>
      <c r="AK323" t="n">
        <v>0</v>
      </c>
      <c r="AL323" t="n">
        <v>0</v>
      </c>
      <c r="AN323" t="n">
        <v>0</v>
      </c>
      <c r="AO323" t="n">
        <v>0</v>
      </c>
      <c r="AP323" t="n">
        <v>0</v>
      </c>
      <c r="AQ323" t="n">
        <v>24</v>
      </c>
      <c r="AR323" t="n">
        <v>0</v>
      </c>
    </row>
    <row r="324">
      <c r="A324" t="n">
        <v>191977</v>
      </c>
      <c r="B324" t="inlineStr">
        <is>
          <t>درخواست بایگانی - بعد از ارجاع سند به کارتابل زاغری, کارتابل خالی و تسک به آن شخص ارجاع داده نمیشود</t>
        </is>
      </c>
      <c r="D324" t="inlineStr">
        <is>
          <t>Medium</t>
        </is>
      </c>
      <c r="E324" t="n">
        <v>2</v>
      </c>
      <c r="F324" t="inlineStr">
        <is>
          <t>Closed</t>
        </is>
      </c>
      <c r="G324" t="inlineStr">
        <is>
          <t>Other</t>
        </is>
      </c>
      <c r="J324" t="inlineStr">
        <is>
          <t>Stagnant Archive</t>
        </is>
      </c>
      <c r="K324" t="inlineStr">
        <is>
          <t>Sp_21</t>
        </is>
      </c>
      <c r="M324" t="inlineStr">
        <is>
          <t>Hajkhalil Mehrzad</t>
        </is>
      </c>
      <c r="N324" t="inlineStr">
        <is>
          <t>Monfared Mobina</t>
        </is>
      </c>
      <c r="O324" s="42" t="n">
        <v>45958.71359953703</v>
      </c>
      <c r="Q324" s="42" t="n">
        <v>45958.71359953703</v>
      </c>
      <c r="S324" t="n">
        <v>0</v>
      </c>
      <c r="T324" s="42" t="n">
        <v>45958.71359953703</v>
      </c>
      <c r="Z324" s="42" t="n">
        <v>45958.71359953703</v>
      </c>
      <c r="AA324" t="n">
        <v>0</v>
      </c>
      <c r="AD324" t="n">
        <v>2</v>
      </c>
      <c r="AE324" t="n">
        <v>2</v>
      </c>
      <c r="AF324" t="n">
        <v>0</v>
      </c>
      <c r="AI324" t="n">
        <v>0</v>
      </c>
      <c r="AJ324" t="n">
        <v>0</v>
      </c>
      <c r="AK324" t="n">
        <v>0</v>
      </c>
      <c r="AL324" t="n">
        <v>0</v>
      </c>
      <c r="AN324" t="n">
        <v>0</v>
      </c>
      <c r="AO324" t="n">
        <v>0</v>
      </c>
      <c r="AP324" t="n">
        <v>0</v>
      </c>
      <c r="AQ324" t="n">
        <v>24</v>
      </c>
      <c r="AR324" t="n">
        <v>0</v>
      </c>
    </row>
    <row r="325">
      <c r="A325" t="n">
        <v>191978</v>
      </c>
      <c r="B325" t="inlineStr">
        <is>
          <t>بایگانی اسناد ستادی - فرم ثبت. واحد سازمانی های تکراری از جدول واحدهای انتخاب شده</t>
        </is>
      </c>
      <c r="D325" t="inlineStr">
        <is>
          <t>Medium</t>
        </is>
      </c>
      <c r="E325" t="n">
        <v>1</v>
      </c>
      <c r="F325" t="inlineStr">
        <is>
          <t>Closed</t>
        </is>
      </c>
      <c r="G325" t="inlineStr">
        <is>
          <t>Other</t>
        </is>
      </c>
      <c r="J325" t="inlineStr">
        <is>
          <t>Stagnant Archive</t>
        </is>
      </c>
      <c r="K325" t="inlineStr">
        <is>
          <t>Sp_22</t>
        </is>
      </c>
      <c r="M325" t="inlineStr">
        <is>
          <t>Homayoun Mohammad</t>
        </is>
      </c>
      <c r="N325" t="inlineStr">
        <is>
          <t>Monfared Mobina</t>
        </is>
      </c>
      <c r="O325" s="42" t="n">
        <v>45998.67120370371</v>
      </c>
      <c r="Q325" s="42" t="n">
        <v>45998.67120370371</v>
      </c>
      <c r="S325" t="n">
        <v>0</v>
      </c>
      <c r="T325" s="42" t="n">
        <v>45998.67120370371</v>
      </c>
      <c r="Z325" s="42" t="n">
        <v>45998.67120370371</v>
      </c>
      <c r="AA325" t="n">
        <v>0</v>
      </c>
      <c r="AD325" t="n">
        <v>2</v>
      </c>
      <c r="AE325" t="n">
        <v>2</v>
      </c>
      <c r="AF325" t="n">
        <v>0</v>
      </c>
      <c r="AI325" t="n">
        <v>0</v>
      </c>
      <c r="AJ325" t="n">
        <v>0</v>
      </c>
      <c r="AK325" t="n">
        <v>0</v>
      </c>
      <c r="AL325" t="n">
        <v>0</v>
      </c>
      <c r="AN325" t="n">
        <v>0</v>
      </c>
      <c r="AO325" t="n">
        <v>0</v>
      </c>
      <c r="AP325" t="n">
        <v>0</v>
      </c>
      <c r="AQ325" t="n">
        <v>24</v>
      </c>
      <c r="AR325" t="n">
        <v>0</v>
      </c>
    </row>
    <row r="326">
      <c r="A326" t="n">
        <v>191984</v>
      </c>
      <c r="B326" t="inlineStr">
        <is>
          <t xml:space="preserve">فیلد نوع مالکیت  در فرم ثبت شخص حقوقی اجباری شود </t>
        </is>
      </c>
      <c r="D326" t="inlineStr">
        <is>
          <t>Medium</t>
        </is>
      </c>
      <c r="E326" t="n">
        <v>2</v>
      </c>
      <c r="F326" t="inlineStr">
        <is>
          <t>Closed</t>
        </is>
      </c>
      <c r="G326" t="inlineStr">
        <is>
          <t>Other</t>
        </is>
      </c>
      <c r="J326" t="inlineStr">
        <is>
          <t>Dem</t>
        </is>
      </c>
      <c r="K326" t="inlineStr">
        <is>
          <t>DemBiz</t>
        </is>
      </c>
      <c r="M326" t="inlineStr">
        <is>
          <t>Moradi Mohammad</t>
        </is>
      </c>
      <c r="N326" t="inlineStr">
        <is>
          <t>Hajizadeh Elnaz</t>
        </is>
      </c>
      <c r="O326" s="42" t="n">
        <v>45958.62260416667</v>
      </c>
      <c r="Q326" s="42" t="n">
        <v>45958.62260416667</v>
      </c>
      <c r="S326" t="n">
        <v>0</v>
      </c>
      <c r="T326" s="42" t="n">
        <v>45958.62260416667</v>
      </c>
      <c r="Z326" s="42" t="n">
        <v>45958.62260416667</v>
      </c>
      <c r="AA326" t="n">
        <v>0</v>
      </c>
      <c r="AD326" t="n">
        <v>2</v>
      </c>
      <c r="AE326" t="n">
        <v>2</v>
      </c>
      <c r="AF326" t="n">
        <v>0</v>
      </c>
      <c r="AI326" t="n">
        <v>0</v>
      </c>
      <c r="AJ326" t="n">
        <v>0</v>
      </c>
      <c r="AK326" t="n">
        <v>0</v>
      </c>
      <c r="AL326" t="n">
        <v>0</v>
      </c>
      <c r="AN326" t="n">
        <v>0</v>
      </c>
      <c r="AO326" t="n">
        <v>0</v>
      </c>
      <c r="AP326" t="n">
        <v>0</v>
      </c>
      <c r="AQ326" t="n">
        <v>24</v>
      </c>
      <c r="AR326" t="n">
        <v>0</v>
      </c>
    </row>
    <row r="327">
      <c r="A327" t="n">
        <v>191991</v>
      </c>
      <c r="B327" t="inlineStr">
        <is>
          <t>درخواست بایگانی - تعیین مسئول ثبت صورتجلسات - با زدن دکمه انصراف سند به فرم مربوطه برنمیگرده</t>
        </is>
      </c>
      <c r="D327" t="inlineStr">
        <is>
          <t>Medium</t>
        </is>
      </c>
      <c r="E327" t="n">
        <v>1</v>
      </c>
      <c r="F327" t="inlineStr">
        <is>
          <t>Closed</t>
        </is>
      </c>
      <c r="G327" t="inlineStr">
        <is>
          <t>Other</t>
        </is>
      </c>
      <c r="J327" t="inlineStr">
        <is>
          <t>Stagnant Archive</t>
        </is>
      </c>
      <c r="K327" t="inlineStr">
        <is>
          <t>Sp_21</t>
        </is>
      </c>
      <c r="M327" t="inlineStr">
        <is>
          <t>Homayoun Mohammad</t>
        </is>
      </c>
      <c r="N327" t="inlineStr">
        <is>
          <t>Monfared Mobina</t>
        </is>
      </c>
      <c r="O327" s="42" t="n">
        <v>45958.49490740741</v>
      </c>
      <c r="Q327" s="42" t="n">
        <v>45958.49490740741</v>
      </c>
      <c r="S327" t="n">
        <v>0</v>
      </c>
      <c r="T327" s="42" t="n">
        <v>45958.49490740741</v>
      </c>
      <c r="Z327" s="42" t="n">
        <v>45958.49490740741</v>
      </c>
      <c r="AA327" t="n">
        <v>0</v>
      </c>
      <c r="AD327" t="n">
        <v>2</v>
      </c>
      <c r="AE327" t="n">
        <v>2</v>
      </c>
      <c r="AF327" t="n">
        <v>0</v>
      </c>
      <c r="AI327" t="n">
        <v>0</v>
      </c>
      <c r="AJ327" t="n">
        <v>0</v>
      </c>
      <c r="AK327" t="n">
        <v>0</v>
      </c>
      <c r="AL327" t="n">
        <v>0</v>
      </c>
      <c r="AN327" t="n">
        <v>0</v>
      </c>
      <c r="AO327" t="n">
        <v>0</v>
      </c>
      <c r="AP327" t="n">
        <v>0</v>
      </c>
      <c r="AQ327" t="n">
        <v>24</v>
      </c>
      <c r="AR327" t="n">
        <v>0</v>
      </c>
    </row>
    <row r="328">
      <c r="A328" t="n">
        <v>191992</v>
      </c>
      <c r="B328" t="inlineStr">
        <is>
          <t>بایگانی اسناد ستادی - پاراف - NFWARCH</t>
        </is>
      </c>
      <c r="D328" t="inlineStr">
        <is>
          <t>Medium</t>
        </is>
      </c>
      <c r="E328" t="n">
        <v>2</v>
      </c>
      <c r="F328" t="inlineStr">
        <is>
          <t>Closed</t>
        </is>
      </c>
      <c r="G328" t="inlineStr">
        <is>
          <t>Other</t>
        </is>
      </c>
      <c r="J328" t="inlineStr">
        <is>
          <t>Infrastructure Bizagi Extension</t>
        </is>
      </c>
      <c r="K328" t="inlineStr">
        <is>
          <t>SP-87</t>
        </is>
      </c>
      <c r="M328" t="inlineStr">
        <is>
          <t>Jafari Saeed</t>
        </is>
      </c>
      <c r="N328" t="inlineStr">
        <is>
          <t>Sharifi Shayan</t>
        </is>
      </c>
      <c r="O328" s="42" t="n">
        <v>45962.41043981481</v>
      </c>
      <c r="Q328" s="42" t="n">
        <v>45962.41043981481</v>
      </c>
      <c r="S328" t="n">
        <v>0</v>
      </c>
      <c r="T328" s="42" t="n">
        <v>45962.41043981481</v>
      </c>
      <c r="Z328" s="42" t="n">
        <v>45962.41043981481</v>
      </c>
      <c r="AA328" t="n">
        <v>0</v>
      </c>
      <c r="AD328" t="n">
        <v>2</v>
      </c>
      <c r="AE328" t="n">
        <v>2</v>
      </c>
      <c r="AF328" t="n">
        <v>0</v>
      </c>
      <c r="AI328" t="n">
        <v>0</v>
      </c>
      <c r="AJ328" t="n">
        <v>0</v>
      </c>
      <c r="AK328" t="n">
        <v>0</v>
      </c>
      <c r="AL328" t="n">
        <v>0</v>
      </c>
      <c r="AN328" t="n">
        <v>0</v>
      </c>
      <c r="AO328" t="n">
        <v>0</v>
      </c>
      <c r="AP328" t="n">
        <v>0</v>
      </c>
      <c r="AQ328" t="n">
        <v>24</v>
      </c>
      <c r="AR328" t="n">
        <v>0</v>
      </c>
    </row>
    <row r="329">
      <c r="A329" t="n">
        <v>191994</v>
      </c>
      <c r="B329" t="inlineStr">
        <is>
          <t>سندازفرم ورود اطلاعات دریافتی پیشنهاد شعبه به تکمیل ،باتایم طولانی وپیغام خطانکست می شود</t>
        </is>
      </c>
      <c r="D329" t="inlineStr">
        <is>
          <t>Medium</t>
        </is>
      </c>
      <c r="E329" t="n">
        <v>2</v>
      </c>
      <c r="F329" t="inlineStr">
        <is>
          <t>Closed</t>
        </is>
      </c>
      <c r="G329" t="inlineStr">
        <is>
          <t>Other</t>
        </is>
      </c>
      <c r="J329" t="inlineStr">
        <is>
          <t>Dem</t>
        </is>
      </c>
      <c r="K329" t="inlineStr">
        <is>
          <t>DemBiz</t>
        </is>
      </c>
      <c r="M329" t="inlineStr">
        <is>
          <t>Moradi Mohammad</t>
        </is>
      </c>
      <c r="N329" t="inlineStr">
        <is>
          <t>Hajizadeh Elnaz</t>
        </is>
      </c>
      <c r="O329" s="42" t="n">
        <v>45959.48952546297</v>
      </c>
      <c r="Q329" s="42" t="n">
        <v>45959.48952546297</v>
      </c>
      <c r="S329" t="n">
        <v>0</v>
      </c>
      <c r="T329" s="42" t="n">
        <v>45959.48952546297</v>
      </c>
      <c r="Z329" s="42" t="n">
        <v>45959.48952546297</v>
      </c>
      <c r="AA329" t="n">
        <v>0</v>
      </c>
      <c r="AD329" t="n">
        <v>2</v>
      </c>
      <c r="AE329" t="n">
        <v>2</v>
      </c>
      <c r="AF329" t="n">
        <v>0</v>
      </c>
      <c r="AI329" t="n">
        <v>0</v>
      </c>
      <c r="AJ329" t="n">
        <v>0</v>
      </c>
      <c r="AK329" t="n">
        <v>0</v>
      </c>
      <c r="AL329" t="n">
        <v>0</v>
      </c>
      <c r="AN329" t="n">
        <v>0</v>
      </c>
      <c r="AO329" t="n">
        <v>0</v>
      </c>
      <c r="AP329" t="n">
        <v>0</v>
      </c>
      <c r="AQ329" t="n">
        <v>24</v>
      </c>
      <c r="AR329" t="n">
        <v>0</v>
      </c>
    </row>
    <row r="330">
      <c r="A330" t="n">
        <v>191997</v>
      </c>
      <c r="B330" t="inlineStr">
        <is>
          <t>نمایش تیک فعال برای باجه‌های غیرفعال در صفحه ایجاد باجه جدید</t>
        </is>
      </c>
      <c r="D330" t="inlineStr">
        <is>
          <t>Medium</t>
        </is>
      </c>
      <c r="E330" t="n">
        <v>2</v>
      </c>
      <c r="F330" t="inlineStr">
        <is>
          <t>Open</t>
        </is>
      </c>
      <c r="G330" t="inlineStr">
        <is>
          <t>Other</t>
        </is>
      </c>
      <c r="J330" t="inlineStr">
        <is>
          <t>Post Bank</t>
        </is>
      </c>
      <c r="K330" t="inlineStr">
        <is>
          <t>Sprint 21</t>
        </is>
      </c>
      <c r="M330" t="inlineStr">
        <is>
          <t>Arshi Mahmood</t>
        </is>
      </c>
      <c r="Q330" s="42" t="n">
        <v>46012.69310185185</v>
      </c>
      <c r="S330" t="n">
        <v>0</v>
      </c>
      <c r="T330" s="42" t="n">
        <v>46012.69310185185</v>
      </c>
      <c r="AA330" t="n">
        <v>0</v>
      </c>
      <c r="AD330" t="n">
        <v>2</v>
      </c>
      <c r="AE330" t="n">
        <v>2</v>
      </c>
      <c r="AF330" t="n">
        <v>0</v>
      </c>
      <c r="AI330" t="n">
        <v>0</v>
      </c>
      <c r="AJ330" t="n">
        <v>0</v>
      </c>
      <c r="AM330" t="n">
        <v>5</v>
      </c>
      <c r="AN330" t="n">
        <v>0</v>
      </c>
      <c r="AO330" t="n">
        <v>0</v>
      </c>
      <c r="AP330" t="n">
        <v>0</v>
      </c>
      <c r="AQ330" t="n">
        <v>24</v>
      </c>
      <c r="AR330" t="n">
        <v>0</v>
      </c>
    </row>
    <row r="331">
      <c r="A331" t="n">
        <v>191998</v>
      </c>
      <c r="B331" t="inlineStr">
        <is>
          <t xml:space="preserve">ردگیری - سورت نبود گرید اسناد </t>
        </is>
      </c>
      <c r="D331" t="inlineStr">
        <is>
          <t>Medium</t>
        </is>
      </c>
      <c r="E331" t="n">
        <v>2</v>
      </c>
      <c r="F331" t="inlineStr">
        <is>
          <t>Closed</t>
        </is>
      </c>
      <c r="G331" t="inlineStr">
        <is>
          <t>Other</t>
        </is>
      </c>
      <c r="J331" t="inlineStr">
        <is>
          <t>Stagnant Archive</t>
        </is>
      </c>
      <c r="K331" t="inlineStr">
        <is>
          <t>Sp_21</t>
        </is>
      </c>
      <c r="M331" t="inlineStr">
        <is>
          <t>Tedadi Abbas</t>
        </is>
      </c>
      <c r="N331" t="inlineStr">
        <is>
          <t>Monfared Mobina</t>
        </is>
      </c>
      <c r="O331" s="42" t="n">
        <v>45958.71708333334</v>
      </c>
      <c r="Q331" s="42" t="n">
        <v>45958.71708333334</v>
      </c>
      <c r="S331" t="n">
        <v>0</v>
      </c>
      <c r="T331" s="42" t="n">
        <v>45958.71708333334</v>
      </c>
      <c r="Z331" s="42" t="n">
        <v>45958.71708333334</v>
      </c>
      <c r="AA331" t="n">
        <v>0</v>
      </c>
      <c r="AD331" t="n">
        <v>2</v>
      </c>
      <c r="AE331" t="n">
        <v>2</v>
      </c>
      <c r="AF331" t="n">
        <v>0</v>
      </c>
      <c r="AI331" t="n">
        <v>0</v>
      </c>
      <c r="AJ331" t="n">
        <v>0</v>
      </c>
      <c r="AK331" t="n">
        <v>0</v>
      </c>
      <c r="AL331" t="n">
        <v>0</v>
      </c>
      <c r="AN331" t="n">
        <v>0</v>
      </c>
      <c r="AO331" t="n">
        <v>0</v>
      </c>
      <c r="AP331" t="n">
        <v>0</v>
      </c>
      <c r="AQ331" t="n">
        <v>24</v>
      </c>
      <c r="AR331" t="n">
        <v>0</v>
      </c>
    </row>
    <row r="332">
      <c r="A332" t="n">
        <v>192002</v>
      </c>
      <c r="B332" t="inlineStr">
        <is>
          <t>درخواست رفع کسری - خطا هنگام ارسال فرم</t>
        </is>
      </c>
      <c r="D332" t="inlineStr">
        <is>
          <t>Medium</t>
        </is>
      </c>
      <c r="E332" t="n">
        <v>1</v>
      </c>
      <c r="F332" t="inlineStr">
        <is>
          <t>Closed</t>
        </is>
      </c>
      <c r="G332" t="inlineStr">
        <is>
          <t>Other</t>
        </is>
      </c>
      <c r="J332" t="inlineStr">
        <is>
          <t>Stagnant Archive</t>
        </is>
      </c>
      <c r="K332" t="inlineStr">
        <is>
          <t>Sp_21</t>
        </is>
      </c>
      <c r="M332" t="inlineStr">
        <is>
          <t>Hajkhalil Mehrzad</t>
        </is>
      </c>
      <c r="N332" t="inlineStr">
        <is>
          <t>Monfared Mobina</t>
        </is>
      </c>
      <c r="O332" s="42" t="n">
        <v>45958.7137962963</v>
      </c>
      <c r="Q332" s="42" t="n">
        <v>45958.7137962963</v>
      </c>
      <c r="S332" t="n">
        <v>0</v>
      </c>
      <c r="T332" s="42" t="n">
        <v>45958.7137962963</v>
      </c>
      <c r="Z332" s="42" t="n">
        <v>45958.7137962963</v>
      </c>
      <c r="AA332" t="n">
        <v>0</v>
      </c>
      <c r="AD332" t="n">
        <v>2</v>
      </c>
      <c r="AE332" t="n">
        <v>2</v>
      </c>
      <c r="AF332" t="n">
        <v>0</v>
      </c>
      <c r="AI332" t="n">
        <v>0</v>
      </c>
      <c r="AJ332" t="n">
        <v>0</v>
      </c>
      <c r="AK332" t="n">
        <v>0</v>
      </c>
      <c r="AL332" t="n">
        <v>0</v>
      </c>
      <c r="AN332" t="n">
        <v>0</v>
      </c>
      <c r="AO332" t="n">
        <v>0</v>
      </c>
      <c r="AP332" t="n">
        <v>0</v>
      </c>
      <c r="AQ332" t="n">
        <v>24</v>
      </c>
      <c r="AR332" t="n">
        <v>0</v>
      </c>
    </row>
    <row r="333">
      <c r="A333" t="n">
        <v>192003</v>
      </c>
      <c r="B333" t="inlineStr">
        <is>
          <t xml:space="preserve">بایگانی اسناد ستادی - تسک تعیین مسئول </t>
        </is>
      </c>
      <c r="D333" t="inlineStr">
        <is>
          <t>Medium</t>
        </is>
      </c>
      <c r="E333" t="n">
        <v>2</v>
      </c>
      <c r="F333" t="inlineStr">
        <is>
          <t>Closed</t>
        </is>
      </c>
      <c r="G333" t="inlineStr">
        <is>
          <t>Other</t>
        </is>
      </c>
      <c r="J333" t="inlineStr">
        <is>
          <t>Stagnant Archive</t>
        </is>
      </c>
      <c r="K333" t="inlineStr">
        <is>
          <t>Sp_21</t>
        </is>
      </c>
      <c r="M333" t="inlineStr">
        <is>
          <t>Homayoun Mohammad</t>
        </is>
      </c>
      <c r="N333" t="inlineStr">
        <is>
          <t>Sharifi Shayan</t>
        </is>
      </c>
      <c r="O333" s="42" t="n">
        <v>45958.71744212963</v>
      </c>
      <c r="Q333" s="42" t="n">
        <v>45958.71744212963</v>
      </c>
      <c r="S333" t="n">
        <v>0</v>
      </c>
      <c r="T333" s="42" t="n">
        <v>45958.71744212963</v>
      </c>
      <c r="Z333" s="42" t="n">
        <v>45958.71744212963</v>
      </c>
      <c r="AA333" t="n">
        <v>0</v>
      </c>
      <c r="AD333" t="n">
        <v>2</v>
      </c>
      <c r="AE333" t="n">
        <v>2</v>
      </c>
      <c r="AF333" t="n">
        <v>0</v>
      </c>
      <c r="AI333" t="n">
        <v>0</v>
      </c>
      <c r="AJ333" t="n">
        <v>0</v>
      </c>
      <c r="AK333" t="n">
        <v>0</v>
      </c>
      <c r="AL333" t="n">
        <v>0</v>
      </c>
      <c r="AN333" t="n">
        <v>0</v>
      </c>
      <c r="AO333" t="n">
        <v>0</v>
      </c>
      <c r="AP333" t="n">
        <v>0</v>
      </c>
      <c r="AQ333" t="n">
        <v>24</v>
      </c>
      <c r="AR333" t="n">
        <v>0</v>
      </c>
    </row>
    <row r="334">
      <c r="A334" t="n">
        <v>192007</v>
      </c>
      <c r="B334" t="inlineStr">
        <is>
          <t>درخواست بایگانی اسناد ارزی  - تسک خالی نمایش دادن در یوزر کارشناس با زدن دکمه ارجاع</t>
        </is>
      </c>
      <c r="D334" t="inlineStr">
        <is>
          <t>Medium</t>
        </is>
      </c>
      <c r="E334" t="n">
        <v>2</v>
      </c>
      <c r="F334" t="inlineStr">
        <is>
          <t>Closed</t>
        </is>
      </c>
      <c r="G334" t="inlineStr">
        <is>
          <t>Other</t>
        </is>
      </c>
      <c r="J334" t="inlineStr">
        <is>
          <t>Stagnant Archive</t>
        </is>
      </c>
      <c r="K334" t="inlineStr">
        <is>
          <t>Sp_21</t>
        </is>
      </c>
      <c r="M334" t="inlineStr">
        <is>
          <t>Hajkhalil Mehrzad</t>
        </is>
      </c>
      <c r="N334" t="inlineStr">
        <is>
          <t>Monfared Mobina</t>
        </is>
      </c>
      <c r="O334" s="42" t="n">
        <v>45958.72383101852</v>
      </c>
      <c r="Q334" s="42" t="n">
        <v>45958.72383101852</v>
      </c>
      <c r="S334" t="n">
        <v>0</v>
      </c>
      <c r="T334" s="42" t="n">
        <v>45958.72383101852</v>
      </c>
      <c r="Z334" s="42" t="n">
        <v>45958.72383101852</v>
      </c>
      <c r="AA334" t="n">
        <v>0</v>
      </c>
      <c r="AD334" t="n">
        <v>2</v>
      </c>
      <c r="AE334" t="n">
        <v>2</v>
      </c>
      <c r="AF334" t="n">
        <v>0</v>
      </c>
      <c r="AI334" t="n">
        <v>0</v>
      </c>
      <c r="AJ334" t="n">
        <v>0</v>
      </c>
      <c r="AK334" t="n">
        <v>0</v>
      </c>
      <c r="AL334" t="n">
        <v>0</v>
      </c>
      <c r="AN334" t="n">
        <v>0</v>
      </c>
      <c r="AO334" t="n">
        <v>0</v>
      </c>
      <c r="AP334" t="n">
        <v>0</v>
      </c>
      <c r="AQ334" t="n">
        <v>24</v>
      </c>
      <c r="AR334" t="n">
        <v>0</v>
      </c>
    </row>
    <row r="335">
      <c r="A335" t="n">
        <v>192009</v>
      </c>
      <c r="B335" t="inlineStr">
        <is>
          <t>نمایش محدود کاربران در لیست کمبو نام کاربر حضور و غیاب</t>
        </is>
      </c>
      <c r="D335" t="inlineStr">
        <is>
          <t>Medium</t>
        </is>
      </c>
      <c r="E335" t="n">
        <v>2</v>
      </c>
      <c r="F335" t="inlineStr">
        <is>
          <t>Active</t>
        </is>
      </c>
      <c r="G335" t="inlineStr">
        <is>
          <t>Other</t>
        </is>
      </c>
      <c r="J335" t="inlineStr">
        <is>
          <t>Post Bank</t>
        </is>
      </c>
      <c r="K335" t="inlineStr">
        <is>
          <t>Sprint 21</t>
        </is>
      </c>
      <c r="M335" t="inlineStr">
        <is>
          <t>Arshi Mahmood</t>
        </is>
      </c>
      <c r="Q335" s="42" t="n">
        <v>46013.58920138889</v>
      </c>
      <c r="S335" t="n">
        <v>0</v>
      </c>
      <c r="T335" s="42" t="n">
        <v>46013.58920138889</v>
      </c>
      <c r="AA335" t="n">
        <v>0</v>
      </c>
      <c r="AD335" t="n">
        <v>2</v>
      </c>
      <c r="AE335" t="n">
        <v>2</v>
      </c>
      <c r="AF335" t="n">
        <v>0</v>
      </c>
      <c r="AI335" t="n">
        <v>0</v>
      </c>
      <c r="AJ335" t="n">
        <v>0</v>
      </c>
      <c r="AM335" t="n">
        <v>4</v>
      </c>
      <c r="AN335" t="n">
        <v>0</v>
      </c>
      <c r="AO335" t="n">
        <v>0</v>
      </c>
      <c r="AP335" t="n">
        <v>0</v>
      </c>
      <c r="AQ335" t="n">
        <v>24</v>
      </c>
      <c r="AR335" t="n">
        <v>0</v>
      </c>
    </row>
    <row r="336">
      <c r="A336" t="n">
        <v>192010</v>
      </c>
      <c r="B336" t="inlineStr">
        <is>
          <t>نمایش اشتباه پیغام شماره پیشنهاد شعبه در اتوماسیون  قبلی ثبت شده است</t>
        </is>
      </c>
      <c r="D336" t="inlineStr">
        <is>
          <t>Medium</t>
        </is>
      </c>
      <c r="E336" t="n">
        <v>1</v>
      </c>
      <c r="F336" t="inlineStr">
        <is>
          <t>Closed</t>
        </is>
      </c>
      <c r="G336" t="inlineStr">
        <is>
          <t>Other</t>
        </is>
      </c>
      <c r="J336" t="inlineStr">
        <is>
          <t>Dem</t>
        </is>
      </c>
      <c r="K336" t="inlineStr">
        <is>
          <t>DemBiz</t>
        </is>
      </c>
      <c r="M336" t="inlineStr">
        <is>
          <t>Hoseini Fatemeh</t>
        </is>
      </c>
      <c r="N336" t="inlineStr">
        <is>
          <t>Hajizadeh Elnaz</t>
        </is>
      </c>
      <c r="O336" s="42" t="n">
        <v>45958.64737268518</v>
      </c>
      <c r="Q336" s="42" t="n">
        <v>45958.64737268518</v>
      </c>
      <c r="S336" t="n">
        <v>0</v>
      </c>
      <c r="T336" s="42" t="n">
        <v>45958.64737268518</v>
      </c>
      <c r="Z336" s="42" t="n">
        <v>45958.64737268518</v>
      </c>
      <c r="AA336" t="n">
        <v>0</v>
      </c>
      <c r="AD336" t="n">
        <v>2</v>
      </c>
      <c r="AE336" t="n">
        <v>2</v>
      </c>
      <c r="AF336" t="n">
        <v>0</v>
      </c>
      <c r="AI336" t="n">
        <v>0</v>
      </c>
      <c r="AJ336" t="n">
        <v>0</v>
      </c>
      <c r="AK336" t="n">
        <v>0</v>
      </c>
      <c r="AL336" t="n">
        <v>0</v>
      </c>
      <c r="AN336" t="n">
        <v>0</v>
      </c>
      <c r="AO336" t="n">
        <v>0</v>
      </c>
      <c r="AP336" t="n">
        <v>0</v>
      </c>
      <c r="AQ336" t="n">
        <v>24</v>
      </c>
      <c r="AR336" t="n">
        <v>0</v>
      </c>
    </row>
    <row r="337">
      <c r="A337" t="n">
        <v>192014</v>
      </c>
      <c r="B337" t="inlineStr">
        <is>
          <t>نمایش اشتباه پیغام  درخواست مورد نظر را انتخاب کنید</t>
        </is>
      </c>
      <c r="D337" t="inlineStr">
        <is>
          <t>Medium</t>
        </is>
      </c>
      <c r="E337" t="n">
        <v>1</v>
      </c>
      <c r="F337" t="inlineStr">
        <is>
          <t>Closed</t>
        </is>
      </c>
      <c r="G337" t="inlineStr">
        <is>
          <t>Other</t>
        </is>
      </c>
      <c r="J337" t="inlineStr">
        <is>
          <t>Dem</t>
        </is>
      </c>
      <c r="K337" t="inlineStr">
        <is>
          <t>DemBiz</t>
        </is>
      </c>
      <c r="M337" t="inlineStr">
        <is>
          <t>Arshi Mahmood</t>
        </is>
      </c>
      <c r="N337" t="inlineStr">
        <is>
          <t>Hajizadeh Elnaz</t>
        </is>
      </c>
      <c r="O337" s="42" t="n">
        <v>45959.36884259259</v>
      </c>
      <c r="Q337" s="42" t="n">
        <v>45959.36884259259</v>
      </c>
      <c r="S337" t="n">
        <v>0</v>
      </c>
      <c r="T337" s="42" t="n">
        <v>45959.36884259259</v>
      </c>
      <c r="Z337" s="42" t="n">
        <v>45959.36884259259</v>
      </c>
      <c r="AA337" t="n">
        <v>0</v>
      </c>
      <c r="AD337" t="n">
        <v>2</v>
      </c>
      <c r="AE337" t="n">
        <v>2</v>
      </c>
      <c r="AF337" t="n">
        <v>0</v>
      </c>
      <c r="AI337" t="n">
        <v>0</v>
      </c>
      <c r="AJ337" t="n">
        <v>0</v>
      </c>
      <c r="AK337" t="n">
        <v>0</v>
      </c>
      <c r="AL337" t="n">
        <v>0</v>
      </c>
      <c r="AN337" t="n">
        <v>0</v>
      </c>
      <c r="AO337" t="n">
        <v>0</v>
      </c>
      <c r="AP337" t="n">
        <v>0</v>
      </c>
      <c r="AQ337" t="n">
        <v>24</v>
      </c>
      <c r="AR337" t="n">
        <v>0</v>
      </c>
    </row>
    <row r="338">
      <c r="A338" t="n">
        <v>192018</v>
      </c>
      <c r="B338" t="inlineStr">
        <is>
          <t>درخواست بازیابی - جوابیه درخواست بازیابی - عدم امکان ثبت اسنادمدارک</t>
        </is>
      </c>
      <c r="D338" t="inlineStr">
        <is>
          <t>Medium</t>
        </is>
      </c>
      <c r="E338" t="n">
        <v>2</v>
      </c>
      <c r="F338" t="inlineStr">
        <is>
          <t>Closed</t>
        </is>
      </c>
      <c r="G338" t="inlineStr">
        <is>
          <t>Other</t>
        </is>
      </c>
      <c r="J338" t="inlineStr">
        <is>
          <t>Stagnant Archive</t>
        </is>
      </c>
      <c r="K338" t="inlineStr">
        <is>
          <t>Sp_21</t>
        </is>
      </c>
      <c r="M338" t="inlineStr">
        <is>
          <t>Davar Hamed</t>
        </is>
      </c>
      <c r="N338" t="inlineStr">
        <is>
          <t>Monfared Mobina</t>
        </is>
      </c>
      <c r="O338" s="42" t="n">
        <v>45958.58876157407</v>
      </c>
      <c r="Q338" s="42" t="n">
        <v>45958.58876157407</v>
      </c>
      <c r="S338" t="n">
        <v>0</v>
      </c>
      <c r="T338" s="42" t="n">
        <v>45958.58876157407</v>
      </c>
      <c r="Z338" s="42" t="n">
        <v>45958.58876157407</v>
      </c>
      <c r="AA338" t="n">
        <v>0</v>
      </c>
      <c r="AD338" t="n">
        <v>2</v>
      </c>
      <c r="AE338" t="n">
        <v>2</v>
      </c>
      <c r="AF338" t="n">
        <v>0</v>
      </c>
      <c r="AI338" t="n">
        <v>0</v>
      </c>
      <c r="AJ338" t="n">
        <v>0</v>
      </c>
      <c r="AK338" t="n">
        <v>0</v>
      </c>
      <c r="AL338" t="n">
        <v>0</v>
      </c>
      <c r="AN338" t="n">
        <v>0</v>
      </c>
      <c r="AO338" t="n">
        <v>0</v>
      </c>
      <c r="AP338" t="n">
        <v>0</v>
      </c>
      <c r="AQ338" t="n">
        <v>24</v>
      </c>
      <c r="AR338" t="n">
        <v>0</v>
      </c>
    </row>
    <row r="339">
      <c r="A339" t="n">
        <v>192019</v>
      </c>
      <c r="B339" t="inlineStr">
        <is>
          <t>شریک جدید بعد از ذخیره به لیست کمبوی نام شخص/شرکت اضافه نمی‌شود</t>
        </is>
      </c>
      <c r="D339" t="inlineStr">
        <is>
          <t>Medium</t>
        </is>
      </c>
      <c r="E339" t="n">
        <v>2</v>
      </c>
      <c r="F339" t="inlineStr">
        <is>
          <t>Closed</t>
        </is>
      </c>
      <c r="G339" t="inlineStr">
        <is>
          <t>Other</t>
        </is>
      </c>
      <c r="J339" t="inlineStr">
        <is>
          <t>Dem</t>
        </is>
      </c>
      <c r="K339" t="inlineStr">
        <is>
          <t>DemBiz</t>
        </is>
      </c>
      <c r="M339" t="inlineStr">
        <is>
          <t>Moradi Mohammad</t>
        </is>
      </c>
      <c r="N339" t="inlineStr">
        <is>
          <t>Hajizadeh Elnaz</t>
        </is>
      </c>
      <c r="O339" s="42" t="n">
        <v>45959.63417824074</v>
      </c>
      <c r="Q339" s="42" t="n">
        <v>45959.63417824074</v>
      </c>
      <c r="S339" t="n">
        <v>0</v>
      </c>
      <c r="T339" s="42" t="n">
        <v>45959.63417824074</v>
      </c>
      <c r="Z339" s="42" t="n">
        <v>45959.63417824074</v>
      </c>
      <c r="AA339" t="n">
        <v>0</v>
      </c>
      <c r="AD339" t="n">
        <v>2</v>
      </c>
      <c r="AE339" t="n">
        <v>2</v>
      </c>
      <c r="AF339" t="n">
        <v>0</v>
      </c>
      <c r="AI339" t="n">
        <v>0</v>
      </c>
      <c r="AJ339" t="n">
        <v>0</v>
      </c>
      <c r="AK339" t="n">
        <v>0</v>
      </c>
      <c r="AL339" t="n">
        <v>0</v>
      </c>
      <c r="AN339" t="n">
        <v>0</v>
      </c>
      <c r="AO339" t="n">
        <v>0</v>
      </c>
      <c r="AP339" t="n">
        <v>0</v>
      </c>
      <c r="AQ339" t="n">
        <v>24</v>
      </c>
      <c r="AR339" t="n">
        <v>0</v>
      </c>
    </row>
    <row r="340">
      <c r="A340" t="n">
        <v>192020</v>
      </c>
      <c r="B340" t="inlineStr">
        <is>
          <t xml:space="preserve">عدم نمایش  صورت مالی جدیدثبت شده ، در گزارش کاربرگ برسی </t>
        </is>
      </c>
      <c r="D340" t="inlineStr">
        <is>
          <t>Medium</t>
        </is>
      </c>
      <c r="E340" t="n">
        <v>1</v>
      </c>
      <c r="F340" t="inlineStr">
        <is>
          <t>Closed</t>
        </is>
      </c>
      <c r="G340" t="inlineStr">
        <is>
          <t>Other</t>
        </is>
      </c>
      <c r="J340" t="inlineStr">
        <is>
          <t>Dem</t>
        </is>
      </c>
      <c r="K340" t="inlineStr">
        <is>
          <t>DemBiz</t>
        </is>
      </c>
      <c r="M340" t="inlineStr">
        <is>
          <t>Javanmardi Mojan</t>
        </is>
      </c>
      <c r="N340" t="inlineStr">
        <is>
          <t>Baniamer Shaghayegh</t>
        </is>
      </c>
      <c r="O340" s="42" t="n">
        <v>45962.62725694444</v>
      </c>
      <c r="Q340" s="42" t="n">
        <v>45962.62725694444</v>
      </c>
      <c r="S340" t="n">
        <v>0</v>
      </c>
      <c r="T340" s="42" t="n">
        <v>45962.62725694444</v>
      </c>
      <c r="Z340" s="42" t="n">
        <v>45962.62725694444</v>
      </c>
      <c r="AA340" t="n">
        <v>0</v>
      </c>
      <c r="AD340" t="n">
        <v>2</v>
      </c>
      <c r="AE340" t="n">
        <v>2</v>
      </c>
      <c r="AF340" t="n">
        <v>0</v>
      </c>
      <c r="AI340" t="n">
        <v>0</v>
      </c>
      <c r="AJ340" t="n">
        <v>0</v>
      </c>
      <c r="AK340" t="n">
        <v>0</v>
      </c>
      <c r="AL340" t="n">
        <v>0</v>
      </c>
      <c r="AN340" t="n">
        <v>0</v>
      </c>
      <c r="AO340" t="n">
        <v>0</v>
      </c>
      <c r="AP340" t="n">
        <v>0</v>
      </c>
      <c r="AQ340" t="n">
        <v>24</v>
      </c>
      <c r="AR340" t="n">
        <v>0</v>
      </c>
    </row>
    <row r="341">
      <c r="A341" t="n">
        <v>192022</v>
      </c>
      <c r="B341" t="inlineStr">
        <is>
          <t>ادیتبل نبودن فیلد نوع صورت مالی، در فرم ثبت صورت مالی</t>
        </is>
      </c>
      <c r="D341" t="inlineStr">
        <is>
          <t>Medium</t>
        </is>
      </c>
      <c r="E341" t="n">
        <v>1</v>
      </c>
      <c r="F341" t="inlineStr">
        <is>
          <t>Closed</t>
        </is>
      </c>
      <c r="G341" t="inlineStr">
        <is>
          <t>Other</t>
        </is>
      </c>
      <c r="J341" t="inlineStr">
        <is>
          <t>Dem</t>
        </is>
      </c>
      <c r="K341" t="inlineStr">
        <is>
          <t>DemBiz</t>
        </is>
      </c>
      <c r="M341" t="inlineStr">
        <is>
          <t>Hoseini Fatemeh</t>
        </is>
      </c>
      <c r="N341" t="inlineStr">
        <is>
          <t>Hajizadeh Elnaz</t>
        </is>
      </c>
      <c r="O341" s="42" t="n">
        <v>45959.49324074074</v>
      </c>
      <c r="Q341" s="42" t="n">
        <v>45959.49324074074</v>
      </c>
      <c r="S341" t="n">
        <v>0</v>
      </c>
      <c r="T341" s="42" t="n">
        <v>45959.49324074074</v>
      </c>
      <c r="Z341" s="42" t="n">
        <v>45959.49324074074</v>
      </c>
      <c r="AA341" t="n">
        <v>0</v>
      </c>
      <c r="AD341" t="n">
        <v>2</v>
      </c>
      <c r="AE341" t="n">
        <v>2</v>
      </c>
      <c r="AF341" t="n">
        <v>0</v>
      </c>
      <c r="AI341" t="n">
        <v>0</v>
      </c>
      <c r="AJ341" t="n">
        <v>0</v>
      </c>
      <c r="AK341" t="n">
        <v>0</v>
      </c>
      <c r="AL341" t="n">
        <v>0</v>
      </c>
      <c r="AN341" t="n">
        <v>0</v>
      </c>
      <c r="AO341" t="n">
        <v>0</v>
      </c>
      <c r="AP341" t="n">
        <v>0</v>
      </c>
      <c r="AQ341" t="n">
        <v>24</v>
      </c>
      <c r="AR341" t="n">
        <v>0</v>
      </c>
    </row>
    <row r="342">
      <c r="A342" t="n">
        <v>192023</v>
      </c>
      <c r="B342" t="inlineStr">
        <is>
          <t>بازیابی - فرم ثبت. جدول اسناد درخواستی</t>
        </is>
      </c>
      <c r="D342" t="inlineStr">
        <is>
          <t>Medium</t>
        </is>
      </c>
      <c r="E342" t="n">
        <v>1</v>
      </c>
      <c r="F342" t="inlineStr">
        <is>
          <t>Approved</t>
        </is>
      </c>
      <c r="G342" t="inlineStr">
        <is>
          <t>Other</t>
        </is>
      </c>
      <c r="J342" t="inlineStr">
        <is>
          <t>Stagnant Archive</t>
        </is>
      </c>
      <c r="K342" t="inlineStr">
        <is>
          <t>Sp_22</t>
        </is>
      </c>
      <c r="M342" t="inlineStr">
        <is>
          <t>Sharifi Shayan</t>
        </is>
      </c>
      <c r="Q342" s="42" t="n">
        <v>45958.72283564815</v>
      </c>
      <c r="S342" t="n">
        <v>0</v>
      </c>
      <c r="T342" s="42" t="n">
        <v>45958.72283564815</v>
      </c>
      <c r="AA342" t="n">
        <v>0</v>
      </c>
      <c r="AD342" t="n">
        <v>2</v>
      </c>
      <c r="AE342" t="n">
        <v>2</v>
      </c>
      <c r="AF342" t="n">
        <v>0</v>
      </c>
      <c r="AI342" t="n">
        <v>0</v>
      </c>
      <c r="AJ342" t="n">
        <v>0</v>
      </c>
      <c r="AN342" t="n">
        <v>0</v>
      </c>
      <c r="AO342" t="n">
        <v>0</v>
      </c>
      <c r="AP342" t="n">
        <v>0</v>
      </c>
      <c r="AQ342" t="n">
        <v>24</v>
      </c>
      <c r="AR342" t="n">
        <v>0</v>
      </c>
    </row>
    <row r="343">
      <c r="A343" t="n">
        <v>192027</v>
      </c>
      <c r="B343" t="inlineStr">
        <is>
          <t>بازیابی اسناد - نمایش نتایج اسناد در جدول اسناد درخواستی</t>
        </is>
      </c>
      <c r="D343" t="inlineStr">
        <is>
          <t>Medium</t>
        </is>
      </c>
      <c r="E343" t="n">
        <v>2</v>
      </c>
      <c r="F343" t="inlineStr">
        <is>
          <t>Closed</t>
        </is>
      </c>
      <c r="G343" t="inlineStr">
        <is>
          <t>Other</t>
        </is>
      </c>
      <c r="J343" t="inlineStr">
        <is>
          <t>Stagnant Archive</t>
        </is>
      </c>
      <c r="K343" t="inlineStr">
        <is>
          <t>Sp_21</t>
        </is>
      </c>
      <c r="M343" t="inlineStr">
        <is>
          <t>Tedadi Abbas</t>
        </is>
      </c>
      <c r="N343" t="inlineStr">
        <is>
          <t>Monfared Mobina</t>
        </is>
      </c>
      <c r="O343" s="42" t="n">
        <v>45958.72129629629</v>
      </c>
      <c r="Q343" s="42" t="n">
        <v>45958.72129629629</v>
      </c>
      <c r="S343" t="n">
        <v>0</v>
      </c>
      <c r="T343" s="42" t="n">
        <v>45958.72129629629</v>
      </c>
      <c r="Z343" s="42" t="n">
        <v>45958.72129629629</v>
      </c>
      <c r="AA343" t="n">
        <v>0</v>
      </c>
      <c r="AD343" t="n">
        <v>2</v>
      </c>
      <c r="AE343" t="n">
        <v>2</v>
      </c>
      <c r="AF343" t="n">
        <v>0</v>
      </c>
      <c r="AI343" t="n">
        <v>0</v>
      </c>
      <c r="AJ343" t="n">
        <v>0</v>
      </c>
      <c r="AK343" t="n">
        <v>0</v>
      </c>
      <c r="AL343" t="n">
        <v>0</v>
      </c>
      <c r="AN343" t="n">
        <v>0</v>
      </c>
      <c r="AO343" t="n">
        <v>0</v>
      </c>
      <c r="AP343" t="n">
        <v>0</v>
      </c>
      <c r="AQ343" t="n">
        <v>24</v>
      </c>
      <c r="AR343" t="n">
        <v>0</v>
      </c>
    </row>
    <row r="344">
      <c r="A344" t="n">
        <v>192036</v>
      </c>
      <c r="B344" t="inlineStr">
        <is>
          <t>درخواست عودت - با برگشتن تاریخ عودت کنترل اعمال نمیشود - NFWARCH</t>
        </is>
      </c>
      <c r="D344" t="inlineStr">
        <is>
          <t>Medium</t>
        </is>
      </c>
      <c r="E344" t="n">
        <v>1</v>
      </c>
      <c r="F344" t="inlineStr">
        <is>
          <t>Closed</t>
        </is>
      </c>
      <c r="G344" t="inlineStr">
        <is>
          <t>Other</t>
        </is>
      </c>
      <c r="J344" t="inlineStr">
        <is>
          <t>Infrastructure Bizagi Extension</t>
        </is>
      </c>
      <c r="K344" t="inlineStr">
        <is>
          <t>SP-87</t>
        </is>
      </c>
      <c r="M344" t="inlineStr">
        <is>
          <t>Jafari Saeed</t>
        </is>
      </c>
      <c r="N344" t="inlineStr">
        <is>
          <t>Khodabakhsh Sadaf</t>
        </is>
      </c>
      <c r="O344" s="42" t="n">
        <v>45962.44311342593</v>
      </c>
      <c r="Q344" s="42" t="n">
        <v>45962.44311342593</v>
      </c>
      <c r="S344" t="n">
        <v>0</v>
      </c>
      <c r="T344" s="42" t="n">
        <v>45962.44311342593</v>
      </c>
      <c r="Z344" s="42" t="n">
        <v>45962.44311342593</v>
      </c>
      <c r="AA344" t="n">
        <v>0</v>
      </c>
      <c r="AD344" t="n">
        <v>2</v>
      </c>
      <c r="AE344" t="n">
        <v>2</v>
      </c>
      <c r="AF344" t="n">
        <v>0</v>
      </c>
      <c r="AI344" t="n">
        <v>0</v>
      </c>
      <c r="AJ344" t="n">
        <v>0</v>
      </c>
      <c r="AK344" t="n">
        <v>0</v>
      </c>
      <c r="AL344" t="n">
        <v>0</v>
      </c>
      <c r="AN344" t="n">
        <v>0</v>
      </c>
      <c r="AO344" t="n">
        <v>0</v>
      </c>
      <c r="AP344" t="n">
        <v>0</v>
      </c>
      <c r="AQ344" t="n">
        <v>24</v>
      </c>
      <c r="AR344" t="n">
        <v>0</v>
      </c>
    </row>
    <row r="345">
      <c r="A345" t="n">
        <v>192038</v>
      </c>
      <c r="B345" t="inlineStr">
        <is>
          <t xml:space="preserve">درخواست بایگانی اسناد - تاییدات تحویل اسناد انبار - ارسال نشدن سند ها </t>
        </is>
      </c>
      <c r="D345" t="inlineStr">
        <is>
          <t>Medium</t>
        </is>
      </c>
      <c r="E345" t="n">
        <v>2</v>
      </c>
      <c r="F345" t="inlineStr">
        <is>
          <t>Closed</t>
        </is>
      </c>
      <c r="G345" t="inlineStr">
        <is>
          <t>Other</t>
        </is>
      </c>
      <c r="J345" t="inlineStr">
        <is>
          <t>Stagnant Archive</t>
        </is>
      </c>
      <c r="K345" t="inlineStr">
        <is>
          <t>Sp_21</t>
        </is>
      </c>
      <c r="M345" t="inlineStr">
        <is>
          <t>Hajkhalil Mehrzad</t>
        </is>
      </c>
      <c r="N345" t="inlineStr">
        <is>
          <t>Ghafarian Ghazaleh</t>
        </is>
      </c>
      <c r="O345" s="42" t="n">
        <v>45958.7228125</v>
      </c>
      <c r="Q345" s="42" t="n">
        <v>45958.7228125</v>
      </c>
      <c r="S345" t="n">
        <v>0</v>
      </c>
      <c r="T345" s="42" t="n">
        <v>45958.7228125</v>
      </c>
      <c r="Z345" s="42" t="n">
        <v>45958.7228125</v>
      </c>
      <c r="AA345" t="n">
        <v>0</v>
      </c>
      <c r="AD345" t="n">
        <v>2</v>
      </c>
      <c r="AE345" t="n">
        <v>2</v>
      </c>
      <c r="AF345" t="n">
        <v>0</v>
      </c>
      <c r="AI345" t="n">
        <v>0</v>
      </c>
      <c r="AJ345" t="n">
        <v>0</v>
      </c>
      <c r="AK345" t="n">
        <v>0</v>
      </c>
      <c r="AL345" t="n">
        <v>0</v>
      </c>
      <c r="AN345" t="n">
        <v>0</v>
      </c>
      <c r="AO345" t="n">
        <v>0</v>
      </c>
      <c r="AP345" t="n">
        <v>0</v>
      </c>
      <c r="AQ345" t="n">
        <v>24</v>
      </c>
      <c r="AR345" t="n">
        <v>0</v>
      </c>
    </row>
    <row r="346">
      <c r="A346" t="n">
        <v>192047</v>
      </c>
      <c r="B346" t="inlineStr">
        <is>
          <t xml:space="preserve">دکمه ذخیره در لینک کپی اطلاعات از سایر پیشنهادات  ، پیغام خطا می دهد </t>
        </is>
      </c>
      <c r="D346" t="inlineStr">
        <is>
          <t>Medium</t>
        </is>
      </c>
      <c r="E346" t="n">
        <v>2</v>
      </c>
      <c r="F346" t="inlineStr">
        <is>
          <t>Closed</t>
        </is>
      </c>
      <c r="G346" t="inlineStr">
        <is>
          <t>Other</t>
        </is>
      </c>
      <c r="J346" t="inlineStr">
        <is>
          <t>Dem</t>
        </is>
      </c>
      <c r="K346" t="inlineStr">
        <is>
          <t>DemBiz</t>
        </is>
      </c>
      <c r="M346" t="inlineStr">
        <is>
          <t>Moradi Mohammad</t>
        </is>
      </c>
      <c r="N346" t="inlineStr">
        <is>
          <t>Mohseni Hadise</t>
        </is>
      </c>
      <c r="O346" s="42" t="n">
        <v>45959.440625</v>
      </c>
      <c r="Q346" s="42" t="n">
        <v>45959.440625</v>
      </c>
      <c r="S346" t="n">
        <v>0</v>
      </c>
      <c r="T346" s="42" t="n">
        <v>45959.440625</v>
      </c>
      <c r="Z346" s="42" t="n">
        <v>45959.440625</v>
      </c>
      <c r="AA346" t="n">
        <v>0</v>
      </c>
      <c r="AD346" t="n">
        <v>2</v>
      </c>
      <c r="AE346" t="n">
        <v>2</v>
      </c>
      <c r="AF346" t="n">
        <v>0</v>
      </c>
      <c r="AI346" t="n">
        <v>0</v>
      </c>
      <c r="AJ346" t="n">
        <v>0</v>
      </c>
      <c r="AK346" t="n">
        <v>0</v>
      </c>
      <c r="AL346" t="n">
        <v>0</v>
      </c>
      <c r="AN346" t="n">
        <v>0</v>
      </c>
      <c r="AO346" t="n">
        <v>0</v>
      </c>
      <c r="AP346" t="n">
        <v>0</v>
      </c>
      <c r="AQ346" t="n">
        <v>24</v>
      </c>
      <c r="AR346" t="n">
        <v>0</v>
      </c>
    </row>
    <row r="347">
      <c r="A347" t="n">
        <v>192059</v>
      </c>
      <c r="B347" t="inlineStr">
        <is>
          <t>بازیابی اسناد - عودت درخواست به کارشناس. حذف رکورد از جدول اسناد درخواستی و کنترل تغییر وضعیت سند از در حال بازیابی به موجود</t>
        </is>
      </c>
      <c r="D347" t="inlineStr">
        <is>
          <t>Medium</t>
        </is>
      </c>
      <c r="E347" t="n">
        <v>3</v>
      </c>
      <c r="F347" t="inlineStr">
        <is>
          <t>Ready for Retest</t>
        </is>
      </c>
      <c r="G347" t="inlineStr">
        <is>
          <t>Other</t>
        </is>
      </c>
      <c r="J347" t="inlineStr">
        <is>
          <t>Stagnant Archive</t>
        </is>
      </c>
      <c r="K347" t="inlineStr">
        <is>
          <t>Sp_23</t>
        </is>
      </c>
      <c r="M347" t="inlineStr">
        <is>
          <t>Homayoun Mohammad</t>
        </is>
      </c>
      <c r="Q347" s="42" t="n">
        <v>46015.65675925926</v>
      </c>
      <c r="S347" t="n">
        <v>0</v>
      </c>
      <c r="T347" s="42" t="n">
        <v>46015.65675925926</v>
      </c>
      <c r="AA347" t="n">
        <v>0</v>
      </c>
      <c r="AD347" t="n">
        <v>2</v>
      </c>
      <c r="AE347" t="n">
        <v>2</v>
      </c>
      <c r="AF347" t="n">
        <v>0</v>
      </c>
      <c r="AI347" t="n">
        <v>0</v>
      </c>
      <c r="AJ347" t="n">
        <v>0</v>
      </c>
      <c r="AN347" t="n">
        <v>0</v>
      </c>
      <c r="AO347" t="n">
        <v>0</v>
      </c>
      <c r="AP347" t="n">
        <v>0</v>
      </c>
      <c r="AQ347" t="n">
        <v>24</v>
      </c>
      <c r="AR347" t="n">
        <v>0</v>
      </c>
    </row>
    <row r="348">
      <c r="A348" t="n">
        <v>192074</v>
      </c>
      <c r="B348" t="inlineStr">
        <is>
          <t xml:space="preserve">بازیابی اسناد - عودت درخواست به کارشناس و ویرایش فیلد واحد سازمانی از سربرگ </t>
        </is>
      </c>
      <c r="D348" t="inlineStr">
        <is>
          <t>Medium</t>
        </is>
      </c>
      <c r="E348" t="n">
        <v>3</v>
      </c>
      <c r="F348" t="inlineStr">
        <is>
          <t>Ready for Retest</t>
        </is>
      </c>
      <c r="G348" t="inlineStr">
        <is>
          <t>Other</t>
        </is>
      </c>
      <c r="J348" t="inlineStr">
        <is>
          <t>Stagnant Archive</t>
        </is>
      </c>
      <c r="K348" t="inlineStr">
        <is>
          <t>Sp_23</t>
        </is>
      </c>
      <c r="M348" t="inlineStr">
        <is>
          <t>Homayoun Mohammad</t>
        </is>
      </c>
      <c r="Q348" s="42" t="n">
        <v>46015.65684027778</v>
      </c>
      <c r="S348" t="n">
        <v>0</v>
      </c>
      <c r="T348" s="42" t="n">
        <v>46015.65684027778</v>
      </c>
      <c r="AA348" t="n">
        <v>0</v>
      </c>
      <c r="AD348" t="n">
        <v>2</v>
      </c>
      <c r="AE348" t="n">
        <v>2</v>
      </c>
      <c r="AF348" t="n">
        <v>0</v>
      </c>
      <c r="AI348" t="n">
        <v>0</v>
      </c>
      <c r="AJ348" t="n">
        <v>0</v>
      </c>
      <c r="AN348" t="n">
        <v>0</v>
      </c>
      <c r="AO348" t="n">
        <v>0</v>
      </c>
      <c r="AP348" t="n">
        <v>0</v>
      </c>
      <c r="AQ348" t="n">
        <v>24</v>
      </c>
      <c r="AR348" t="n">
        <v>0</v>
      </c>
    </row>
    <row r="349">
      <c r="A349" t="n">
        <v>192075</v>
      </c>
      <c r="B349" t="inlineStr">
        <is>
          <t>دکمه ذخیره در فرم نمایش درخواست  پیغام خطا می دهد</t>
        </is>
      </c>
      <c r="D349" t="inlineStr">
        <is>
          <t>Medium</t>
        </is>
      </c>
      <c r="E349" t="n">
        <v>1</v>
      </c>
      <c r="F349" t="inlineStr">
        <is>
          <t>Closed</t>
        </is>
      </c>
      <c r="G349" t="inlineStr">
        <is>
          <t>Other</t>
        </is>
      </c>
      <c r="J349" t="inlineStr">
        <is>
          <t>Dem</t>
        </is>
      </c>
      <c r="K349" t="inlineStr">
        <is>
          <t>DemBiz</t>
        </is>
      </c>
      <c r="M349" t="inlineStr">
        <is>
          <t>Moradi Mohammad</t>
        </is>
      </c>
      <c r="N349" t="inlineStr">
        <is>
          <t>Baniamer Shaghayegh</t>
        </is>
      </c>
      <c r="O349" s="42" t="n">
        <v>45963.70415509259</v>
      </c>
      <c r="Q349" s="42" t="n">
        <v>45963.70415509259</v>
      </c>
      <c r="S349" t="n">
        <v>0</v>
      </c>
      <c r="T349" s="42" t="n">
        <v>45963.70415509259</v>
      </c>
      <c r="Z349" s="42" t="n">
        <v>45963.70415509259</v>
      </c>
      <c r="AA349" t="n">
        <v>0</v>
      </c>
      <c r="AD349" t="n">
        <v>2</v>
      </c>
      <c r="AE349" t="n">
        <v>2</v>
      </c>
      <c r="AF349" t="n">
        <v>0</v>
      </c>
      <c r="AI349" t="n">
        <v>0</v>
      </c>
      <c r="AJ349" t="n">
        <v>0</v>
      </c>
      <c r="AK349" t="n">
        <v>0</v>
      </c>
      <c r="AL349" t="n">
        <v>0</v>
      </c>
      <c r="AN349" t="n">
        <v>0</v>
      </c>
      <c r="AO349" t="n">
        <v>0</v>
      </c>
      <c r="AP349" t="n">
        <v>0</v>
      </c>
      <c r="AQ349" t="n">
        <v>24</v>
      </c>
      <c r="AR349" t="n">
        <v>0</v>
      </c>
    </row>
    <row r="350">
      <c r="A350" t="n">
        <v>192102</v>
      </c>
      <c r="B350" t="inlineStr">
        <is>
          <t>AE_SAJA\\ خرابی درج فرم دارای مستر دیتیل</t>
        </is>
      </c>
      <c r="D350" t="inlineStr">
        <is>
          <t>Medium</t>
        </is>
      </c>
      <c r="E350" t="n">
        <v>1</v>
      </c>
      <c r="F350" t="inlineStr">
        <is>
          <t>Closed</t>
        </is>
      </c>
      <c r="G350" t="inlineStr">
        <is>
          <t>Other</t>
        </is>
      </c>
      <c r="J350" t="inlineStr">
        <is>
          <t>Infrastructure Bizagi Extension</t>
        </is>
      </c>
      <c r="K350" t="inlineStr">
        <is>
          <t>SP-86</t>
        </is>
      </c>
      <c r="M350" t="inlineStr">
        <is>
          <t>Jafari Saeed</t>
        </is>
      </c>
      <c r="N350" t="inlineStr">
        <is>
          <t>Tedadi Abbas</t>
        </is>
      </c>
      <c r="O350" s="42" t="n">
        <v>45993.62978009259</v>
      </c>
      <c r="Q350" s="42" t="n">
        <v>45993.62978009259</v>
      </c>
      <c r="S350" t="n">
        <v>0</v>
      </c>
      <c r="T350" s="42" t="n">
        <v>45993.62978009259</v>
      </c>
      <c r="Z350" s="42" t="n">
        <v>45993.62978009259</v>
      </c>
      <c r="AA350" t="n">
        <v>0</v>
      </c>
      <c r="AD350" t="n">
        <v>2</v>
      </c>
      <c r="AE350" t="n">
        <v>2</v>
      </c>
      <c r="AF350" t="n">
        <v>0</v>
      </c>
      <c r="AI350" t="n">
        <v>0</v>
      </c>
      <c r="AJ350" t="n">
        <v>0</v>
      </c>
      <c r="AK350" t="n">
        <v>0</v>
      </c>
      <c r="AL350" t="n">
        <v>0</v>
      </c>
      <c r="AN350" t="n">
        <v>0</v>
      </c>
      <c r="AO350" t="n">
        <v>0</v>
      </c>
      <c r="AP350" t="n">
        <v>0</v>
      </c>
      <c r="AQ350" t="n">
        <v>24</v>
      </c>
      <c r="AR350" t="n">
        <v>0</v>
      </c>
    </row>
    <row r="351">
      <c r="A351" t="n">
        <v>192107</v>
      </c>
      <c r="B351" t="inlineStr">
        <is>
          <t xml:space="preserve">مغایرت فونت گزارشات روی 79 با 77/NFWDem </t>
        </is>
      </c>
      <c r="D351" t="inlineStr">
        <is>
          <t>Medium</t>
        </is>
      </c>
      <c r="E351" t="n">
        <v>1</v>
      </c>
      <c r="F351" t="inlineStr">
        <is>
          <t>Closed</t>
        </is>
      </c>
      <c r="G351" t="inlineStr">
        <is>
          <t>Other</t>
        </is>
      </c>
      <c r="J351" t="inlineStr">
        <is>
          <t>Infrastructure Bizagi Extension</t>
        </is>
      </c>
      <c r="K351" t="inlineStr">
        <is>
          <t>SP-87</t>
        </is>
      </c>
      <c r="M351" t="inlineStr">
        <is>
          <t>Rezaee Reza</t>
        </is>
      </c>
      <c r="N351" t="inlineStr">
        <is>
          <t>Baniamer Shaghayegh</t>
        </is>
      </c>
      <c r="O351" s="42" t="n">
        <v>45964.64503472222</v>
      </c>
      <c r="Q351" s="42" t="n">
        <v>45964.64503472222</v>
      </c>
      <c r="S351" t="n">
        <v>0</v>
      </c>
      <c r="T351" s="42" t="n">
        <v>45964.64503472222</v>
      </c>
      <c r="Z351" s="42" t="n">
        <v>45964.64503472222</v>
      </c>
      <c r="AA351" t="n">
        <v>0</v>
      </c>
      <c r="AD351" t="n">
        <v>2</v>
      </c>
      <c r="AE351" t="n">
        <v>2</v>
      </c>
      <c r="AF351" t="n">
        <v>0</v>
      </c>
      <c r="AI351" t="n">
        <v>0</v>
      </c>
      <c r="AJ351" t="n">
        <v>0</v>
      </c>
      <c r="AK351" t="n">
        <v>0</v>
      </c>
      <c r="AL351" t="n">
        <v>0</v>
      </c>
      <c r="AN351" t="n">
        <v>0</v>
      </c>
      <c r="AO351" t="n">
        <v>0</v>
      </c>
      <c r="AP351" t="n">
        <v>0</v>
      </c>
      <c r="AQ351" t="n">
        <v>24</v>
      </c>
      <c r="AR351" t="n">
        <v>0</v>
      </c>
    </row>
    <row r="352">
      <c r="A352" t="n">
        <v>192120</v>
      </c>
      <c r="B352" t="inlineStr">
        <is>
          <t>نمایش پیغام خطای دیتای استاندارد در فیلدهای با تایپ money / NFWDem</t>
        </is>
      </c>
      <c r="D352" t="inlineStr">
        <is>
          <t>Medium</t>
        </is>
      </c>
      <c r="E352" t="n">
        <v>1</v>
      </c>
      <c r="F352" t="inlineStr">
        <is>
          <t>Closed</t>
        </is>
      </c>
      <c r="G352" t="inlineStr">
        <is>
          <t>Other</t>
        </is>
      </c>
      <c r="J352" t="inlineStr">
        <is>
          <t>Infrastructure Bizagi Extension</t>
        </is>
      </c>
      <c r="K352" t="inlineStr">
        <is>
          <t>SP-87</t>
        </is>
      </c>
      <c r="M352" t="inlineStr">
        <is>
          <t>Rezaee Reza</t>
        </is>
      </c>
      <c r="N352" t="inlineStr">
        <is>
          <t>Baniamer Shaghayegh</t>
        </is>
      </c>
      <c r="O352" s="42" t="n">
        <v>45966.45711805556</v>
      </c>
      <c r="Q352" s="42" t="n">
        <v>45966.45711805556</v>
      </c>
      <c r="S352" t="n">
        <v>0</v>
      </c>
      <c r="T352" s="42" t="n">
        <v>45966.45711805556</v>
      </c>
      <c r="Z352" s="42" t="n">
        <v>45966.45711805556</v>
      </c>
      <c r="AA352" t="n">
        <v>0</v>
      </c>
      <c r="AD352" t="n">
        <v>2</v>
      </c>
      <c r="AE352" t="n">
        <v>2</v>
      </c>
      <c r="AF352" t="n">
        <v>0</v>
      </c>
      <c r="AI352" t="n">
        <v>0</v>
      </c>
      <c r="AJ352" t="n">
        <v>0</v>
      </c>
      <c r="AK352" t="n">
        <v>0</v>
      </c>
      <c r="AL352" t="n">
        <v>0</v>
      </c>
      <c r="AN352" t="n">
        <v>0</v>
      </c>
      <c r="AO352" t="n">
        <v>0</v>
      </c>
      <c r="AP352" t="n">
        <v>0</v>
      </c>
      <c r="AQ352" t="n">
        <v>24</v>
      </c>
      <c r="AR352" t="n">
        <v>0</v>
      </c>
    </row>
    <row r="353">
      <c r="A353" t="n">
        <v>192124</v>
      </c>
      <c r="B353" t="inlineStr">
        <is>
          <t xml:space="preserve">تعداد سهام در فرم ثبت سهامدار ،نباید اعداد منفی باشد </t>
        </is>
      </c>
      <c r="D353" t="inlineStr">
        <is>
          <t>Medium</t>
        </is>
      </c>
      <c r="E353" t="n">
        <v>1</v>
      </c>
      <c r="F353" t="inlineStr">
        <is>
          <t>Closed</t>
        </is>
      </c>
      <c r="G353" t="inlineStr">
        <is>
          <t>Other</t>
        </is>
      </c>
      <c r="J353" t="inlineStr">
        <is>
          <t>Dem</t>
        </is>
      </c>
      <c r="K353" t="inlineStr">
        <is>
          <t>DemBiz</t>
        </is>
      </c>
      <c r="M353" t="inlineStr">
        <is>
          <t>Hoseini Fatemeh</t>
        </is>
      </c>
      <c r="N353" t="inlineStr">
        <is>
          <t>Hajizadeh Elnaz</t>
        </is>
      </c>
      <c r="O353" s="42" t="n">
        <v>45962.40871527778</v>
      </c>
      <c r="Q353" s="42" t="n">
        <v>45962.40871527778</v>
      </c>
      <c r="S353" t="n">
        <v>0</v>
      </c>
      <c r="T353" s="42" t="n">
        <v>45962.40871527778</v>
      </c>
      <c r="Z353" s="42" t="n">
        <v>45962.40871527778</v>
      </c>
      <c r="AA353" t="n">
        <v>0</v>
      </c>
      <c r="AD353" t="n">
        <v>2</v>
      </c>
      <c r="AE353" t="n">
        <v>2</v>
      </c>
      <c r="AF353" t="n">
        <v>0</v>
      </c>
      <c r="AI353" t="n">
        <v>0</v>
      </c>
      <c r="AJ353" t="n">
        <v>0</v>
      </c>
      <c r="AK353" t="n">
        <v>0</v>
      </c>
      <c r="AL353" t="n">
        <v>0</v>
      </c>
      <c r="AN353" t="n">
        <v>0</v>
      </c>
      <c r="AO353" t="n">
        <v>0</v>
      </c>
      <c r="AP353" t="n">
        <v>0</v>
      </c>
      <c r="AQ353" t="n">
        <v>24</v>
      </c>
      <c r="AR353" t="n">
        <v>0</v>
      </c>
    </row>
    <row r="354">
      <c r="A354" t="n">
        <v>192155</v>
      </c>
      <c r="B354" t="inlineStr">
        <is>
          <t>فراخوانی اطلاعات مشتری در فرم  شناسایی مجدد مشتری ،پیغام خطا می دهد</t>
        </is>
      </c>
      <c r="D354" t="inlineStr">
        <is>
          <t>Medium</t>
        </is>
      </c>
      <c r="E354" t="n">
        <v>1</v>
      </c>
      <c r="F354" t="inlineStr">
        <is>
          <t>Closed</t>
        </is>
      </c>
      <c r="G354" t="inlineStr">
        <is>
          <t>Other</t>
        </is>
      </c>
      <c r="J354" t="inlineStr">
        <is>
          <t>Dem</t>
        </is>
      </c>
      <c r="K354" t="inlineStr">
        <is>
          <t>DemBiz</t>
        </is>
      </c>
      <c r="M354" t="inlineStr">
        <is>
          <t>Moradi Mohammad</t>
        </is>
      </c>
      <c r="N354" t="inlineStr">
        <is>
          <t>Hajizadeh Elnaz</t>
        </is>
      </c>
      <c r="O354" s="42" t="n">
        <v>45959.489375</v>
      </c>
      <c r="Q354" s="42" t="n">
        <v>45959.489375</v>
      </c>
      <c r="S354" t="n">
        <v>0</v>
      </c>
      <c r="T354" s="42" t="n">
        <v>45959.489375</v>
      </c>
      <c r="Z354" s="42" t="n">
        <v>45959.489375</v>
      </c>
      <c r="AA354" t="n">
        <v>0</v>
      </c>
      <c r="AD354" t="n">
        <v>2</v>
      </c>
      <c r="AE354" t="n">
        <v>2</v>
      </c>
      <c r="AF354" t="n">
        <v>0</v>
      </c>
      <c r="AI354" t="n">
        <v>0</v>
      </c>
      <c r="AJ354" t="n">
        <v>0</v>
      </c>
      <c r="AK354" t="n">
        <v>0</v>
      </c>
      <c r="AL354" t="n">
        <v>0</v>
      </c>
      <c r="AN354" t="n">
        <v>0</v>
      </c>
      <c r="AO354" t="n">
        <v>0</v>
      </c>
      <c r="AP354" t="n">
        <v>0</v>
      </c>
      <c r="AQ354" t="n">
        <v>24</v>
      </c>
      <c r="AR354" t="n">
        <v>0</v>
      </c>
    </row>
    <row r="355">
      <c r="A355" t="n">
        <v>198091</v>
      </c>
      <c r="B355" t="inlineStr">
        <is>
          <t>در فرم تعیین اعضا ، اشخاص غیرفعال و تعریف نشده نمایش داده می شوند /1365 بعداز گپ</t>
        </is>
      </c>
      <c r="D355" t="inlineStr">
        <is>
          <t>Medium</t>
        </is>
      </c>
      <c r="E355" t="n">
        <v>1</v>
      </c>
      <c r="F355" t="inlineStr">
        <is>
          <t>Closed</t>
        </is>
      </c>
      <c r="G355" t="inlineStr">
        <is>
          <t>Other</t>
        </is>
      </c>
      <c r="J355" t="inlineStr">
        <is>
          <t>Dem</t>
        </is>
      </c>
      <c r="K355" t="inlineStr">
        <is>
          <t>DemBiz</t>
        </is>
      </c>
      <c r="M355" t="inlineStr">
        <is>
          <t>Hoseini Fatemeh</t>
        </is>
      </c>
      <c r="N355" t="inlineStr">
        <is>
          <t>Hajizadeh Elnaz</t>
        </is>
      </c>
      <c r="O355" s="42" t="n">
        <v>45991.71097222222</v>
      </c>
      <c r="Q355" s="42" t="n">
        <v>45991.71097222222</v>
      </c>
      <c r="S355" t="n">
        <v>0</v>
      </c>
      <c r="T355" s="42" t="n">
        <v>45991.71097222222</v>
      </c>
      <c r="Z355" s="42" t="n">
        <v>45991.71097222222</v>
      </c>
      <c r="AA355" t="n">
        <v>0</v>
      </c>
      <c r="AD355" t="n">
        <v>2</v>
      </c>
      <c r="AE355" t="n">
        <v>2</v>
      </c>
      <c r="AF355" t="n">
        <v>0</v>
      </c>
      <c r="AI355" t="n">
        <v>0</v>
      </c>
      <c r="AJ355" t="n">
        <v>0</v>
      </c>
      <c r="AK355" t="n">
        <v>0</v>
      </c>
      <c r="AL355" t="n">
        <v>0</v>
      </c>
      <c r="AN355" t="n">
        <v>0</v>
      </c>
      <c r="AO355" t="n">
        <v>0</v>
      </c>
      <c r="AP355" t="n">
        <v>0</v>
      </c>
      <c r="AQ355" t="n">
        <v>24</v>
      </c>
      <c r="AR355" t="n">
        <v>0</v>
      </c>
    </row>
    <row r="356">
      <c r="A356" t="n">
        <v>198100</v>
      </c>
      <c r="B356" t="inlineStr">
        <is>
          <t>خالی بودن فرم های  لینک های صورت مالی ، در فرم ثبت همزمان صورت مالی 1365 بعداز گپ</t>
        </is>
      </c>
      <c r="D356" t="inlineStr">
        <is>
          <t>Medium</t>
        </is>
      </c>
      <c r="E356" t="n">
        <v>1</v>
      </c>
      <c r="F356" t="inlineStr">
        <is>
          <t>Closed</t>
        </is>
      </c>
      <c r="G356" t="inlineStr">
        <is>
          <t>Other</t>
        </is>
      </c>
      <c r="J356" t="inlineStr">
        <is>
          <t>Dem</t>
        </is>
      </c>
      <c r="K356" t="inlineStr">
        <is>
          <t>DemBiz</t>
        </is>
      </c>
      <c r="M356" t="inlineStr">
        <is>
          <t>Hoseini Fatemeh</t>
        </is>
      </c>
      <c r="N356" t="inlineStr">
        <is>
          <t>Hajizadeh Elnaz</t>
        </is>
      </c>
      <c r="O356" s="42" t="n">
        <v>45991.70844907407</v>
      </c>
      <c r="Q356" s="42" t="n">
        <v>45991.70844907407</v>
      </c>
      <c r="S356" t="n">
        <v>0</v>
      </c>
      <c r="T356" s="42" t="n">
        <v>45991.70844907407</v>
      </c>
      <c r="Z356" s="42" t="n">
        <v>45991.70844907407</v>
      </c>
      <c r="AA356" t="n">
        <v>0</v>
      </c>
      <c r="AD356" t="n">
        <v>2</v>
      </c>
      <c r="AE356" t="n">
        <v>2</v>
      </c>
      <c r="AF356" t="n">
        <v>0</v>
      </c>
      <c r="AI356" t="n">
        <v>0</v>
      </c>
      <c r="AJ356" t="n">
        <v>0</v>
      </c>
      <c r="AK356" t="n">
        <v>0</v>
      </c>
      <c r="AL356" t="n">
        <v>0</v>
      </c>
      <c r="AN356" t="n">
        <v>0</v>
      </c>
      <c r="AO356" t="n">
        <v>0</v>
      </c>
      <c r="AP356" t="n">
        <v>0</v>
      </c>
      <c r="AQ356" t="n">
        <v>24</v>
      </c>
      <c r="AR356" t="n">
        <v>0</v>
      </c>
    </row>
    <row r="357">
      <c r="A357" t="n">
        <v>198578</v>
      </c>
      <c r="B357" t="inlineStr">
        <is>
          <t xml:space="preserve">انبارگردانی /باگ چک باکس درخواست </t>
        </is>
      </c>
      <c r="D357" t="inlineStr">
        <is>
          <t>Medium</t>
        </is>
      </c>
      <c r="E357" t="n">
        <v>2</v>
      </c>
      <c r="F357" t="inlineStr">
        <is>
          <t>Ready for Retest</t>
        </is>
      </c>
      <c r="G357" t="inlineStr">
        <is>
          <t>Other</t>
        </is>
      </c>
      <c r="J357" t="inlineStr">
        <is>
          <t>Integrated Warehouse</t>
        </is>
      </c>
      <c r="K357" t="inlineStr">
        <is>
          <t>Sprint 32</t>
        </is>
      </c>
      <c r="M357" t="inlineStr">
        <is>
          <t>Khedmati Aylin</t>
        </is>
      </c>
      <c r="Q357" s="42" t="n">
        <v>46015.68054398148</v>
      </c>
      <c r="S357" t="n">
        <v>0</v>
      </c>
      <c r="T357" s="42" t="n">
        <v>46015.68054398148</v>
      </c>
      <c r="AA357" t="n">
        <v>0</v>
      </c>
      <c r="AD357" t="n">
        <v>2</v>
      </c>
      <c r="AE357" t="n">
        <v>2</v>
      </c>
      <c r="AF357" t="n">
        <v>0</v>
      </c>
      <c r="AI357" t="n">
        <v>0</v>
      </c>
      <c r="AJ357" t="n">
        <v>0</v>
      </c>
      <c r="AN357" t="n">
        <v>0</v>
      </c>
      <c r="AO357" t="n">
        <v>0</v>
      </c>
      <c r="AP357" t="n">
        <v>0</v>
      </c>
      <c r="AQ357" t="n">
        <v>24</v>
      </c>
      <c r="AR357" t="n">
        <v>0</v>
      </c>
    </row>
    <row r="358">
      <c r="A358" t="n">
        <v>198622</v>
      </c>
      <c r="B358" t="inlineStr">
        <is>
          <t>AE_SAJA\\  مشکل ارجاع تسک بررسی پلاک ها</t>
        </is>
      </c>
      <c r="D358" t="inlineStr">
        <is>
          <t>Medium</t>
        </is>
      </c>
      <c r="E358" t="n">
        <v>1</v>
      </c>
      <c r="F358" t="inlineStr">
        <is>
          <t>Closed</t>
        </is>
      </c>
      <c r="G358" t="inlineStr">
        <is>
          <t>Other</t>
        </is>
      </c>
      <c r="J358" t="inlineStr">
        <is>
          <t>Infrastructure Bizagi Extension</t>
        </is>
      </c>
      <c r="K358" t="inlineStr">
        <is>
          <t>SP_88</t>
        </is>
      </c>
      <c r="M358" t="inlineStr">
        <is>
          <t>Nemati Hasan</t>
        </is>
      </c>
      <c r="N358" t="inlineStr">
        <is>
          <t>Tedadi Abbas</t>
        </is>
      </c>
      <c r="O358" s="42" t="n">
        <v>45998.62188657407</v>
      </c>
      <c r="Q358" s="42" t="n">
        <v>45998.62188657407</v>
      </c>
      <c r="S358" t="n">
        <v>0</v>
      </c>
      <c r="T358" s="42" t="n">
        <v>45998.62188657407</v>
      </c>
      <c r="Z358" s="42" t="n">
        <v>45998.62188657407</v>
      </c>
      <c r="AA358" t="n">
        <v>0</v>
      </c>
      <c r="AD358" t="n">
        <v>2</v>
      </c>
      <c r="AE358" t="n">
        <v>2</v>
      </c>
      <c r="AF358" t="n">
        <v>0</v>
      </c>
      <c r="AI358" t="n">
        <v>0</v>
      </c>
      <c r="AJ358" t="n">
        <v>0</v>
      </c>
      <c r="AK358" t="n">
        <v>0</v>
      </c>
      <c r="AL358" t="n">
        <v>0</v>
      </c>
      <c r="AN358" t="n">
        <v>0</v>
      </c>
      <c r="AO358" t="n">
        <v>0</v>
      </c>
      <c r="AP358" t="n">
        <v>0</v>
      </c>
      <c r="AQ358" t="n">
        <v>24</v>
      </c>
      <c r="AR358" t="n">
        <v>0</v>
      </c>
    </row>
    <row r="359">
      <c r="A359" t="n">
        <v>198625</v>
      </c>
      <c r="B359" t="inlineStr">
        <is>
          <t>باگ فایل اپلود</t>
        </is>
      </c>
      <c r="D359" t="inlineStr">
        <is>
          <t>Medium</t>
        </is>
      </c>
      <c r="E359" t="n">
        <v>2</v>
      </c>
      <c r="F359" t="inlineStr">
        <is>
          <t>Closed</t>
        </is>
      </c>
      <c r="G359" t="inlineStr">
        <is>
          <t>Other</t>
        </is>
      </c>
      <c r="J359" t="inlineStr">
        <is>
          <t>Infrastructure Bizagi Extension</t>
        </is>
      </c>
      <c r="K359" t="inlineStr">
        <is>
          <t>SP_88</t>
        </is>
      </c>
      <c r="M359" t="inlineStr">
        <is>
          <t>Nemati Hasan</t>
        </is>
      </c>
      <c r="N359" t="inlineStr">
        <is>
          <t>Mojtaba MohammadGholi</t>
        </is>
      </c>
      <c r="O359" s="42" t="n">
        <v>45993.40008101852</v>
      </c>
      <c r="Q359" s="42" t="n">
        <v>45993.40008101852</v>
      </c>
      <c r="S359" t="n">
        <v>0</v>
      </c>
      <c r="T359" s="42" t="n">
        <v>45993.40008101852</v>
      </c>
      <c r="Z359" s="42" t="n">
        <v>45993.40008101852</v>
      </c>
      <c r="AA359" t="n">
        <v>0</v>
      </c>
      <c r="AD359" t="n">
        <v>2</v>
      </c>
      <c r="AE359" t="n">
        <v>2</v>
      </c>
      <c r="AF359" t="n">
        <v>0</v>
      </c>
      <c r="AI359" t="n">
        <v>0</v>
      </c>
      <c r="AJ359" t="n">
        <v>0</v>
      </c>
      <c r="AK359" t="n">
        <v>0</v>
      </c>
      <c r="AL359" t="n">
        <v>0</v>
      </c>
      <c r="AN359" t="n">
        <v>0</v>
      </c>
      <c r="AO359" t="n">
        <v>0</v>
      </c>
      <c r="AP359" t="n">
        <v>0</v>
      </c>
      <c r="AQ359" t="n">
        <v>24</v>
      </c>
      <c r="AR359" t="n">
        <v>0</v>
      </c>
    </row>
    <row r="360">
      <c r="A360" t="n">
        <v>198643</v>
      </c>
      <c r="B360" t="inlineStr">
        <is>
          <t xml:space="preserve">انبارگردانی /باگ تاریخچه </t>
        </is>
      </c>
      <c r="D360" t="inlineStr">
        <is>
          <t>Medium</t>
        </is>
      </c>
      <c r="E360" t="n">
        <v>2</v>
      </c>
      <c r="F360" t="inlineStr">
        <is>
          <t>Ready for Retest</t>
        </is>
      </c>
      <c r="G360" t="inlineStr">
        <is>
          <t>Other</t>
        </is>
      </c>
      <c r="J360" t="inlineStr">
        <is>
          <t>Integrated Warehouse</t>
        </is>
      </c>
      <c r="K360" t="inlineStr">
        <is>
          <t>Sprint 32</t>
        </is>
      </c>
      <c r="M360" t="inlineStr">
        <is>
          <t>Khedmati Aylin</t>
        </is>
      </c>
      <c r="Q360" s="42" t="n">
        <v>46015.68054398148</v>
      </c>
      <c r="S360" t="n">
        <v>0</v>
      </c>
      <c r="T360" s="42" t="n">
        <v>46015.68054398148</v>
      </c>
      <c r="AA360" t="n">
        <v>0</v>
      </c>
      <c r="AD360" t="n">
        <v>2</v>
      </c>
      <c r="AE360" t="n">
        <v>2</v>
      </c>
      <c r="AF360" t="n">
        <v>0</v>
      </c>
      <c r="AI360" t="n">
        <v>0</v>
      </c>
      <c r="AJ360" t="n">
        <v>0</v>
      </c>
      <c r="AN360" t="n">
        <v>0</v>
      </c>
      <c r="AO360" t="n">
        <v>0</v>
      </c>
      <c r="AP360" t="n">
        <v>0</v>
      </c>
      <c r="AQ360" t="n">
        <v>24</v>
      </c>
      <c r="AR360" t="n">
        <v>0</v>
      </c>
    </row>
    <row r="361">
      <c r="A361" t="n">
        <v>198652</v>
      </c>
      <c r="B361" t="inlineStr">
        <is>
          <t xml:space="preserve">انبارگردانی /باگ عدم کنترل اد کردن کالا از انبار های مختلف  </t>
        </is>
      </c>
      <c r="D361" t="inlineStr">
        <is>
          <t>Medium</t>
        </is>
      </c>
      <c r="E361" t="n">
        <v>2</v>
      </c>
      <c r="F361" t="inlineStr">
        <is>
          <t>Ready for Retest</t>
        </is>
      </c>
      <c r="G361" t="inlineStr">
        <is>
          <t>Other</t>
        </is>
      </c>
      <c r="J361" t="inlineStr">
        <is>
          <t>Integrated Warehouse</t>
        </is>
      </c>
      <c r="K361" t="inlineStr">
        <is>
          <t>Sprint 32</t>
        </is>
      </c>
      <c r="M361" t="inlineStr">
        <is>
          <t>Khedmati Aylin</t>
        </is>
      </c>
      <c r="Q361" s="42" t="n">
        <v>46015.68054398148</v>
      </c>
      <c r="S361" t="n">
        <v>0</v>
      </c>
      <c r="T361" s="42" t="n">
        <v>46015.68054398148</v>
      </c>
      <c r="AA361" t="n">
        <v>0</v>
      </c>
      <c r="AD361" t="n">
        <v>2</v>
      </c>
      <c r="AE361" t="n">
        <v>2</v>
      </c>
      <c r="AF361" t="n">
        <v>0</v>
      </c>
      <c r="AI361" t="n">
        <v>0</v>
      </c>
      <c r="AJ361" t="n">
        <v>0</v>
      </c>
      <c r="AN361" t="n">
        <v>0</v>
      </c>
      <c r="AO361" t="n">
        <v>0</v>
      </c>
      <c r="AP361" t="n">
        <v>0</v>
      </c>
      <c r="AQ361" t="n">
        <v>24</v>
      </c>
      <c r="AR361" t="n">
        <v>0</v>
      </c>
    </row>
    <row r="362">
      <c r="A362" t="n">
        <v>198673</v>
      </c>
      <c r="B362" t="inlineStr">
        <is>
          <t xml:space="preserve">انبارگردانی /باگ عدم گزارش مشخصات کالا  </t>
        </is>
      </c>
      <c r="D362" t="inlineStr">
        <is>
          <t>Medium</t>
        </is>
      </c>
      <c r="E362" t="n">
        <v>2</v>
      </c>
      <c r="F362" t="inlineStr">
        <is>
          <t>Ready for Retest</t>
        </is>
      </c>
      <c r="G362" t="inlineStr">
        <is>
          <t>Other</t>
        </is>
      </c>
      <c r="J362" t="inlineStr">
        <is>
          <t>Integrated Warehouse</t>
        </is>
      </c>
      <c r="K362" t="inlineStr">
        <is>
          <t>Sprint 32</t>
        </is>
      </c>
      <c r="M362" t="inlineStr">
        <is>
          <t>Khedmati Aylin</t>
        </is>
      </c>
      <c r="Q362" s="42" t="n">
        <v>46015.68054398148</v>
      </c>
      <c r="S362" t="n">
        <v>0</v>
      </c>
      <c r="T362" s="42" t="n">
        <v>46015.68054398148</v>
      </c>
      <c r="AA362" t="n">
        <v>0</v>
      </c>
      <c r="AD362" t="n">
        <v>2</v>
      </c>
      <c r="AE362" t="n">
        <v>2</v>
      </c>
      <c r="AF362" t="n">
        <v>0</v>
      </c>
      <c r="AI362" t="n">
        <v>0</v>
      </c>
      <c r="AJ362" t="n">
        <v>0</v>
      </c>
      <c r="AN362" t="n">
        <v>0</v>
      </c>
      <c r="AO362" t="n">
        <v>0</v>
      </c>
      <c r="AP362" t="n">
        <v>0</v>
      </c>
      <c r="AQ362" t="n">
        <v>24</v>
      </c>
      <c r="AR362" t="n">
        <v>0</v>
      </c>
    </row>
    <row r="363">
      <c r="A363" t="n">
        <v>198677</v>
      </c>
      <c r="B363" t="inlineStr">
        <is>
          <t xml:space="preserve">انبارگردانی /باگ عدم امکان حذف اقلام افزوده شده   </t>
        </is>
      </c>
      <c r="D363" t="inlineStr">
        <is>
          <t>Medium</t>
        </is>
      </c>
      <c r="E363" t="n">
        <v>2</v>
      </c>
      <c r="F363" t="inlineStr">
        <is>
          <t>Ready for Retest</t>
        </is>
      </c>
      <c r="G363" t="inlineStr">
        <is>
          <t>Other</t>
        </is>
      </c>
      <c r="J363" t="inlineStr">
        <is>
          <t>Integrated Warehouse</t>
        </is>
      </c>
      <c r="K363" t="inlineStr">
        <is>
          <t>Sprint 32</t>
        </is>
      </c>
      <c r="M363" t="inlineStr">
        <is>
          <t>Ghafarian Ghazaleh</t>
        </is>
      </c>
      <c r="Q363" s="42" t="n">
        <v>46015.68054398148</v>
      </c>
      <c r="S363" t="n">
        <v>0</v>
      </c>
      <c r="T363" s="42" t="n">
        <v>46015.68054398148</v>
      </c>
      <c r="AA363" t="n">
        <v>0</v>
      </c>
      <c r="AD363" t="n">
        <v>2</v>
      </c>
      <c r="AE363" t="n">
        <v>2</v>
      </c>
      <c r="AF363" t="n">
        <v>0</v>
      </c>
      <c r="AI363" t="n">
        <v>0</v>
      </c>
      <c r="AJ363" t="n">
        <v>0</v>
      </c>
      <c r="AN363" t="n">
        <v>0</v>
      </c>
      <c r="AO363" t="n">
        <v>0</v>
      </c>
      <c r="AP363" t="n">
        <v>0</v>
      </c>
      <c r="AQ363" t="n">
        <v>24</v>
      </c>
      <c r="AR363" t="n">
        <v>0</v>
      </c>
    </row>
    <row r="364">
      <c r="A364" t="n">
        <v>198685</v>
      </c>
      <c r="B364" t="inlineStr">
        <is>
          <t xml:space="preserve">انبارگردانی: عدم نمایش کالا ها با موجودی صفر به صورت پیش فرض    </t>
        </is>
      </c>
      <c r="D364" t="inlineStr">
        <is>
          <t>Medium</t>
        </is>
      </c>
      <c r="E364" t="n">
        <v>2</v>
      </c>
      <c r="F364" t="inlineStr">
        <is>
          <t>Open</t>
        </is>
      </c>
      <c r="G364" t="inlineStr">
        <is>
          <t>Other</t>
        </is>
      </c>
      <c r="J364" t="inlineStr">
        <is>
          <t>Integrated Warehouse</t>
        </is>
      </c>
      <c r="K364" t="inlineStr">
        <is>
          <t>Sprint 32</t>
        </is>
      </c>
      <c r="M364" t="inlineStr">
        <is>
          <t>Ghafarian Ghazaleh</t>
        </is>
      </c>
      <c r="Q364" s="42" t="n">
        <v>46015.42920138889</v>
      </c>
      <c r="S364" t="n">
        <v>0</v>
      </c>
      <c r="T364" s="42" t="n">
        <v>46015.42920138889</v>
      </c>
      <c r="AA364" t="n">
        <v>0</v>
      </c>
      <c r="AD364" t="n">
        <v>2</v>
      </c>
      <c r="AE364" t="n">
        <v>2</v>
      </c>
      <c r="AF364" t="n">
        <v>0</v>
      </c>
      <c r="AI364" t="n">
        <v>0</v>
      </c>
      <c r="AJ364" t="n">
        <v>0</v>
      </c>
      <c r="AM364" t="n">
        <v>2</v>
      </c>
      <c r="AN364" t="n">
        <v>0</v>
      </c>
      <c r="AO364" t="n">
        <v>0</v>
      </c>
      <c r="AP364" t="n">
        <v>0</v>
      </c>
      <c r="AQ364" t="n">
        <v>24</v>
      </c>
      <c r="AR364" t="n">
        <v>0</v>
      </c>
    </row>
    <row r="365">
      <c r="A365" t="n">
        <v>198690</v>
      </c>
      <c r="B365" t="inlineStr">
        <is>
          <t xml:space="preserve">انبارگردانی /عدم نمایش موجودی در شمارش اول  </t>
        </is>
      </c>
      <c r="D365" t="inlineStr">
        <is>
          <t>Medium</t>
        </is>
      </c>
      <c r="E365" t="n">
        <v>2</v>
      </c>
      <c r="F365" t="inlineStr">
        <is>
          <t>Closed</t>
        </is>
      </c>
      <c r="G365" t="inlineStr">
        <is>
          <t>Other</t>
        </is>
      </c>
      <c r="J365" t="inlineStr">
        <is>
          <t>Integrated Warehouse</t>
        </is>
      </c>
      <c r="K365" t="inlineStr">
        <is>
          <t>Sprint 31</t>
        </is>
      </c>
      <c r="L365" t="inlineStr">
        <is>
          <t>Completed</t>
        </is>
      </c>
      <c r="M365" t="inlineStr">
        <is>
          <t>Khodabakhsh Sadaf</t>
        </is>
      </c>
      <c r="N365" t="inlineStr">
        <is>
          <t>Khodabakhsh Sadaf</t>
        </is>
      </c>
      <c r="O365" s="42" t="n">
        <v>46015.72511574074</v>
      </c>
      <c r="Q365" s="42" t="n">
        <v>46015.72511574074</v>
      </c>
      <c r="S365" t="n">
        <v>0</v>
      </c>
      <c r="T365" s="42" t="n">
        <v>46015.72511574074</v>
      </c>
      <c r="Z365" s="42" t="n">
        <v>46015.72511574074</v>
      </c>
      <c r="AA365" t="n">
        <v>0</v>
      </c>
      <c r="AD365" t="n">
        <v>2</v>
      </c>
      <c r="AE365" t="n">
        <v>2</v>
      </c>
      <c r="AF365" t="n">
        <v>0</v>
      </c>
      <c r="AI365" t="n">
        <v>0</v>
      </c>
      <c r="AJ365" t="n">
        <v>0</v>
      </c>
      <c r="AK365" t="n">
        <v>0</v>
      </c>
      <c r="AL365" t="n">
        <v>0</v>
      </c>
      <c r="AN365" t="n">
        <v>0</v>
      </c>
      <c r="AO365" t="n">
        <v>0</v>
      </c>
      <c r="AP365" t="n">
        <v>0</v>
      </c>
      <c r="AQ365" t="n">
        <v>24</v>
      </c>
      <c r="AR365" t="n">
        <v>0</v>
      </c>
    </row>
    <row r="366">
      <c r="A366" t="n">
        <v>198691</v>
      </c>
      <c r="B366" t="inlineStr">
        <is>
          <t xml:space="preserve">/انبارگردانی گزارش کسرو اضافه /باگ گزارش مغایرت انبارگردانی  </t>
        </is>
      </c>
      <c r="D366" t="inlineStr">
        <is>
          <t>Medium</t>
        </is>
      </c>
      <c r="E366" t="n">
        <v>2</v>
      </c>
      <c r="F366" t="inlineStr">
        <is>
          <t>Ready for Retest</t>
        </is>
      </c>
      <c r="G366" t="inlineStr">
        <is>
          <t>Other</t>
        </is>
      </c>
      <c r="J366" t="inlineStr">
        <is>
          <t>Integrated Warehouse</t>
        </is>
      </c>
      <c r="K366" t="inlineStr">
        <is>
          <t>Sprint 32</t>
        </is>
      </c>
      <c r="M366" t="inlineStr">
        <is>
          <t>Khedmati Aylin</t>
        </is>
      </c>
      <c r="Q366" s="42" t="n">
        <v>46015.68054398148</v>
      </c>
      <c r="S366" t="n">
        <v>0</v>
      </c>
      <c r="T366" s="42" t="n">
        <v>46015.68054398148</v>
      </c>
      <c r="AA366" t="n">
        <v>0</v>
      </c>
      <c r="AD366" t="n">
        <v>2</v>
      </c>
      <c r="AE366" t="n">
        <v>2</v>
      </c>
      <c r="AF366" t="n">
        <v>0</v>
      </c>
      <c r="AI366" t="n">
        <v>0</v>
      </c>
      <c r="AJ366" t="n">
        <v>0</v>
      </c>
      <c r="AN366" t="n">
        <v>0</v>
      </c>
      <c r="AO366" t="n">
        <v>0</v>
      </c>
      <c r="AP366" t="n">
        <v>0</v>
      </c>
      <c r="AQ366" t="n">
        <v>24</v>
      </c>
      <c r="AR366" t="n">
        <v>0</v>
      </c>
    </row>
    <row r="367">
      <c r="A367" t="n">
        <v>198692</v>
      </c>
      <c r="B367" t="inlineStr">
        <is>
          <t xml:space="preserve">انبارگردانی /گزارش نتیجه انبارگردانی   </t>
        </is>
      </c>
      <c r="D367" t="inlineStr">
        <is>
          <t>Medium</t>
        </is>
      </c>
      <c r="E367" t="n">
        <v>2</v>
      </c>
      <c r="F367" t="inlineStr">
        <is>
          <t>Ready for Retest</t>
        </is>
      </c>
      <c r="G367" t="inlineStr">
        <is>
          <t>Other</t>
        </is>
      </c>
      <c r="J367" t="inlineStr">
        <is>
          <t>Integrated Warehouse</t>
        </is>
      </c>
      <c r="K367" t="inlineStr">
        <is>
          <t>Sprint 32</t>
        </is>
      </c>
      <c r="M367" t="inlineStr">
        <is>
          <t>Khedmati Aylin</t>
        </is>
      </c>
      <c r="Q367" s="42" t="n">
        <v>46015.68054398148</v>
      </c>
      <c r="S367" t="n">
        <v>0</v>
      </c>
      <c r="T367" s="42" t="n">
        <v>46015.68054398148</v>
      </c>
      <c r="AA367" t="n">
        <v>0</v>
      </c>
      <c r="AD367" t="n">
        <v>2</v>
      </c>
      <c r="AE367" t="n">
        <v>2</v>
      </c>
      <c r="AF367" t="n">
        <v>0</v>
      </c>
      <c r="AI367" t="n">
        <v>0</v>
      </c>
      <c r="AJ367" t="n">
        <v>0</v>
      </c>
      <c r="AN367" t="n">
        <v>0</v>
      </c>
      <c r="AO367" t="n">
        <v>0</v>
      </c>
      <c r="AP367" t="n">
        <v>0</v>
      </c>
      <c r="AQ367" t="n">
        <v>24</v>
      </c>
      <c r="AR367" t="n">
        <v>0</v>
      </c>
    </row>
    <row r="368">
      <c r="A368" t="n">
        <v>198694</v>
      </c>
      <c r="B368" t="inlineStr">
        <is>
          <t xml:space="preserve">انبارگردانی /باگ گزارشات بعد از مغایرت </t>
        </is>
      </c>
      <c r="D368" t="inlineStr">
        <is>
          <t>Medium</t>
        </is>
      </c>
      <c r="E368" t="n">
        <v>2</v>
      </c>
      <c r="F368" t="inlineStr">
        <is>
          <t>Ready for Retest</t>
        </is>
      </c>
      <c r="G368" t="inlineStr">
        <is>
          <t>Other</t>
        </is>
      </c>
      <c r="J368" t="inlineStr">
        <is>
          <t>Integrated Warehouse</t>
        </is>
      </c>
      <c r="K368" t="inlineStr">
        <is>
          <t>Sprint 32</t>
        </is>
      </c>
      <c r="M368" t="inlineStr">
        <is>
          <t>Khedmati Aylin</t>
        </is>
      </c>
      <c r="Q368" s="42" t="n">
        <v>46015.68054398148</v>
      </c>
      <c r="S368" t="n">
        <v>0</v>
      </c>
      <c r="T368" s="42" t="n">
        <v>46015.68054398148</v>
      </c>
      <c r="AA368" t="n">
        <v>0</v>
      </c>
      <c r="AD368" t="n">
        <v>2</v>
      </c>
      <c r="AE368" t="n">
        <v>2</v>
      </c>
      <c r="AF368" t="n">
        <v>0</v>
      </c>
      <c r="AI368" t="n">
        <v>0</v>
      </c>
      <c r="AJ368" t="n">
        <v>0</v>
      </c>
      <c r="AN368" t="n">
        <v>0</v>
      </c>
      <c r="AO368" t="n">
        <v>0</v>
      </c>
      <c r="AP368" t="n">
        <v>0</v>
      </c>
      <c r="AQ368" t="n">
        <v>24</v>
      </c>
      <c r="AR368" t="n">
        <v>0</v>
      </c>
    </row>
    <row r="369">
      <c r="A369" t="n">
        <v>198751</v>
      </c>
      <c r="B369" t="inlineStr">
        <is>
          <t>مشکل گزارش ریز اطلاعات شاغلین</t>
        </is>
      </c>
      <c r="D369" t="inlineStr">
        <is>
          <t>Medium</t>
        </is>
      </c>
      <c r="E369" t="n">
        <v>3</v>
      </c>
      <c r="F369" t="inlineStr">
        <is>
          <t>Closed</t>
        </is>
      </c>
      <c r="G369" t="inlineStr">
        <is>
          <t>Other</t>
        </is>
      </c>
      <c r="J369" t="inlineStr">
        <is>
          <t>Post Bank</t>
        </is>
      </c>
      <c r="K369" t="inlineStr">
        <is>
          <t>Sprint 20</t>
        </is>
      </c>
      <c r="L369" t="inlineStr">
        <is>
          <t>Completed</t>
        </is>
      </c>
      <c r="M369" t="inlineStr">
        <is>
          <t>Arshi Mahmood</t>
        </is>
      </c>
      <c r="N369" t="inlineStr">
        <is>
          <t>Mohseni Hadise</t>
        </is>
      </c>
      <c r="O369" s="42" t="n">
        <v>46006.54475694444</v>
      </c>
      <c r="Q369" s="42" t="n">
        <v>46006.54475694444</v>
      </c>
      <c r="S369" t="n">
        <v>0</v>
      </c>
      <c r="T369" s="42" t="n">
        <v>46006.54475694444</v>
      </c>
      <c r="Z369" s="42" t="n">
        <v>46006.54475694444</v>
      </c>
      <c r="AA369" t="n">
        <v>0</v>
      </c>
      <c r="AD369" t="n">
        <v>2</v>
      </c>
      <c r="AE369" t="n">
        <v>2</v>
      </c>
      <c r="AF369" t="n">
        <v>0</v>
      </c>
      <c r="AI369" t="n">
        <v>0</v>
      </c>
      <c r="AJ369" t="n">
        <v>0</v>
      </c>
      <c r="AK369" t="n">
        <v>0</v>
      </c>
      <c r="AL369" t="n">
        <v>0</v>
      </c>
      <c r="AN369" t="n">
        <v>0</v>
      </c>
      <c r="AO369" t="n">
        <v>0</v>
      </c>
      <c r="AP369" t="n">
        <v>0</v>
      </c>
      <c r="AQ369" t="n">
        <v>24</v>
      </c>
      <c r="AR369" t="n">
        <v>0</v>
      </c>
    </row>
    <row r="370">
      <c r="A370" t="n">
        <v>198758</v>
      </c>
      <c r="B370" t="inlineStr">
        <is>
          <t>آپلود فایل پیوست</t>
        </is>
      </c>
      <c r="D370" t="inlineStr">
        <is>
          <t>Medium</t>
        </is>
      </c>
      <c r="E370" t="n">
        <v>2</v>
      </c>
      <c r="F370" t="inlineStr">
        <is>
          <t>Closed</t>
        </is>
      </c>
      <c r="G370" t="inlineStr">
        <is>
          <t>Other</t>
        </is>
      </c>
      <c r="J370" t="inlineStr">
        <is>
          <t>Post Bank</t>
        </is>
      </c>
      <c r="K370" t="inlineStr">
        <is>
          <t>Sprint 20</t>
        </is>
      </c>
      <c r="M370" t="inlineStr">
        <is>
          <t>Hoseini Fatemeh</t>
        </is>
      </c>
      <c r="N370" t="inlineStr">
        <is>
          <t>Mohseni Hadise</t>
        </is>
      </c>
      <c r="O370" s="42" t="n">
        <v>45991.47862268519</v>
      </c>
      <c r="Q370" s="42" t="n">
        <v>45991.47862268519</v>
      </c>
      <c r="S370" t="n">
        <v>0</v>
      </c>
      <c r="T370" s="42" t="n">
        <v>45991.47862268519</v>
      </c>
      <c r="Z370" s="42" t="n">
        <v>45991.47862268519</v>
      </c>
      <c r="AA370" t="n">
        <v>0</v>
      </c>
      <c r="AD370" t="n">
        <v>2</v>
      </c>
      <c r="AE370" t="n">
        <v>2</v>
      </c>
      <c r="AF370" t="n">
        <v>0</v>
      </c>
      <c r="AI370" t="n">
        <v>0</v>
      </c>
      <c r="AJ370" t="n">
        <v>0</v>
      </c>
      <c r="AK370" t="n">
        <v>0</v>
      </c>
      <c r="AL370" t="n">
        <v>0</v>
      </c>
      <c r="AN370" t="n">
        <v>0</v>
      </c>
      <c r="AO370" t="n">
        <v>0</v>
      </c>
      <c r="AP370" t="n">
        <v>0</v>
      </c>
      <c r="AQ370" t="n">
        <v>24</v>
      </c>
      <c r="AR370" t="n">
        <v>0</v>
      </c>
    </row>
    <row r="371">
      <c r="A371" t="n">
        <v>198762</v>
      </c>
      <c r="B371" t="inlineStr">
        <is>
          <t>دکمه تایید در فرم  درخواست غیر تسهیلاتی پیغام موضوع پیشنهاد می دهد // NFWDem</t>
        </is>
      </c>
      <c r="D371" t="inlineStr">
        <is>
          <t>Medium</t>
        </is>
      </c>
      <c r="E371" t="n">
        <v>1</v>
      </c>
      <c r="F371" t="inlineStr">
        <is>
          <t>Ready for Retest</t>
        </is>
      </c>
      <c r="G371" t="inlineStr">
        <is>
          <t>Other</t>
        </is>
      </c>
      <c r="J371" t="inlineStr">
        <is>
          <t>Infrastructure Bizagi Extension</t>
        </is>
      </c>
      <c r="K371" t="inlineStr">
        <is>
          <t>SP_88</t>
        </is>
      </c>
      <c r="M371" t="inlineStr">
        <is>
          <t>Rezaee Reza</t>
        </is>
      </c>
      <c r="Q371" s="42" t="n">
        <v>46015.67894675926</v>
      </c>
      <c r="S371" t="n">
        <v>0</v>
      </c>
      <c r="T371" s="42" t="n">
        <v>46015.67894675926</v>
      </c>
      <c r="AA371" t="n">
        <v>0</v>
      </c>
      <c r="AD371" t="n">
        <v>2</v>
      </c>
      <c r="AE371" t="n">
        <v>2</v>
      </c>
      <c r="AF371" t="n">
        <v>0</v>
      </c>
      <c r="AI371" t="n">
        <v>0</v>
      </c>
      <c r="AJ371" t="n">
        <v>0</v>
      </c>
      <c r="AN371" t="n">
        <v>0</v>
      </c>
      <c r="AO371" t="n">
        <v>0</v>
      </c>
      <c r="AP371" t="n">
        <v>0</v>
      </c>
      <c r="AQ371" t="n">
        <v>24</v>
      </c>
      <c r="AR371" t="n">
        <v>0</v>
      </c>
    </row>
    <row r="372">
      <c r="A372" t="n">
        <v>198786</v>
      </c>
      <c r="B372" t="inlineStr">
        <is>
          <t>نمایش اشتباه درجه باجه در منو نمایش اطلاعات باجه</t>
        </is>
      </c>
      <c r="D372" t="inlineStr">
        <is>
          <t>Medium</t>
        </is>
      </c>
      <c r="E372" t="n">
        <v>2</v>
      </c>
      <c r="F372" t="inlineStr">
        <is>
          <t>Closed</t>
        </is>
      </c>
      <c r="G372" t="inlineStr">
        <is>
          <t>Other</t>
        </is>
      </c>
      <c r="J372" t="inlineStr">
        <is>
          <t>Post Bank</t>
        </is>
      </c>
      <c r="K372" t="inlineStr">
        <is>
          <t>Sprint 20</t>
        </is>
      </c>
      <c r="M372" t="inlineStr">
        <is>
          <t>Arshi Mahmood</t>
        </is>
      </c>
      <c r="N372" t="inlineStr">
        <is>
          <t>Mohseni Hadise</t>
        </is>
      </c>
      <c r="O372" s="42" t="n">
        <v>45997.59410879629</v>
      </c>
      <c r="Q372" s="42" t="n">
        <v>45997.59410879629</v>
      </c>
      <c r="S372" t="n">
        <v>0</v>
      </c>
      <c r="T372" s="42" t="n">
        <v>45997.59410879629</v>
      </c>
      <c r="Z372" s="42" t="n">
        <v>45997.59410879629</v>
      </c>
      <c r="AA372" t="n">
        <v>0</v>
      </c>
      <c r="AD372" t="n">
        <v>2</v>
      </c>
      <c r="AE372" t="n">
        <v>2</v>
      </c>
      <c r="AF372" t="n">
        <v>0</v>
      </c>
      <c r="AI372" t="n">
        <v>0</v>
      </c>
      <c r="AJ372" t="n">
        <v>0</v>
      </c>
      <c r="AK372" t="n">
        <v>0</v>
      </c>
      <c r="AL372" t="n">
        <v>0</v>
      </c>
      <c r="AN372" t="n">
        <v>0</v>
      </c>
      <c r="AO372" t="n">
        <v>0</v>
      </c>
      <c r="AP372" t="n">
        <v>0</v>
      </c>
      <c r="AQ372" t="n">
        <v>24</v>
      </c>
      <c r="AR372" t="n">
        <v>0</v>
      </c>
    </row>
    <row r="373">
      <c r="A373" t="n">
        <v>198790</v>
      </c>
      <c r="B373" t="inlineStr">
        <is>
          <t>عدم نمایش دیتاهای شاغلین در گزارش ریز اطلاعات شاغلین</t>
        </is>
      </c>
      <c r="D373" t="inlineStr">
        <is>
          <t>Medium</t>
        </is>
      </c>
      <c r="E373" t="n">
        <v>2</v>
      </c>
      <c r="F373" t="inlineStr">
        <is>
          <t>Closed</t>
        </is>
      </c>
      <c r="G373" t="inlineStr">
        <is>
          <t>Other</t>
        </is>
      </c>
      <c r="J373" t="inlineStr">
        <is>
          <t>Post Bank</t>
        </is>
      </c>
      <c r="K373" t="inlineStr">
        <is>
          <t>Sprint 20</t>
        </is>
      </c>
      <c r="M373" t="inlineStr">
        <is>
          <t>Hoseini Fatemeh</t>
        </is>
      </c>
      <c r="N373" t="inlineStr">
        <is>
          <t>Mohseni Hadise</t>
        </is>
      </c>
      <c r="O373" s="42" t="n">
        <v>45993.51584490741</v>
      </c>
      <c r="Q373" s="42" t="n">
        <v>45993.51584490741</v>
      </c>
      <c r="S373" t="n">
        <v>0</v>
      </c>
      <c r="T373" s="42" t="n">
        <v>45993.51584490741</v>
      </c>
      <c r="Z373" s="42" t="n">
        <v>45993.51584490741</v>
      </c>
      <c r="AA373" t="n">
        <v>0</v>
      </c>
      <c r="AD373" t="n">
        <v>2</v>
      </c>
      <c r="AE373" t="n">
        <v>2</v>
      </c>
      <c r="AF373" t="n">
        <v>0</v>
      </c>
      <c r="AI373" t="n">
        <v>0</v>
      </c>
      <c r="AJ373" t="n">
        <v>0</v>
      </c>
      <c r="AK373" t="n">
        <v>0</v>
      </c>
      <c r="AL373" t="n">
        <v>0</v>
      </c>
      <c r="AN373" t="n">
        <v>0</v>
      </c>
      <c r="AO373" t="n">
        <v>0</v>
      </c>
      <c r="AP373" t="n">
        <v>0</v>
      </c>
      <c r="AQ373" t="n">
        <v>24</v>
      </c>
      <c r="AR373" t="n">
        <v>0</v>
      </c>
    </row>
    <row r="374">
      <c r="A374" t="n">
        <v>198798</v>
      </c>
      <c r="B374" t="inlineStr">
        <is>
          <t>در فرم اطلاعات درخواست ، ارکان نمایش داده نشده  دکمه انصراف پیغام رکورد عقد می دهد</t>
        </is>
      </c>
      <c r="D374" t="inlineStr">
        <is>
          <t>Medium</t>
        </is>
      </c>
      <c r="E374" t="n">
        <v>1</v>
      </c>
      <c r="F374" t="inlineStr">
        <is>
          <t>Closed</t>
        </is>
      </c>
      <c r="G374" t="inlineStr">
        <is>
          <t>Other</t>
        </is>
      </c>
      <c r="J374" t="inlineStr">
        <is>
          <t>Dem</t>
        </is>
      </c>
      <c r="K374" t="inlineStr">
        <is>
          <t>DemBiz</t>
        </is>
      </c>
      <c r="M374" t="inlineStr">
        <is>
          <t>Moradi Mohammad</t>
        </is>
      </c>
      <c r="N374" t="inlineStr">
        <is>
          <t>Hajizadeh Elnaz</t>
        </is>
      </c>
      <c r="O374" s="42" t="n">
        <v>45992.46915509259</v>
      </c>
      <c r="Q374" s="42" t="n">
        <v>45992.46915509259</v>
      </c>
      <c r="S374" t="n">
        <v>0</v>
      </c>
      <c r="T374" s="42" t="n">
        <v>45992.46915509259</v>
      </c>
      <c r="Z374" s="42" t="n">
        <v>45992.46915509259</v>
      </c>
      <c r="AA374" t="n">
        <v>0</v>
      </c>
      <c r="AD374" t="n">
        <v>2</v>
      </c>
      <c r="AE374" t="n">
        <v>2</v>
      </c>
      <c r="AF374" t="n">
        <v>0</v>
      </c>
      <c r="AI374" t="n">
        <v>0</v>
      </c>
      <c r="AJ374" t="n">
        <v>0</v>
      </c>
      <c r="AK374" t="n">
        <v>0</v>
      </c>
      <c r="AL374" t="n">
        <v>0</v>
      </c>
      <c r="AN374" t="n">
        <v>0</v>
      </c>
      <c r="AO374" t="n">
        <v>0</v>
      </c>
      <c r="AP374" t="n">
        <v>0</v>
      </c>
      <c r="AQ374" t="n">
        <v>24</v>
      </c>
      <c r="AR374" t="n">
        <v>0</v>
      </c>
    </row>
    <row r="375">
      <c r="A375" t="n">
        <v>198800</v>
      </c>
      <c r="B375" t="inlineStr">
        <is>
          <t>دکمه تایید و ادامه و دکمه انصراف درایجاد عقد پیشنهادی در کمیته منطقه باگ دارد  26/08</t>
        </is>
      </c>
      <c r="D375" t="inlineStr">
        <is>
          <t>Medium</t>
        </is>
      </c>
      <c r="E375" t="n">
        <v>1</v>
      </c>
      <c r="F375" t="inlineStr">
        <is>
          <t>Closed</t>
        </is>
      </c>
      <c r="G375" t="inlineStr">
        <is>
          <t>Other</t>
        </is>
      </c>
      <c r="J375" t="inlineStr">
        <is>
          <t>Dem</t>
        </is>
      </c>
      <c r="K375" t="inlineStr">
        <is>
          <t>DemBiz</t>
        </is>
      </c>
      <c r="M375" t="inlineStr">
        <is>
          <t>Hoseini Fatemeh</t>
        </is>
      </c>
      <c r="N375" t="inlineStr">
        <is>
          <t>Hajizadeh Elnaz</t>
        </is>
      </c>
      <c r="O375" s="42" t="n">
        <v>45993.40143518519</v>
      </c>
      <c r="Q375" s="42" t="n">
        <v>45993.40143518519</v>
      </c>
      <c r="S375" t="n">
        <v>0</v>
      </c>
      <c r="T375" s="42" t="n">
        <v>45993.40143518519</v>
      </c>
      <c r="Z375" s="42" t="n">
        <v>45993.40143518519</v>
      </c>
      <c r="AA375" t="n">
        <v>0</v>
      </c>
      <c r="AD375" t="n">
        <v>2</v>
      </c>
      <c r="AE375" t="n">
        <v>2</v>
      </c>
      <c r="AF375" t="n">
        <v>0</v>
      </c>
      <c r="AI375" t="n">
        <v>0</v>
      </c>
      <c r="AJ375" t="n">
        <v>0</v>
      </c>
      <c r="AK375" t="n">
        <v>0</v>
      </c>
      <c r="AL375" t="n">
        <v>0</v>
      </c>
      <c r="AN375" t="n">
        <v>0</v>
      </c>
      <c r="AO375" t="n">
        <v>0</v>
      </c>
      <c r="AP375" t="n">
        <v>0</v>
      </c>
      <c r="AQ375" t="n">
        <v>24</v>
      </c>
      <c r="AR375" t="n">
        <v>0</v>
      </c>
    </row>
    <row r="376">
      <c r="A376" t="n">
        <v>198801</v>
      </c>
      <c r="B376" t="inlineStr">
        <is>
          <t>کار نکردن دکمه ضربدر/NFWPB</t>
        </is>
      </c>
      <c r="D376" t="inlineStr">
        <is>
          <t>Medium</t>
        </is>
      </c>
      <c r="E376" t="n">
        <v>3</v>
      </c>
      <c r="F376" t="inlineStr">
        <is>
          <t>Ready for Retest</t>
        </is>
      </c>
      <c r="G376" t="inlineStr">
        <is>
          <t>Other</t>
        </is>
      </c>
      <c r="J376" t="inlineStr">
        <is>
          <t>Infrastructure Bizagi Extension</t>
        </is>
      </c>
      <c r="K376" t="inlineStr">
        <is>
          <t>SP_88</t>
        </is>
      </c>
      <c r="M376" t="inlineStr">
        <is>
          <t>Rezaee Reza</t>
        </is>
      </c>
      <c r="Q376" s="42" t="n">
        <v>46012.55430555555</v>
      </c>
      <c r="S376" t="n">
        <v>0</v>
      </c>
      <c r="T376" s="42" t="n">
        <v>46012.55430555555</v>
      </c>
      <c r="AA376" t="n">
        <v>0</v>
      </c>
      <c r="AD376" t="n">
        <v>2</v>
      </c>
      <c r="AE376" t="n">
        <v>2</v>
      </c>
      <c r="AF376" t="n">
        <v>0</v>
      </c>
      <c r="AI376" t="n">
        <v>0</v>
      </c>
      <c r="AJ376" t="n">
        <v>0</v>
      </c>
      <c r="AN376" t="n">
        <v>0</v>
      </c>
      <c r="AO376" t="n">
        <v>0</v>
      </c>
      <c r="AP376" t="n">
        <v>0</v>
      </c>
      <c r="AQ376" t="n">
        <v>24</v>
      </c>
      <c r="AR376" t="n">
        <v>0</v>
      </c>
    </row>
    <row r="377">
      <c r="A377" t="n">
        <v>198816</v>
      </c>
      <c r="B377" t="inlineStr">
        <is>
          <t>بایگانی /عدم نمایش کامل شرح دسته سند    s.kh</t>
        </is>
      </c>
      <c r="D377" t="inlineStr">
        <is>
          <t>Medium</t>
        </is>
      </c>
      <c r="E377" t="n">
        <v>2</v>
      </c>
      <c r="F377" t="inlineStr">
        <is>
          <t>Closed</t>
        </is>
      </c>
      <c r="G377" t="inlineStr">
        <is>
          <t>Other</t>
        </is>
      </c>
      <c r="J377" t="inlineStr">
        <is>
          <t>Stagnant Archive</t>
        </is>
      </c>
      <c r="K377" t="inlineStr">
        <is>
          <t>Sp_22</t>
        </is>
      </c>
      <c r="M377" t="inlineStr">
        <is>
          <t>Hajkhalil Mehrzad</t>
        </is>
      </c>
      <c r="N377" t="inlineStr">
        <is>
          <t>Monfared Mobina</t>
        </is>
      </c>
      <c r="O377" s="42" t="n">
        <v>45998.54956018519</v>
      </c>
      <c r="Q377" s="42" t="n">
        <v>45998.54956018519</v>
      </c>
      <c r="S377" t="n">
        <v>0</v>
      </c>
      <c r="T377" s="42" t="n">
        <v>45998.54956018519</v>
      </c>
      <c r="Z377" s="42" t="n">
        <v>45998.54956018519</v>
      </c>
      <c r="AA377" t="n">
        <v>0</v>
      </c>
      <c r="AD377" t="n">
        <v>2</v>
      </c>
      <c r="AE377" t="n">
        <v>2</v>
      </c>
      <c r="AF377" t="n">
        <v>0</v>
      </c>
      <c r="AI377" t="n">
        <v>0</v>
      </c>
      <c r="AJ377" t="n">
        <v>0</v>
      </c>
      <c r="AK377" t="n">
        <v>0</v>
      </c>
      <c r="AL377" t="n">
        <v>0</v>
      </c>
      <c r="AN377" t="n">
        <v>0</v>
      </c>
      <c r="AO377" t="n">
        <v>0</v>
      </c>
      <c r="AP377" t="n">
        <v>0</v>
      </c>
      <c r="AQ377" t="n">
        <v>24</v>
      </c>
      <c r="AR377" t="n">
        <v>0</v>
      </c>
    </row>
    <row r="378">
      <c r="A378" t="n">
        <v>198825</v>
      </c>
      <c r="B378" t="inlineStr">
        <is>
          <t>اتچ شده فایل پیش نویسی به صورت دیفالت 08/28</t>
        </is>
      </c>
      <c r="D378" t="inlineStr">
        <is>
          <t>Medium</t>
        </is>
      </c>
      <c r="E378" t="n">
        <v>1</v>
      </c>
      <c r="F378" t="inlineStr">
        <is>
          <t>Closed</t>
        </is>
      </c>
      <c r="G378" t="inlineStr">
        <is>
          <t>Other</t>
        </is>
      </c>
      <c r="J378" t="inlineStr">
        <is>
          <t>Dem</t>
        </is>
      </c>
      <c r="K378" t="inlineStr">
        <is>
          <t>DemBiz</t>
        </is>
      </c>
      <c r="M378" t="inlineStr">
        <is>
          <t>Hoseini Fatemeh</t>
        </is>
      </c>
      <c r="N378" t="inlineStr">
        <is>
          <t>Hajizadeh Elnaz</t>
        </is>
      </c>
      <c r="O378" s="42" t="n">
        <v>45991.71228009259</v>
      </c>
      <c r="Q378" s="42" t="n">
        <v>45991.71228009259</v>
      </c>
      <c r="S378" t="n">
        <v>0</v>
      </c>
      <c r="T378" s="42" t="n">
        <v>45991.71228009259</v>
      </c>
      <c r="Z378" s="42" t="n">
        <v>45991.71228009259</v>
      </c>
      <c r="AA378" t="n">
        <v>0</v>
      </c>
      <c r="AD378" t="n">
        <v>2</v>
      </c>
      <c r="AE378" t="n">
        <v>2</v>
      </c>
      <c r="AF378" t="n">
        <v>0</v>
      </c>
      <c r="AI378" t="n">
        <v>0</v>
      </c>
      <c r="AJ378" t="n">
        <v>0</v>
      </c>
      <c r="AK378" t="n">
        <v>0</v>
      </c>
      <c r="AL378" t="n">
        <v>0</v>
      </c>
      <c r="AN378" t="n">
        <v>0</v>
      </c>
      <c r="AO378" t="n">
        <v>0</v>
      </c>
      <c r="AP378" t="n">
        <v>0</v>
      </c>
      <c r="AQ378" t="n">
        <v>24</v>
      </c>
      <c r="AR378" t="n">
        <v>0</v>
      </c>
    </row>
    <row r="379">
      <c r="A379" t="n">
        <v>198829</v>
      </c>
      <c r="B379" t="inlineStr">
        <is>
          <t xml:space="preserve">در کمیته اعتباری  منطقه ، امضای نفر  اول نمایش داده نمی شود </t>
        </is>
      </c>
      <c r="D379" t="inlineStr">
        <is>
          <t>Medium</t>
        </is>
      </c>
      <c r="E379" t="n">
        <v>1</v>
      </c>
      <c r="F379" t="inlineStr">
        <is>
          <t>Closed</t>
        </is>
      </c>
      <c r="G379" t="inlineStr">
        <is>
          <t>Other</t>
        </is>
      </c>
      <c r="J379" t="inlineStr">
        <is>
          <t>Dem</t>
        </is>
      </c>
      <c r="K379" t="inlineStr">
        <is>
          <t>DemBiz</t>
        </is>
      </c>
      <c r="M379" t="inlineStr">
        <is>
          <t>Hoseini Fatemeh</t>
        </is>
      </c>
      <c r="N379" t="inlineStr">
        <is>
          <t>Hajizadeh Elnaz</t>
        </is>
      </c>
      <c r="O379" s="42" t="n">
        <v>45992.72809027778</v>
      </c>
      <c r="Q379" s="42" t="n">
        <v>45992.72809027778</v>
      </c>
      <c r="S379" t="n">
        <v>0</v>
      </c>
      <c r="T379" s="42" t="n">
        <v>45992.72809027778</v>
      </c>
      <c r="Z379" s="42" t="n">
        <v>45992.72809027778</v>
      </c>
      <c r="AA379" t="n">
        <v>0</v>
      </c>
      <c r="AD379" t="n">
        <v>2</v>
      </c>
      <c r="AE379" t="n">
        <v>2</v>
      </c>
      <c r="AF379" t="n">
        <v>0</v>
      </c>
      <c r="AI379" t="n">
        <v>0</v>
      </c>
      <c r="AJ379" t="n">
        <v>0</v>
      </c>
      <c r="AK379" t="n">
        <v>0</v>
      </c>
      <c r="AL379" t="n">
        <v>0</v>
      </c>
      <c r="AN379" t="n">
        <v>0</v>
      </c>
      <c r="AO379" t="n">
        <v>0</v>
      </c>
      <c r="AP379" t="n">
        <v>0</v>
      </c>
      <c r="AQ379" t="n">
        <v>24</v>
      </c>
      <c r="AR379" t="n">
        <v>0</v>
      </c>
    </row>
    <row r="380">
      <c r="A380" t="n">
        <v>198836</v>
      </c>
      <c r="B380" t="inlineStr">
        <is>
          <t xml:space="preserve">بایگانی /نمایش اشتباه شرح کسری  s.kh </t>
        </is>
      </c>
      <c r="D380" t="inlineStr">
        <is>
          <t>Medium</t>
        </is>
      </c>
      <c r="E380" t="n">
        <v>2</v>
      </c>
      <c r="F380" t="inlineStr">
        <is>
          <t>Closed</t>
        </is>
      </c>
      <c r="G380" t="inlineStr">
        <is>
          <t>Other</t>
        </is>
      </c>
      <c r="J380" t="inlineStr">
        <is>
          <t>Stagnant Archive</t>
        </is>
      </c>
      <c r="K380" t="inlineStr">
        <is>
          <t>Sp_22</t>
        </is>
      </c>
      <c r="L380" t="inlineStr">
        <is>
          <t>Completed</t>
        </is>
      </c>
      <c r="M380" t="inlineStr">
        <is>
          <t>Navab Erfan</t>
        </is>
      </c>
      <c r="N380" t="inlineStr">
        <is>
          <t>Khodabakhsh Sadaf</t>
        </is>
      </c>
      <c r="O380" s="42" t="n">
        <v>46004.93965277778</v>
      </c>
      <c r="Q380" s="42" t="n">
        <v>46004.93965277778</v>
      </c>
      <c r="S380" t="n">
        <v>0</v>
      </c>
      <c r="T380" s="42" t="n">
        <v>46004.93965277778</v>
      </c>
      <c r="Z380" s="42" t="n">
        <v>46004.93965277778</v>
      </c>
      <c r="AA380" t="n">
        <v>0</v>
      </c>
      <c r="AD380" t="n">
        <v>2</v>
      </c>
      <c r="AE380" t="n">
        <v>2</v>
      </c>
      <c r="AF380" t="n">
        <v>0</v>
      </c>
      <c r="AI380" t="n">
        <v>0</v>
      </c>
      <c r="AJ380" t="n">
        <v>0</v>
      </c>
      <c r="AK380" t="n">
        <v>0</v>
      </c>
      <c r="AL380" t="n">
        <v>0</v>
      </c>
      <c r="AN380" t="n">
        <v>0</v>
      </c>
      <c r="AO380" t="n">
        <v>0</v>
      </c>
      <c r="AP380" t="n">
        <v>0</v>
      </c>
      <c r="AQ380" t="n">
        <v>24</v>
      </c>
      <c r="AR380" t="n">
        <v>0</v>
      </c>
    </row>
    <row r="381">
      <c r="A381" t="n">
        <v>198879</v>
      </c>
      <c r="B381" t="inlineStr">
        <is>
          <t>بایگانی /نمایش اشتباه شرح دسته بندی s.kh</t>
        </is>
      </c>
      <c r="D381" t="inlineStr">
        <is>
          <t>Medium</t>
        </is>
      </c>
      <c r="E381" t="n">
        <v>2</v>
      </c>
      <c r="F381" t="inlineStr">
        <is>
          <t>Closed</t>
        </is>
      </c>
      <c r="G381" t="inlineStr">
        <is>
          <t>Other</t>
        </is>
      </c>
      <c r="J381" t="inlineStr">
        <is>
          <t>Stagnant Archive</t>
        </is>
      </c>
      <c r="K381" t="inlineStr">
        <is>
          <t>Sp_22</t>
        </is>
      </c>
      <c r="L381" t="inlineStr">
        <is>
          <t>Completed</t>
        </is>
      </c>
      <c r="M381" t="inlineStr">
        <is>
          <t>Navab Erfan</t>
        </is>
      </c>
      <c r="N381" t="inlineStr">
        <is>
          <t>Khodabakhsh Sadaf</t>
        </is>
      </c>
      <c r="O381" s="42" t="n">
        <v>46004.93894675926</v>
      </c>
      <c r="Q381" s="42" t="n">
        <v>46004.93894675926</v>
      </c>
      <c r="S381" t="n">
        <v>0</v>
      </c>
      <c r="T381" s="42" t="n">
        <v>46004.93894675926</v>
      </c>
      <c r="Z381" s="42" t="n">
        <v>46004.93894675926</v>
      </c>
      <c r="AA381" t="n">
        <v>0</v>
      </c>
      <c r="AD381" t="n">
        <v>2</v>
      </c>
      <c r="AE381" t="n">
        <v>2</v>
      </c>
      <c r="AF381" t="n">
        <v>0</v>
      </c>
      <c r="AI381" t="n">
        <v>0</v>
      </c>
      <c r="AJ381" t="n">
        <v>0</v>
      </c>
      <c r="AK381" t="n">
        <v>0</v>
      </c>
      <c r="AL381" t="n">
        <v>0</v>
      </c>
      <c r="AN381" t="n">
        <v>0</v>
      </c>
      <c r="AO381" t="n">
        <v>0</v>
      </c>
      <c r="AP381" t="n">
        <v>0</v>
      </c>
      <c r="AQ381" t="n">
        <v>24</v>
      </c>
      <c r="AR381" t="n">
        <v>0</v>
      </c>
    </row>
    <row r="382">
      <c r="A382" t="n">
        <v>198896</v>
      </c>
      <c r="B382" t="inlineStr">
        <is>
          <t>رفع کسری /ارور تسک انباردار /بازدارنده       s.kh</t>
        </is>
      </c>
      <c r="D382" t="inlineStr">
        <is>
          <t>Medium</t>
        </is>
      </c>
      <c r="E382" t="n">
        <v>2</v>
      </c>
      <c r="F382" t="inlineStr">
        <is>
          <t>Closed</t>
        </is>
      </c>
      <c r="G382" t="inlineStr">
        <is>
          <t>Other</t>
        </is>
      </c>
      <c r="J382" t="inlineStr">
        <is>
          <t>Stagnant Archive</t>
        </is>
      </c>
      <c r="K382" t="inlineStr">
        <is>
          <t>Sp_22</t>
        </is>
      </c>
      <c r="M382" t="inlineStr">
        <is>
          <t>Navab Erfan</t>
        </is>
      </c>
      <c r="N382" t="inlineStr">
        <is>
          <t>Khodabakhsh Sadaf</t>
        </is>
      </c>
      <c r="O382" s="42" t="n">
        <v>45992.40582175926</v>
      </c>
      <c r="Q382" s="42" t="n">
        <v>45992.40582175926</v>
      </c>
      <c r="S382" t="n">
        <v>0</v>
      </c>
      <c r="T382" s="42" t="n">
        <v>45992.40582175926</v>
      </c>
      <c r="Z382" s="42" t="n">
        <v>45992.40582175926</v>
      </c>
      <c r="AA382" t="n">
        <v>0</v>
      </c>
      <c r="AD382" t="n">
        <v>2</v>
      </c>
      <c r="AE382" t="n">
        <v>2</v>
      </c>
      <c r="AF382" t="n">
        <v>0</v>
      </c>
      <c r="AI382" t="n">
        <v>0</v>
      </c>
      <c r="AJ382" t="n">
        <v>0</v>
      </c>
      <c r="AK382" t="n">
        <v>0</v>
      </c>
      <c r="AL382" t="n">
        <v>0</v>
      </c>
      <c r="AN382" t="n">
        <v>0</v>
      </c>
      <c r="AO382" t="n">
        <v>0</v>
      </c>
      <c r="AP382" t="n">
        <v>0</v>
      </c>
      <c r="AQ382" t="n">
        <v>24</v>
      </c>
      <c r="AR382" t="n">
        <v>0</v>
      </c>
    </row>
    <row r="383">
      <c r="A383" t="n">
        <v>198921</v>
      </c>
      <c r="B383" t="inlineStr">
        <is>
          <t>عدم باز شدن فرم در گزینه اطلاعات پایه گزارش پایش در منو سامانه08/28</t>
        </is>
      </c>
      <c r="D383" t="inlineStr">
        <is>
          <t>Medium</t>
        </is>
      </c>
      <c r="E383" t="n">
        <v>2</v>
      </c>
      <c r="F383" t="inlineStr">
        <is>
          <t>Closed</t>
        </is>
      </c>
      <c r="G383" t="inlineStr">
        <is>
          <t>Other</t>
        </is>
      </c>
      <c r="J383" t="inlineStr">
        <is>
          <t>Dem</t>
        </is>
      </c>
      <c r="K383" t="inlineStr">
        <is>
          <t>DemBiz</t>
        </is>
      </c>
      <c r="M383" t="inlineStr">
        <is>
          <t>Moradi Mohammad</t>
        </is>
      </c>
      <c r="N383" t="inlineStr">
        <is>
          <t>Hajizadeh Elnaz</t>
        </is>
      </c>
      <c r="O383" s="42" t="n">
        <v>45992.6037037037</v>
      </c>
      <c r="Q383" s="42" t="n">
        <v>45992.6037037037</v>
      </c>
      <c r="S383" t="n">
        <v>0</v>
      </c>
      <c r="T383" s="42" t="n">
        <v>45992.6037037037</v>
      </c>
      <c r="Z383" s="42" t="n">
        <v>45992.6037037037</v>
      </c>
      <c r="AA383" t="n">
        <v>0</v>
      </c>
      <c r="AD383" t="n">
        <v>2</v>
      </c>
      <c r="AE383" t="n">
        <v>2</v>
      </c>
      <c r="AF383" t="n">
        <v>0</v>
      </c>
      <c r="AI383" t="n">
        <v>0</v>
      </c>
      <c r="AJ383" t="n">
        <v>0</v>
      </c>
      <c r="AK383" t="n">
        <v>0</v>
      </c>
      <c r="AL383" t="n">
        <v>0</v>
      </c>
      <c r="AN383" t="n">
        <v>0</v>
      </c>
      <c r="AO383" t="n">
        <v>0</v>
      </c>
      <c r="AP383" t="n">
        <v>0</v>
      </c>
      <c r="AQ383" t="n">
        <v>24</v>
      </c>
      <c r="AR383" t="n">
        <v>0</v>
      </c>
    </row>
    <row r="384">
      <c r="A384" t="n">
        <v>198930</v>
      </c>
      <c r="B384" t="inlineStr">
        <is>
          <t>AE_SAJA\\  مشکل در لود فیلتر گرید مالتی سلک در دکمه جستجو</t>
        </is>
      </c>
      <c r="D384" t="inlineStr">
        <is>
          <t>Medium</t>
        </is>
      </c>
      <c r="E384" t="n">
        <v>1</v>
      </c>
      <c r="F384" t="inlineStr">
        <is>
          <t>Open</t>
        </is>
      </c>
      <c r="G384" t="inlineStr">
        <is>
          <t>Other</t>
        </is>
      </c>
      <c r="J384" t="inlineStr">
        <is>
          <t>SAJAK</t>
        </is>
      </c>
      <c r="M384" t="inlineStr">
        <is>
          <t>Nemati Hasan</t>
        </is>
      </c>
      <c r="Q384" s="42" t="n">
        <v>46006.68512731481</v>
      </c>
      <c r="S384" t="n">
        <v>0</v>
      </c>
      <c r="T384" s="42" t="n">
        <v>46006.68512731481</v>
      </c>
      <c r="AA384" t="n">
        <v>0</v>
      </c>
      <c r="AD384" t="n">
        <v>2</v>
      </c>
      <c r="AE384" t="n">
        <v>2</v>
      </c>
      <c r="AF384" t="n">
        <v>0</v>
      </c>
      <c r="AI384" t="n">
        <v>0</v>
      </c>
      <c r="AJ384" t="n">
        <v>0</v>
      </c>
      <c r="AM384" t="n">
        <v>11</v>
      </c>
      <c r="AN384" t="n">
        <v>0</v>
      </c>
      <c r="AO384" t="n">
        <v>0</v>
      </c>
      <c r="AP384" t="n">
        <v>0</v>
      </c>
      <c r="AQ384" t="n">
        <v>24</v>
      </c>
      <c r="AR384" t="n">
        <v>0</v>
      </c>
    </row>
    <row r="385">
      <c r="A385" t="n">
        <v>198935</v>
      </c>
      <c r="B385" t="inlineStr">
        <is>
          <t>همه فرم ها بعد از ریسپانس ندادن خطا میدهند</t>
        </is>
      </c>
      <c r="D385" t="inlineStr">
        <is>
          <t>Medium</t>
        </is>
      </c>
      <c r="E385" t="n">
        <v>2</v>
      </c>
      <c r="F385" t="inlineStr">
        <is>
          <t>Approved</t>
        </is>
      </c>
      <c r="G385" t="inlineStr">
        <is>
          <t>Other</t>
        </is>
      </c>
      <c r="J385" t="inlineStr">
        <is>
          <t>Infrastructure Bizagi Extension</t>
        </is>
      </c>
      <c r="K385" t="inlineStr">
        <is>
          <t>SP_88</t>
        </is>
      </c>
      <c r="M385" t="inlineStr">
        <is>
          <t>Faraji Reza</t>
        </is>
      </c>
      <c r="Q385" s="42" t="n">
        <v>45999.41351851852</v>
      </c>
      <c r="S385" t="n">
        <v>0</v>
      </c>
      <c r="T385" s="42" t="n">
        <v>45999.41351851852</v>
      </c>
      <c r="AA385" t="n">
        <v>0</v>
      </c>
      <c r="AD385" t="n">
        <v>2</v>
      </c>
      <c r="AE385" t="n">
        <v>2</v>
      </c>
      <c r="AF385" t="n">
        <v>0</v>
      </c>
      <c r="AI385" t="n">
        <v>0</v>
      </c>
      <c r="AJ385" t="n">
        <v>0</v>
      </c>
      <c r="AN385" t="n">
        <v>0</v>
      </c>
      <c r="AO385" t="n">
        <v>0</v>
      </c>
      <c r="AP385" t="n">
        <v>0</v>
      </c>
      <c r="AQ385" t="n">
        <v>24</v>
      </c>
      <c r="AR385" t="n">
        <v>0</v>
      </c>
    </row>
    <row r="386">
      <c r="A386" t="n">
        <v>198936</v>
      </c>
      <c r="B386" t="inlineStr">
        <is>
          <t>حذف فایل اپلود خطا دارد</t>
        </is>
      </c>
      <c r="D386" t="inlineStr">
        <is>
          <t>Medium</t>
        </is>
      </c>
      <c r="E386" t="n">
        <v>2</v>
      </c>
      <c r="F386" t="inlineStr">
        <is>
          <t>Closed</t>
        </is>
      </c>
      <c r="G386" t="inlineStr">
        <is>
          <t>Other</t>
        </is>
      </c>
      <c r="J386" t="inlineStr">
        <is>
          <t>Infrastructure Bizagi Extension</t>
        </is>
      </c>
      <c r="K386" t="inlineStr">
        <is>
          <t>SP_88</t>
        </is>
      </c>
      <c r="M386" t="inlineStr">
        <is>
          <t>Faraji Reza</t>
        </is>
      </c>
      <c r="N386" t="inlineStr">
        <is>
          <t>Mojtaba MohammadGholi</t>
        </is>
      </c>
      <c r="O386" s="42" t="n">
        <v>45993.40016203704</v>
      </c>
      <c r="Q386" s="42" t="n">
        <v>45993.40016203704</v>
      </c>
      <c r="S386" t="n">
        <v>0</v>
      </c>
      <c r="T386" s="42" t="n">
        <v>45993.40016203704</v>
      </c>
      <c r="Z386" s="42" t="n">
        <v>45993.40016203704</v>
      </c>
      <c r="AA386" t="n">
        <v>0</v>
      </c>
      <c r="AD386" t="n">
        <v>2</v>
      </c>
      <c r="AE386" t="n">
        <v>2</v>
      </c>
      <c r="AF386" t="n">
        <v>0</v>
      </c>
      <c r="AI386" t="n">
        <v>0</v>
      </c>
      <c r="AJ386" t="n">
        <v>0</v>
      </c>
      <c r="AK386" t="n">
        <v>0</v>
      </c>
      <c r="AL386" t="n">
        <v>0</v>
      </c>
      <c r="AN386" t="n">
        <v>0</v>
      </c>
      <c r="AO386" t="n">
        <v>0</v>
      </c>
      <c r="AP386" t="n">
        <v>0</v>
      </c>
      <c r="AQ386" t="n">
        <v>24</v>
      </c>
      <c r="AR386" t="n">
        <v>0</v>
      </c>
    </row>
    <row r="387">
      <c r="A387" t="n">
        <v>198938</v>
      </c>
      <c r="B387" t="inlineStr">
        <is>
          <t>عدم امکان وارد کردن فیلد تاریخ و ساعت در صفحه مشاهده نتیجه هیئت و دریافت خطا</t>
        </is>
      </c>
      <c r="D387" t="inlineStr">
        <is>
          <t>Medium</t>
        </is>
      </c>
      <c r="E387" t="n">
        <v>1</v>
      </c>
      <c r="F387" t="inlineStr">
        <is>
          <t>Closed</t>
        </is>
      </c>
      <c r="G387" t="inlineStr">
        <is>
          <t>Other</t>
        </is>
      </c>
      <c r="I387" t="inlineStr">
        <is>
          <t>Bizagi_Team</t>
        </is>
      </c>
      <c r="J387" t="inlineStr">
        <is>
          <t>SAJAK</t>
        </is>
      </c>
      <c r="K387" t="inlineStr">
        <is>
          <t>Estate_Sprint 45</t>
        </is>
      </c>
      <c r="M387" t="inlineStr">
        <is>
          <t>Tedadi Abbas</t>
        </is>
      </c>
      <c r="N387" t="inlineStr">
        <is>
          <t>Erfani Alireza</t>
        </is>
      </c>
      <c r="O387" s="42" t="n">
        <v>45997.6696875</v>
      </c>
      <c r="Q387" s="42" t="n">
        <v>45997.6696875</v>
      </c>
      <c r="S387" t="n">
        <v>0</v>
      </c>
      <c r="T387" s="42" t="n">
        <v>45997.6696875</v>
      </c>
      <c r="Z387" s="42" t="n">
        <v>45997.6696875</v>
      </c>
      <c r="AA387" t="n">
        <v>0</v>
      </c>
      <c r="AD387" t="n">
        <v>2</v>
      </c>
      <c r="AE387" t="n">
        <v>2</v>
      </c>
      <c r="AF387" t="n">
        <v>0</v>
      </c>
      <c r="AI387" t="n">
        <v>0</v>
      </c>
      <c r="AJ387" t="n">
        <v>0</v>
      </c>
      <c r="AK387" t="n">
        <v>0</v>
      </c>
      <c r="AL387" t="n">
        <v>0</v>
      </c>
      <c r="AN387" t="n">
        <v>0</v>
      </c>
      <c r="AO387" t="n">
        <v>0</v>
      </c>
      <c r="AP387" t="n">
        <v>0</v>
      </c>
      <c r="AQ387" t="n">
        <v>24</v>
      </c>
      <c r="AR387" t="n">
        <v>0</v>
      </c>
    </row>
    <row r="388">
      <c r="A388" t="n">
        <v>198941</v>
      </c>
      <c r="B388" t="inlineStr">
        <is>
          <t>AE_SAJA\\  مشکل ارجاع جلسه</t>
        </is>
      </c>
      <c r="D388" t="inlineStr">
        <is>
          <t>Medium</t>
        </is>
      </c>
      <c r="E388" t="n">
        <v>2</v>
      </c>
      <c r="F388" t="inlineStr">
        <is>
          <t>Closed</t>
        </is>
      </c>
      <c r="G388" t="inlineStr">
        <is>
          <t>Other</t>
        </is>
      </c>
      <c r="J388" t="inlineStr">
        <is>
          <t>Infrastructure Bizagi Extension</t>
        </is>
      </c>
      <c r="K388" t="inlineStr">
        <is>
          <t>SP_88</t>
        </is>
      </c>
      <c r="M388" t="inlineStr">
        <is>
          <t>Faraji Reza</t>
        </is>
      </c>
      <c r="N388" t="inlineStr">
        <is>
          <t>Tedadi Abbas</t>
        </is>
      </c>
      <c r="O388" s="42" t="n">
        <v>45998.63369212963</v>
      </c>
      <c r="Q388" s="42" t="n">
        <v>45998.63369212963</v>
      </c>
      <c r="S388" t="n">
        <v>0</v>
      </c>
      <c r="T388" s="42" t="n">
        <v>45998.63369212963</v>
      </c>
      <c r="Z388" s="42" t="n">
        <v>45998.63369212963</v>
      </c>
      <c r="AA388" t="n">
        <v>0</v>
      </c>
      <c r="AD388" t="n">
        <v>2</v>
      </c>
      <c r="AE388" t="n">
        <v>2</v>
      </c>
      <c r="AF388" t="n">
        <v>0</v>
      </c>
      <c r="AI388" t="n">
        <v>0</v>
      </c>
      <c r="AJ388" t="n">
        <v>0</v>
      </c>
      <c r="AK388" t="n">
        <v>0</v>
      </c>
      <c r="AL388" t="n">
        <v>0</v>
      </c>
      <c r="AN388" t="n">
        <v>0</v>
      </c>
      <c r="AO388" t="n">
        <v>0</v>
      </c>
      <c r="AP388" t="n">
        <v>0</v>
      </c>
      <c r="AQ388" t="n">
        <v>24</v>
      </c>
      <c r="AR388" t="n">
        <v>0</v>
      </c>
    </row>
    <row r="389">
      <c r="A389" t="n">
        <v>198950</v>
      </c>
      <c r="B389" t="inlineStr">
        <is>
          <t xml:space="preserve">AE_SAJA\\  مشکل در ایجاد رکورد های مربوط به فرآیند ابلاغ </t>
        </is>
      </c>
      <c r="D389" t="inlineStr">
        <is>
          <t>Medium</t>
        </is>
      </c>
      <c r="E389" t="n">
        <v>2</v>
      </c>
      <c r="F389" t="inlineStr">
        <is>
          <t>Ready for Retest</t>
        </is>
      </c>
      <c r="G389" t="inlineStr">
        <is>
          <t>Other</t>
        </is>
      </c>
      <c r="J389" t="inlineStr">
        <is>
          <t>Infrastructure Bizagi Extension</t>
        </is>
      </c>
      <c r="K389" t="inlineStr">
        <is>
          <t>Athena_Sprint 89</t>
        </is>
      </c>
      <c r="M389" t="inlineStr">
        <is>
          <t>Nemati Hasan</t>
        </is>
      </c>
      <c r="Q389" s="42" t="n">
        <v>46015.47446759259</v>
      </c>
      <c r="S389" t="n">
        <v>0</v>
      </c>
      <c r="T389" s="42" t="n">
        <v>46015.47446759259</v>
      </c>
      <c r="AA389" t="n">
        <v>0</v>
      </c>
      <c r="AD389" t="n">
        <v>2</v>
      </c>
      <c r="AE389" t="n">
        <v>2</v>
      </c>
      <c r="AF389" t="n">
        <v>0</v>
      </c>
      <c r="AI389" t="n">
        <v>0</v>
      </c>
      <c r="AJ389" t="n">
        <v>0</v>
      </c>
      <c r="AN389" t="n">
        <v>0</v>
      </c>
      <c r="AO389" t="n">
        <v>0</v>
      </c>
      <c r="AP389" t="n">
        <v>0</v>
      </c>
      <c r="AQ389" t="n">
        <v>24</v>
      </c>
      <c r="AR389" t="n">
        <v>0</v>
      </c>
    </row>
    <row r="390">
      <c r="A390" t="n">
        <v>198954</v>
      </c>
      <c r="B390" t="inlineStr">
        <is>
          <t>نامرتب بودن شماره درخواست در لینک لینک نمایش/ویرایش عقد  غیر تسهیلاتی 08/28</t>
        </is>
      </c>
      <c r="D390" t="inlineStr">
        <is>
          <t>Medium</t>
        </is>
      </c>
      <c r="E390" t="n">
        <v>1</v>
      </c>
      <c r="F390" t="inlineStr">
        <is>
          <t>Closed</t>
        </is>
      </c>
      <c r="G390" t="inlineStr">
        <is>
          <t>Other</t>
        </is>
      </c>
      <c r="J390" t="inlineStr">
        <is>
          <t>Dem</t>
        </is>
      </c>
      <c r="K390" t="inlineStr">
        <is>
          <t>DemBiz</t>
        </is>
      </c>
      <c r="M390" t="inlineStr">
        <is>
          <t>Arshi Mahmood</t>
        </is>
      </c>
      <c r="N390" t="inlineStr">
        <is>
          <t>Hajizadeh Elnaz</t>
        </is>
      </c>
      <c r="O390" s="42" t="n">
        <v>45992.72600694445</v>
      </c>
      <c r="Q390" s="42" t="n">
        <v>45992.72600694445</v>
      </c>
      <c r="S390" t="n">
        <v>0</v>
      </c>
      <c r="T390" s="42" t="n">
        <v>45992.72600694445</v>
      </c>
      <c r="Z390" s="42" t="n">
        <v>45992.72600694445</v>
      </c>
      <c r="AA390" t="n">
        <v>0</v>
      </c>
      <c r="AD390" t="n">
        <v>2</v>
      </c>
      <c r="AE390" t="n">
        <v>2</v>
      </c>
      <c r="AF390" t="n">
        <v>0</v>
      </c>
      <c r="AI390" t="n">
        <v>0</v>
      </c>
      <c r="AJ390" t="n">
        <v>0</v>
      </c>
      <c r="AK390" t="n">
        <v>0</v>
      </c>
      <c r="AL390" t="n">
        <v>0</v>
      </c>
      <c r="AN390" t="n">
        <v>0</v>
      </c>
      <c r="AO390" t="n">
        <v>0</v>
      </c>
      <c r="AP390" t="n">
        <v>0</v>
      </c>
      <c r="AQ390" t="n">
        <v>24</v>
      </c>
      <c r="AR390" t="n">
        <v>0</v>
      </c>
    </row>
    <row r="391">
      <c r="A391" t="n">
        <v>198955</v>
      </c>
      <c r="B391" t="inlineStr">
        <is>
          <t xml:space="preserve">سناریویی که منجر به عدم ارسال درخواست جهت بازدید به نقشه بردار و نماینده ثبتی می شود </t>
        </is>
      </c>
      <c r="D391" t="inlineStr">
        <is>
          <t>Medium</t>
        </is>
      </c>
      <c r="E391" t="n">
        <v>4</v>
      </c>
      <c r="F391" t="inlineStr">
        <is>
          <t>Closed</t>
        </is>
      </c>
      <c r="G391" t="inlineStr">
        <is>
          <t>Other</t>
        </is>
      </c>
      <c r="I391" t="inlineStr">
        <is>
          <t>Bizagi_Team</t>
        </is>
      </c>
      <c r="J391" t="inlineStr">
        <is>
          <t>SAJAK</t>
        </is>
      </c>
      <c r="K391" t="inlineStr">
        <is>
          <t>Estate_Sprint 45</t>
        </is>
      </c>
      <c r="M391" t="inlineStr">
        <is>
          <t>Erfani Alireza</t>
        </is>
      </c>
      <c r="N391" t="inlineStr">
        <is>
          <t>Erfani Alireza</t>
        </is>
      </c>
      <c r="O391" s="42" t="n">
        <v>45994.42311342592</v>
      </c>
      <c r="Q391" s="42" t="n">
        <v>45994.42311342592</v>
      </c>
      <c r="S391" t="n">
        <v>0</v>
      </c>
      <c r="T391" s="42" t="n">
        <v>45994.42311342592</v>
      </c>
      <c r="Z391" s="42" t="n">
        <v>45994.42311342592</v>
      </c>
      <c r="AA391" t="n">
        <v>0</v>
      </c>
      <c r="AD391" t="n">
        <v>2</v>
      </c>
      <c r="AE391" t="n">
        <v>2</v>
      </c>
      <c r="AF391" t="n">
        <v>0</v>
      </c>
      <c r="AI391" t="n">
        <v>0</v>
      </c>
      <c r="AJ391" t="n">
        <v>0</v>
      </c>
      <c r="AK391" t="n">
        <v>0</v>
      </c>
      <c r="AL391" t="n">
        <v>0</v>
      </c>
      <c r="AN391" t="n">
        <v>0</v>
      </c>
      <c r="AO391" t="n">
        <v>0</v>
      </c>
      <c r="AP391" t="n">
        <v>0</v>
      </c>
      <c r="AQ391" t="n">
        <v>24</v>
      </c>
      <c r="AR391" t="n">
        <v>0</v>
      </c>
    </row>
    <row r="392">
      <c r="A392" t="n">
        <v>198963</v>
      </c>
      <c r="B392" t="inlineStr">
        <is>
          <t>باگ 500 در بخش ارسال عوارض آزادراه جهت تاییدات</t>
        </is>
      </c>
      <c r="D392" t="inlineStr">
        <is>
          <t>Medium</t>
        </is>
      </c>
      <c r="E392" t="n">
        <v>2</v>
      </c>
      <c r="F392" t="inlineStr">
        <is>
          <t>Active</t>
        </is>
      </c>
      <c r="G392" t="inlineStr">
        <is>
          <t>Other</t>
        </is>
      </c>
      <c r="J392" t="inlineStr">
        <is>
          <t>Infrastructure Bizagi Extension</t>
        </is>
      </c>
      <c r="K392" t="inlineStr">
        <is>
          <t>SP_88</t>
        </is>
      </c>
      <c r="M392" t="inlineStr">
        <is>
          <t>Mirshomali Pouya</t>
        </is>
      </c>
      <c r="Q392" s="42" t="n">
        <v>45993.71273148148</v>
      </c>
      <c r="S392" t="n">
        <v>0</v>
      </c>
      <c r="T392" s="42" t="n">
        <v>45993.71273148148</v>
      </c>
      <c r="AA392" t="n">
        <v>0</v>
      </c>
      <c r="AD392" t="n">
        <v>2</v>
      </c>
      <c r="AE392" t="n">
        <v>2</v>
      </c>
      <c r="AF392" t="n">
        <v>0</v>
      </c>
      <c r="AI392" t="n">
        <v>0</v>
      </c>
      <c r="AJ392" t="n">
        <v>0</v>
      </c>
      <c r="AM392" t="n">
        <v>24</v>
      </c>
      <c r="AN392" t="n">
        <v>0</v>
      </c>
      <c r="AO392" t="n">
        <v>0</v>
      </c>
      <c r="AP392" t="n">
        <v>0</v>
      </c>
      <c r="AQ392" t="n">
        <v>24</v>
      </c>
      <c r="AR392" t="n">
        <v>0</v>
      </c>
    </row>
    <row r="393">
      <c r="A393" t="n">
        <v>198964</v>
      </c>
      <c r="B393" t="inlineStr">
        <is>
          <t>باگ 500 بعد از ماندن 30 ثانیع داخل بخش درخواست ها</t>
        </is>
      </c>
      <c r="D393" t="inlineStr">
        <is>
          <t>Medium</t>
        </is>
      </c>
      <c r="E393" t="n">
        <v>2</v>
      </c>
      <c r="F393" t="inlineStr">
        <is>
          <t>Closed</t>
        </is>
      </c>
      <c r="G393" t="inlineStr">
        <is>
          <t>Other</t>
        </is>
      </c>
      <c r="J393" t="inlineStr">
        <is>
          <t>Infrastructure Bizagi Extension</t>
        </is>
      </c>
      <c r="K393" t="inlineStr">
        <is>
          <t>SP_88</t>
        </is>
      </c>
      <c r="M393" t="inlineStr">
        <is>
          <t>Mirshomali Pouya</t>
        </is>
      </c>
      <c r="N393" t="inlineStr">
        <is>
          <t>Mojtaba MohammadGholi</t>
        </is>
      </c>
      <c r="O393" s="42" t="n">
        <v>45992.69148148148</v>
      </c>
      <c r="Q393" s="42" t="n">
        <v>45992.69148148148</v>
      </c>
      <c r="S393" t="n">
        <v>0</v>
      </c>
      <c r="T393" s="42" t="n">
        <v>45992.69148148148</v>
      </c>
      <c r="Z393" s="42" t="n">
        <v>45992.69148148148</v>
      </c>
      <c r="AA393" t="n">
        <v>0</v>
      </c>
      <c r="AD393" t="n">
        <v>2</v>
      </c>
      <c r="AE393" t="n">
        <v>2</v>
      </c>
      <c r="AF393" t="n">
        <v>0</v>
      </c>
      <c r="AI393" t="n">
        <v>0</v>
      </c>
      <c r="AJ393" t="n">
        <v>0</v>
      </c>
      <c r="AK393" t="n">
        <v>0</v>
      </c>
      <c r="AL393" t="n">
        <v>0</v>
      </c>
      <c r="AN393" t="n">
        <v>0</v>
      </c>
      <c r="AO393" t="n">
        <v>0</v>
      </c>
      <c r="AP393" t="n">
        <v>0</v>
      </c>
      <c r="AQ393" t="n">
        <v>24</v>
      </c>
      <c r="AR393" t="n">
        <v>0</v>
      </c>
    </row>
    <row r="394">
      <c r="A394" t="n">
        <v>198966</v>
      </c>
      <c r="B394" t="inlineStr">
        <is>
          <t>فرم ، لینک های صورت مالی در فرم ثبت صورت مالی ، باگ ظاهری دارد // NFWDem</t>
        </is>
      </c>
      <c r="D394" t="inlineStr">
        <is>
          <t>Medium</t>
        </is>
      </c>
      <c r="E394" t="n">
        <v>2</v>
      </c>
      <c r="F394" t="inlineStr">
        <is>
          <t>Closed</t>
        </is>
      </c>
      <c r="G394" t="inlineStr">
        <is>
          <t>Other</t>
        </is>
      </c>
      <c r="J394" t="inlineStr">
        <is>
          <t>Infrastructure Bizagi Extension</t>
        </is>
      </c>
      <c r="K394" t="inlineStr">
        <is>
          <t>SP_88</t>
        </is>
      </c>
      <c r="L394" t="inlineStr">
        <is>
          <t>Completed</t>
        </is>
      </c>
      <c r="M394" t="inlineStr">
        <is>
          <t>Parvaz Maryam</t>
        </is>
      </c>
      <c r="N394" t="inlineStr">
        <is>
          <t>Hajizadeh Elnaz</t>
        </is>
      </c>
      <c r="O394" s="42" t="n">
        <v>46014.41636574074</v>
      </c>
      <c r="Q394" s="42" t="n">
        <v>46014.41636574074</v>
      </c>
      <c r="S394" t="n">
        <v>0</v>
      </c>
      <c r="T394" s="42" t="n">
        <v>46014.41636574074</v>
      </c>
      <c r="Z394" s="42" t="n">
        <v>46014.41636574074</v>
      </c>
      <c r="AA394" t="n">
        <v>0</v>
      </c>
      <c r="AD394" t="n">
        <v>2</v>
      </c>
      <c r="AE394" t="n">
        <v>2</v>
      </c>
      <c r="AF394" t="n">
        <v>0</v>
      </c>
      <c r="AI394" t="n">
        <v>0</v>
      </c>
      <c r="AJ394" t="n">
        <v>0</v>
      </c>
      <c r="AK394" t="n">
        <v>0</v>
      </c>
      <c r="AL394" t="n">
        <v>0</v>
      </c>
      <c r="AN394" t="n">
        <v>0</v>
      </c>
      <c r="AO394" t="n">
        <v>0</v>
      </c>
      <c r="AP394" t="n">
        <v>0</v>
      </c>
      <c r="AQ394" t="n">
        <v>24</v>
      </c>
      <c r="AR394" t="n">
        <v>0</v>
      </c>
    </row>
    <row r="395">
      <c r="A395" t="n">
        <v>198999</v>
      </c>
      <c r="B395" t="inlineStr">
        <is>
          <t>درخواست واحد متقاضی / کالای غیر فعال / عدم نمایش کالای غیر فعال موجودی دار در درخواست</t>
        </is>
      </c>
      <c r="D395" t="inlineStr">
        <is>
          <t>Medium</t>
        </is>
      </c>
      <c r="E395" t="n">
        <v>2</v>
      </c>
      <c r="F395" t="inlineStr">
        <is>
          <t>Closed</t>
        </is>
      </c>
      <c r="G395" t="inlineStr">
        <is>
          <t>Other</t>
        </is>
      </c>
      <c r="J395" t="inlineStr">
        <is>
          <t>Was</t>
        </is>
      </c>
      <c r="K395" t="inlineStr">
        <is>
          <t>Sp_88</t>
        </is>
      </c>
      <c r="M395" t="inlineStr">
        <is>
          <t>Sedghi Amir</t>
        </is>
      </c>
      <c r="N395" t="inlineStr">
        <is>
          <t>Mokaber Melika</t>
        </is>
      </c>
      <c r="O395" s="42" t="n">
        <v>45993.59859953704</v>
      </c>
      <c r="Q395" s="42" t="n">
        <v>45993.59859953704</v>
      </c>
      <c r="S395" t="n">
        <v>0</v>
      </c>
      <c r="T395" s="42" t="n">
        <v>45993.59859953704</v>
      </c>
      <c r="Z395" s="42" t="n">
        <v>45993.59859953704</v>
      </c>
      <c r="AA395" t="n">
        <v>0</v>
      </c>
      <c r="AD395" t="n">
        <v>2</v>
      </c>
      <c r="AE395" t="n">
        <v>2</v>
      </c>
      <c r="AF395" t="n">
        <v>0</v>
      </c>
      <c r="AI395" t="n">
        <v>0</v>
      </c>
      <c r="AJ395" t="n">
        <v>0</v>
      </c>
      <c r="AK395" t="n">
        <v>0</v>
      </c>
      <c r="AL395" t="n">
        <v>0</v>
      </c>
      <c r="AN395" t="n">
        <v>0</v>
      </c>
      <c r="AO395" t="n">
        <v>0</v>
      </c>
      <c r="AP395" t="n">
        <v>0</v>
      </c>
      <c r="AQ395" t="n">
        <v>24</v>
      </c>
      <c r="AR395" t="n">
        <v>0</v>
      </c>
    </row>
    <row r="396">
      <c r="A396" t="n">
        <v>199001</v>
      </c>
      <c r="B396" t="inlineStr">
        <is>
          <t>فرم ایجاد کالا / فیلد توضیحات / عدم نمایش لاگ غیر فعال کالا - اموال و انبار بانک ملت / آذر ماه 1404</t>
        </is>
      </c>
      <c r="D396" t="inlineStr">
        <is>
          <t>Medium</t>
        </is>
      </c>
      <c r="E396" t="n">
        <v>2</v>
      </c>
      <c r="F396" t="inlineStr">
        <is>
          <t>Closed</t>
        </is>
      </c>
      <c r="G396" t="inlineStr">
        <is>
          <t>Other</t>
        </is>
      </c>
      <c r="J396" t="inlineStr">
        <is>
          <t>Was</t>
        </is>
      </c>
      <c r="K396" t="inlineStr">
        <is>
          <t>Sp_88</t>
        </is>
      </c>
      <c r="M396" t="inlineStr">
        <is>
          <t>AslaniManesh Hossein</t>
        </is>
      </c>
      <c r="N396" t="inlineStr">
        <is>
          <t>Mokaber Melika</t>
        </is>
      </c>
      <c r="O396" s="42" t="n">
        <v>45993.59092592593</v>
      </c>
      <c r="Q396" s="42" t="n">
        <v>45993.59092592593</v>
      </c>
      <c r="S396" t="n">
        <v>0</v>
      </c>
      <c r="T396" s="42" t="n">
        <v>45993.59092592593</v>
      </c>
      <c r="Z396" s="42" t="n">
        <v>45993.59092592593</v>
      </c>
      <c r="AA396" t="n">
        <v>0</v>
      </c>
      <c r="AD396" t="n">
        <v>2</v>
      </c>
      <c r="AE396" t="n">
        <v>2</v>
      </c>
      <c r="AF396" t="n">
        <v>0</v>
      </c>
      <c r="AI396" t="n">
        <v>0</v>
      </c>
      <c r="AJ396" t="n">
        <v>0</v>
      </c>
      <c r="AK396" t="n">
        <v>0</v>
      </c>
      <c r="AL396" t="n">
        <v>0</v>
      </c>
      <c r="AN396" t="n">
        <v>0</v>
      </c>
      <c r="AO396" t="n">
        <v>0</v>
      </c>
      <c r="AP396" t="n">
        <v>0</v>
      </c>
      <c r="AQ396" t="n">
        <v>24</v>
      </c>
      <c r="AR396" t="n">
        <v>0</v>
      </c>
    </row>
    <row r="397">
      <c r="A397" t="n">
        <v>199002</v>
      </c>
      <c r="B397" t="inlineStr">
        <is>
          <t>فرم ایجاد کالا / فرم ایجاد کالا  / تغییر پیغام - اموال و انبار بانک ملت / آذر ماه 1404</t>
        </is>
      </c>
      <c r="D397" t="inlineStr">
        <is>
          <t>Medium</t>
        </is>
      </c>
      <c r="E397" t="n">
        <v>2</v>
      </c>
      <c r="F397" t="inlineStr">
        <is>
          <t>Closed</t>
        </is>
      </c>
      <c r="G397" t="inlineStr">
        <is>
          <t>Other</t>
        </is>
      </c>
      <c r="J397" t="inlineStr">
        <is>
          <t>Was</t>
        </is>
      </c>
      <c r="K397" t="inlineStr">
        <is>
          <t>Sp_88</t>
        </is>
      </c>
      <c r="M397" t="inlineStr">
        <is>
          <t>AslaniManesh Hossein</t>
        </is>
      </c>
      <c r="N397" t="inlineStr">
        <is>
          <t>Mokaber Melika</t>
        </is>
      </c>
      <c r="O397" s="42" t="n">
        <v>45993.58380787037</v>
      </c>
      <c r="Q397" s="42" t="n">
        <v>45993.58380787037</v>
      </c>
      <c r="S397" t="n">
        <v>0</v>
      </c>
      <c r="T397" s="42" t="n">
        <v>45993.58380787037</v>
      </c>
      <c r="Z397" s="42" t="n">
        <v>45993.58380787037</v>
      </c>
      <c r="AA397" t="n">
        <v>0</v>
      </c>
      <c r="AD397" t="n">
        <v>2</v>
      </c>
      <c r="AE397" t="n">
        <v>2</v>
      </c>
      <c r="AF397" t="n">
        <v>0</v>
      </c>
      <c r="AI397" t="n">
        <v>0</v>
      </c>
      <c r="AJ397" t="n">
        <v>0</v>
      </c>
      <c r="AK397" t="n">
        <v>0</v>
      </c>
      <c r="AL397" t="n">
        <v>0</v>
      </c>
      <c r="AN397" t="n">
        <v>0</v>
      </c>
      <c r="AO397" t="n">
        <v>0</v>
      </c>
      <c r="AP397" t="n">
        <v>0</v>
      </c>
      <c r="AQ397" t="n">
        <v>24</v>
      </c>
      <c r="AR397" t="n">
        <v>0</v>
      </c>
    </row>
    <row r="398">
      <c r="A398" t="n">
        <v>199003</v>
      </c>
      <c r="B398" t="inlineStr">
        <is>
          <t>دکمه تایید و ادامه در فرم اطلاعات درخواست جهت کارشناسی در کمیته منطقه  پیغام خطا می دهد</t>
        </is>
      </c>
      <c r="D398" t="inlineStr">
        <is>
          <t>Medium</t>
        </is>
      </c>
      <c r="E398" t="n">
        <v>1</v>
      </c>
      <c r="F398" t="inlineStr">
        <is>
          <t>Closed</t>
        </is>
      </c>
      <c r="G398" t="inlineStr">
        <is>
          <t>Other</t>
        </is>
      </c>
      <c r="J398" t="inlineStr">
        <is>
          <t>Dem</t>
        </is>
      </c>
      <c r="K398" t="inlineStr">
        <is>
          <t>DemBiz</t>
        </is>
      </c>
      <c r="M398" t="inlineStr">
        <is>
          <t>Arshi Mahmood</t>
        </is>
      </c>
      <c r="N398" t="inlineStr">
        <is>
          <t>Hajizadeh Elnaz</t>
        </is>
      </c>
      <c r="O398" s="42" t="n">
        <v>45992.72017361111</v>
      </c>
      <c r="Q398" s="42" t="n">
        <v>45992.72017361111</v>
      </c>
      <c r="S398" t="n">
        <v>0</v>
      </c>
      <c r="T398" s="42" t="n">
        <v>45992.72017361111</v>
      </c>
      <c r="Z398" s="42" t="n">
        <v>45992.72017361111</v>
      </c>
      <c r="AA398" t="n">
        <v>0</v>
      </c>
      <c r="AD398" t="n">
        <v>2</v>
      </c>
      <c r="AE398" t="n">
        <v>2</v>
      </c>
      <c r="AF398" t="n">
        <v>0</v>
      </c>
      <c r="AI398" t="n">
        <v>0</v>
      </c>
      <c r="AJ398" t="n">
        <v>0</v>
      </c>
      <c r="AK398" t="n">
        <v>0</v>
      </c>
      <c r="AL398" t="n">
        <v>0</v>
      </c>
      <c r="AN398" t="n">
        <v>0</v>
      </c>
      <c r="AO398" t="n">
        <v>0</v>
      </c>
      <c r="AP398" t="n">
        <v>0</v>
      </c>
      <c r="AQ398" t="n">
        <v>24</v>
      </c>
      <c r="AR398" t="n">
        <v>0</v>
      </c>
    </row>
    <row r="399">
      <c r="A399" t="n">
        <v>199008</v>
      </c>
      <c r="B399" t="inlineStr">
        <is>
          <t>فرم ایجاد کالا / خدمات فنی / تغییر نام خدمات غیر فنی - اموال و انبار بانک ملت / آذر ماه 1404</t>
        </is>
      </c>
      <c r="D399" t="inlineStr">
        <is>
          <t>Medium</t>
        </is>
      </c>
      <c r="E399" t="n">
        <v>2</v>
      </c>
      <c r="F399" t="inlineStr">
        <is>
          <t>Closed</t>
        </is>
      </c>
      <c r="G399" t="inlineStr">
        <is>
          <t>Other</t>
        </is>
      </c>
      <c r="J399" t="inlineStr">
        <is>
          <t>Was</t>
        </is>
      </c>
      <c r="K399" t="inlineStr">
        <is>
          <t>Sp_88</t>
        </is>
      </c>
      <c r="M399" t="inlineStr">
        <is>
          <t>AslaniManesh Hossein</t>
        </is>
      </c>
      <c r="N399" t="inlineStr">
        <is>
          <t>Mokaber Melika</t>
        </is>
      </c>
      <c r="O399" s="42" t="n">
        <v>45993.59363425926</v>
      </c>
      <c r="Q399" s="42" t="n">
        <v>45993.59363425926</v>
      </c>
      <c r="S399" t="n">
        <v>0</v>
      </c>
      <c r="T399" s="42" t="n">
        <v>45993.59363425926</v>
      </c>
      <c r="Z399" s="42" t="n">
        <v>45993.59363425926</v>
      </c>
      <c r="AA399" t="n">
        <v>0</v>
      </c>
      <c r="AD399" t="n">
        <v>2</v>
      </c>
      <c r="AE399" t="n">
        <v>2</v>
      </c>
      <c r="AF399" t="n">
        <v>0</v>
      </c>
      <c r="AI399" t="n">
        <v>0</v>
      </c>
      <c r="AJ399" t="n">
        <v>0</v>
      </c>
      <c r="AK399" t="n">
        <v>0</v>
      </c>
      <c r="AL399" t="n">
        <v>0</v>
      </c>
      <c r="AN399" t="n">
        <v>0</v>
      </c>
      <c r="AO399" t="n">
        <v>0</v>
      </c>
      <c r="AP399" t="n">
        <v>0</v>
      </c>
      <c r="AQ399" t="n">
        <v>24</v>
      </c>
      <c r="AR399" t="n">
        <v>0</v>
      </c>
    </row>
    <row r="400">
      <c r="A400" t="n">
        <v>199011</v>
      </c>
      <c r="B400" t="inlineStr">
        <is>
          <t>فرم ایجاد کالا / واحد کالا / تغییر نام ستون ها - اموال و انبار بانک ملت / آذر ماه 1404</t>
        </is>
      </c>
      <c r="D400" t="inlineStr">
        <is>
          <t>Medium</t>
        </is>
      </c>
      <c r="E400" t="n">
        <v>2</v>
      </c>
      <c r="F400" t="inlineStr">
        <is>
          <t>Closed</t>
        </is>
      </c>
      <c r="G400" t="inlineStr">
        <is>
          <t>Other</t>
        </is>
      </c>
      <c r="J400" t="inlineStr">
        <is>
          <t>Was</t>
        </is>
      </c>
      <c r="K400" t="inlineStr">
        <is>
          <t>Sp_88</t>
        </is>
      </c>
      <c r="M400" t="inlineStr">
        <is>
          <t>AslaniManesh Hossein</t>
        </is>
      </c>
      <c r="N400" t="inlineStr">
        <is>
          <t>Mokaber Melika</t>
        </is>
      </c>
      <c r="O400" s="42" t="n">
        <v>45993.58190972222</v>
      </c>
      <c r="Q400" s="42" t="n">
        <v>45993.58190972222</v>
      </c>
      <c r="S400" t="n">
        <v>0</v>
      </c>
      <c r="T400" s="42" t="n">
        <v>45993.58190972222</v>
      </c>
      <c r="Z400" s="42" t="n">
        <v>45993.58190972222</v>
      </c>
      <c r="AA400" t="n">
        <v>0</v>
      </c>
      <c r="AD400" t="n">
        <v>2</v>
      </c>
      <c r="AE400" t="n">
        <v>2</v>
      </c>
      <c r="AF400" t="n">
        <v>0</v>
      </c>
      <c r="AI400" t="n">
        <v>0</v>
      </c>
      <c r="AJ400" t="n">
        <v>0</v>
      </c>
      <c r="AK400" t="n">
        <v>0</v>
      </c>
      <c r="AL400" t="n">
        <v>0</v>
      </c>
      <c r="AN400" t="n">
        <v>0</v>
      </c>
      <c r="AO400" t="n">
        <v>0</v>
      </c>
      <c r="AP400" t="n">
        <v>0</v>
      </c>
      <c r="AQ400" t="n">
        <v>24</v>
      </c>
      <c r="AR400" t="n">
        <v>0</v>
      </c>
    </row>
    <row r="401">
      <c r="A401" t="n">
        <v>199013</v>
      </c>
      <c r="B401" t="inlineStr">
        <is>
          <t>فرم ایجاد کالا / واحد کالای انبار کارت / تغییر نام ستون ها - اموال و انبار بانک ملت / آذر ماه 1404</t>
        </is>
      </c>
      <c r="D401" t="inlineStr">
        <is>
          <t>Medium</t>
        </is>
      </c>
      <c r="E401" t="n">
        <v>2</v>
      </c>
      <c r="F401" t="inlineStr">
        <is>
          <t>Closed</t>
        </is>
      </c>
      <c r="G401" t="inlineStr">
        <is>
          <t>Other</t>
        </is>
      </c>
      <c r="J401" t="inlineStr">
        <is>
          <t>Was</t>
        </is>
      </c>
      <c r="K401" t="inlineStr">
        <is>
          <t>Sp_88</t>
        </is>
      </c>
      <c r="M401" t="inlineStr">
        <is>
          <t>AslaniManesh Hossein</t>
        </is>
      </c>
      <c r="N401" t="inlineStr">
        <is>
          <t>Mokaber Melika</t>
        </is>
      </c>
      <c r="O401" s="42" t="n">
        <v>45993.58122685185</v>
      </c>
      <c r="Q401" s="42" t="n">
        <v>45993.58122685185</v>
      </c>
      <c r="S401" t="n">
        <v>0</v>
      </c>
      <c r="T401" s="42" t="n">
        <v>45993.58122685185</v>
      </c>
      <c r="Z401" s="42" t="n">
        <v>45993.58122685185</v>
      </c>
      <c r="AA401" t="n">
        <v>0</v>
      </c>
      <c r="AD401" t="n">
        <v>2</v>
      </c>
      <c r="AE401" t="n">
        <v>2</v>
      </c>
      <c r="AF401" t="n">
        <v>0</v>
      </c>
      <c r="AI401" t="n">
        <v>0</v>
      </c>
      <c r="AJ401" t="n">
        <v>0</v>
      </c>
      <c r="AK401" t="n">
        <v>0</v>
      </c>
      <c r="AL401" t="n">
        <v>0</v>
      </c>
      <c r="AN401" t="n">
        <v>0</v>
      </c>
      <c r="AO401" t="n">
        <v>0</v>
      </c>
      <c r="AP401" t="n">
        <v>0</v>
      </c>
      <c r="AQ401" t="n">
        <v>24</v>
      </c>
      <c r="AR401" t="n">
        <v>0</v>
      </c>
    </row>
    <row r="402">
      <c r="A402" t="n">
        <v>199025</v>
      </c>
      <c r="B402" t="inlineStr">
        <is>
          <t>خالی بودن  فرم نمایش درخواست در، لینک نمایش جزییات عقود</t>
        </is>
      </c>
      <c r="D402" t="inlineStr">
        <is>
          <t>Medium</t>
        </is>
      </c>
      <c r="E402" t="n">
        <v>2</v>
      </c>
      <c r="F402" t="inlineStr">
        <is>
          <t>Closed</t>
        </is>
      </c>
      <c r="G402" t="inlineStr">
        <is>
          <t>Other</t>
        </is>
      </c>
      <c r="J402" t="inlineStr">
        <is>
          <t>Dem</t>
        </is>
      </c>
      <c r="K402" t="inlineStr">
        <is>
          <t>DemBiz</t>
        </is>
      </c>
      <c r="M402" t="inlineStr">
        <is>
          <t>Arshi Mahmood</t>
        </is>
      </c>
      <c r="N402" t="inlineStr">
        <is>
          <t>Hajizadeh Elnaz</t>
        </is>
      </c>
      <c r="O402" s="42" t="n">
        <v>45993.45334490741</v>
      </c>
      <c r="Q402" s="42" t="n">
        <v>45993.45334490741</v>
      </c>
      <c r="S402" t="n">
        <v>0</v>
      </c>
      <c r="T402" s="42" t="n">
        <v>45993.45334490741</v>
      </c>
      <c r="Z402" s="42" t="n">
        <v>45993.45334490741</v>
      </c>
      <c r="AA402" t="n">
        <v>0</v>
      </c>
      <c r="AD402" t="n">
        <v>2</v>
      </c>
      <c r="AE402" t="n">
        <v>2</v>
      </c>
      <c r="AF402" t="n">
        <v>0</v>
      </c>
      <c r="AI402" t="n">
        <v>0</v>
      </c>
      <c r="AJ402" t="n">
        <v>0</v>
      </c>
      <c r="AK402" t="n">
        <v>0</v>
      </c>
      <c r="AL402" t="n">
        <v>0</v>
      </c>
      <c r="AN402" t="n">
        <v>0</v>
      </c>
      <c r="AO402" t="n">
        <v>0</v>
      </c>
      <c r="AP402" t="n">
        <v>0</v>
      </c>
      <c r="AQ402" t="n">
        <v>24</v>
      </c>
      <c r="AR402" t="n">
        <v>0</v>
      </c>
    </row>
    <row r="403">
      <c r="A403" t="n">
        <v>199031</v>
      </c>
      <c r="B403" t="inlineStr">
        <is>
          <t xml:space="preserve">امکان بررسی نقشه تفکیکی توسط نقشه بردار بدون درج توضیحات لغو بازدید </t>
        </is>
      </c>
      <c r="D403" t="inlineStr">
        <is>
          <t>Medium</t>
        </is>
      </c>
      <c r="E403" t="n">
        <v>2</v>
      </c>
      <c r="F403" t="inlineStr">
        <is>
          <t>Closed</t>
        </is>
      </c>
      <c r="G403" t="inlineStr">
        <is>
          <t>Other</t>
        </is>
      </c>
      <c r="I403" t="inlineStr">
        <is>
          <t>Bizagi_Team</t>
        </is>
      </c>
      <c r="J403" t="inlineStr">
        <is>
          <t>SAJAK</t>
        </is>
      </c>
      <c r="K403" t="inlineStr">
        <is>
          <t>Estate_Sprint 45</t>
        </is>
      </c>
      <c r="M403" t="inlineStr">
        <is>
          <t>Tedadi Abbas</t>
        </is>
      </c>
      <c r="N403" t="inlineStr">
        <is>
          <t>Erfani Alireza</t>
        </is>
      </c>
      <c r="O403" s="42" t="n">
        <v>45997.64591435185</v>
      </c>
      <c r="Q403" s="42" t="n">
        <v>45997.64591435185</v>
      </c>
      <c r="S403" t="n">
        <v>0</v>
      </c>
      <c r="T403" s="42" t="n">
        <v>45997.64591435185</v>
      </c>
      <c r="Z403" s="42" t="n">
        <v>45997.64591435185</v>
      </c>
      <c r="AA403" t="n">
        <v>0</v>
      </c>
      <c r="AD403" t="n">
        <v>2</v>
      </c>
      <c r="AE403" t="n">
        <v>2</v>
      </c>
      <c r="AF403" t="n">
        <v>0</v>
      </c>
      <c r="AI403" t="n">
        <v>0</v>
      </c>
      <c r="AJ403" t="n">
        <v>0</v>
      </c>
      <c r="AK403" t="n">
        <v>0</v>
      </c>
      <c r="AL403" t="n">
        <v>0</v>
      </c>
      <c r="AN403" t="n">
        <v>0</v>
      </c>
      <c r="AO403" t="n">
        <v>0</v>
      </c>
      <c r="AP403" t="n">
        <v>0</v>
      </c>
      <c r="AQ403" t="n">
        <v>24</v>
      </c>
      <c r="AR403" t="n">
        <v>0</v>
      </c>
    </row>
    <row r="404">
      <c r="A404" t="n">
        <v>199078</v>
      </c>
      <c r="B404" t="inlineStr">
        <is>
          <t>خطای 401 حین کار با پروژه</t>
        </is>
      </c>
      <c r="D404" t="inlineStr">
        <is>
          <t>Medium</t>
        </is>
      </c>
      <c r="E404" t="n">
        <v>2</v>
      </c>
      <c r="F404" t="inlineStr">
        <is>
          <t>Approved</t>
        </is>
      </c>
      <c r="G404" t="inlineStr">
        <is>
          <t>Other</t>
        </is>
      </c>
      <c r="J404" t="inlineStr">
        <is>
          <t>Infrastructure Bizagi Extension</t>
        </is>
      </c>
      <c r="K404" t="inlineStr">
        <is>
          <t>SP_88</t>
        </is>
      </c>
      <c r="M404" t="inlineStr">
        <is>
          <t>Faraji Reza</t>
        </is>
      </c>
      <c r="Q404" s="42" t="n">
        <v>45999.4128125</v>
      </c>
      <c r="S404" t="n">
        <v>0</v>
      </c>
      <c r="T404" s="42" t="n">
        <v>45999.4128125</v>
      </c>
      <c r="AA404" t="n">
        <v>0</v>
      </c>
      <c r="AD404" t="n">
        <v>2</v>
      </c>
      <c r="AE404" t="n">
        <v>2</v>
      </c>
      <c r="AF404" t="n">
        <v>0</v>
      </c>
      <c r="AI404" t="n">
        <v>0</v>
      </c>
      <c r="AJ404" t="n">
        <v>0</v>
      </c>
      <c r="AN404" t="n">
        <v>0</v>
      </c>
      <c r="AO404" t="n">
        <v>0</v>
      </c>
      <c r="AP404" t="n">
        <v>0</v>
      </c>
      <c r="AQ404" t="n">
        <v>24</v>
      </c>
      <c r="AR404" t="n">
        <v>0</v>
      </c>
    </row>
    <row r="405">
      <c r="A405" t="n">
        <v>199082</v>
      </c>
      <c r="B405" t="inlineStr">
        <is>
          <t>مشکل ظاهری در نمایش اطلاعات باجه</t>
        </is>
      </c>
      <c r="D405" t="inlineStr">
        <is>
          <t>Medium</t>
        </is>
      </c>
      <c r="E405" t="n">
        <v>3</v>
      </c>
      <c r="F405" t="inlineStr">
        <is>
          <t>Closed</t>
        </is>
      </c>
      <c r="G405" t="inlineStr">
        <is>
          <t>Other</t>
        </is>
      </c>
      <c r="J405" t="inlineStr">
        <is>
          <t>Post Bank</t>
        </is>
      </c>
      <c r="K405" t="inlineStr">
        <is>
          <t>Sprint 20</t>
        </is>
      </c>
      <c r="L405" t="inlineStr">
        <is>
          <t>Won't Fix</t>
        </is>
      </c>
      <c r="M405" t="inlineStr">
        <is>
          <t>Arshi Mahmood</t>
        </is>
      </c>
      <c r="N405" t="inlineStr">
        <is>
          <t>Mohseni Hadise</t>
        </is>
      </c>
      <c r="O405" s="42" t="n">
        <v>46007.41789351852</v>
      </c>
      <c r="Q405" s="42" t="n">
        <v>46007.41789351852</v>
      </c>
      <c r="S405" t="n">
        <v>0</v>
      </c>
      <c r="T405" s="42" t="n">
        <v>46007.41789351852</v>
      </c>
      <c r="Z405" s="42" t="n">
        <v>46007.41789351852</v>
      </c>
      <c r="AA405" t="n">
        <v>0</v>
      </c>
      <c r="AD405" t="n">
        <v>2</v>
      </c>
      <c r="AE405" t="n">
        <v>2</v>
      </c>
      <c r="AF405" t="n">
        <v>0</v>
      </c>
      <c r="AI405" t="n">
        <v>0</v>
      </c>
      <c r="AJ405" t="n">
        <v>0</v>
      </c>
      <c r="AK405" t="n">
        <v>0</v>
      </c>
      <c r="AL405" t="n">
        <v>0</v>
      </c>
      <c r="AN405" t="n">
        <v>0</v>
      </c>
      <c r="AO405" t="n">
        <v>0</v>
      </c>
      <c r="AP405" t="n">
        <v>0</v>
      </c>
      <c r="AQ405" t="n">
        <v>24</v>
      </c>
      <c r="AR405" t="n">
        <v>0</v>
      </c>
    </row>
    <row r="406">
      <c r="A406" t="n">
        <v>199085</v>
      </c>
      <c r="B406" t="inlineStr">
        <is>
          <t>امضا نفرسوم کمیته اداره کل ، پیغام خطا می دهد</t>
        </is>
      </c>
      <c r="D406" t="inlineStr">
        <is>
          <t>Medium</t>
        </is>
      </c>
      <c r="E406" t="n">
        <v>1</v>
      </c>
      <c r="F406" t="inlineStr">
        <is>
          <t>Closed</t>
        </is>
      </c>
      <c r="G406" t="inlineStr">
        <is>
          <t>Other</t>
        </is>
      </c>
      <c r="J406" t="inlineStr">
        <is>
          <t>Dem</t>
        </is>
      </c>
      <c r="K406" t="inlineStr">
        <is>
          <t>DemBiz</t>
        </is>
      </c>
      <c r="M406" t="inlineStr">
        <is>
          <t>Moradi Mohammad</t>
        </is>
      </c>
      <c r="N406" t="inlineStr">
        <is>
          <t>Hajizadeh Elnaz</t>
        </is>
      </c>
      <c r="O406" s="42" t="n">
        <v>45993.50912037037</v>
      </c>
      <c r="Q406" s="42" t="n">
        <v>45993.50912037037</v>
      </c>
      <c r="S406" t="n">
        <v>0</v>
      </c>
      <c r="T406" s="42" t="n">
        <v>45993.50912037037</v>
      </c>
      <c r="Z406" s="42" t="n">
        <v>45993.50912037037</v>
      </c>
      <c r="AA406" t="n">
        <v>0</v>
      </c>
      <c r="AD406" t="n">
        <v>2</v>
      </c>
      <c r="AE406" t="n">
        <v>2</v>
      </c>
      <c r="AF406" t="n">
        <v>0</v>
      </c>
      <c r="AI406" t="n">
        <v>0</v>
      </c>
      <c r="AJ406" t="n">
        <v>0</v>
      </c>
      <c r="AK406" t="n">
        <v>0</v>
      </c>
      <c r="AL406" t="n">
        <v>0</v>
      </c>
      <c r="AN406" t="n">
        <v>0</v>
      </c>
      <c r="AO406" t="n">
        <v>0</v>
      </c>
      <c r="AP406" t="n">
        <v>0</v>
      </c>
      <c r="AQ406" t="n">
        <v>24</v>
      </c>
      <c r="AR406" t="n">
        <v>0</v>
      </c>
    </row>
    <row r="407">
      <c r="A407" t="n">
        <v>196941</v>
      </c>
      <c r="B407" t="inlineStr">
        <is>
          <t xml:space="preserve">با کلیک بر محاسبه سرمایه مشارکت در فرم، مبالغ جزییات مشارکت مدنی 0 می شود </t>
        </is>
      </c>
      <c r="D407" t="inlineStr">
        <is>
          <t>Medium</t>
        </is>
      </c>
      <c r="E407" t="n">
        <v>1</v>
      </c>
      <c r="F407" t="inlineStr">
        <is>
          <t>Closed</t>
        </is>
      </c>
      <c r="G407" t="inlineStr">
        <is>
          <t>Other</t>
        </is>
      </c>
      <c r="J407" t="inlineStr">
        <is>
          <t>Dem</t>
        </is>
      </c>
      <c r="K407" t="inlineStr">
        <is>
          <t>DemBiz</t>
        </is>
      </c>
      <c r="M407" t="inlineStr">
        <is>
          <t>Moradi Mohammad</t>
        </is>
      </c>
      <c r="N407" t="inlineStr">
        <is>
          <t>Hajizadeh Elnaz</t>
        </is>
      </c>
      <c r="O407" s="42" t="n">
        <v>45984.47211805556</v>
      </c>
      <c r="Q407" s="42" t="n">
        <v>45984.47211805556</v>
      </c>
      <c r="S407" t="n">
        <v>0</v>
      </c>
      <c r="T407" s="42" t="n">
        <v>45984.47211805556</v>
      </c>
      <c r="Z407" s="42" t="n">
        <v>45984.47211805556</v>
      </c>
      <c r="AA407" t="n">
        <v>0</v>
      </c>
      <c r="AD407" t="n">
        <v>2</v>
      </c>
      <c r="AE407" t="n">
        <v>2</v>
      </c>
      <c r="AF407" t="n">
        <v>0</v>
      </c>
      <c r="AI407" t="n">
        <v>0</v>
      </c>
      <c r="AJ407" t="n">
        <v>0</v>
      </c>
      <c r="AK407" t="n">
        <v>0</v>
      </c>
      <c r="AL407" t="n">
        <v>0</v>
      </c>
      <c r="AN407" t="n">
        <v>0</v>
      </c>
      <c r="AO407" t="n">
        <v>0</v>
      </c>
      <c r="AP407" t="n">
        <v>0</v>
      </c>
      <c r="AQ407" t="n">
        <v>24</v>
      </c>
      <c r="AR407" t="n">
        <v>0</v>
      </c>
    </row>
    <row r="408">
      <c r="A408" t="n">
        <v>197006</v>
      </c>
      <c r="B408" t="inlineStr">
        <is>
          <t xml:space="preserve">بایگانی /باگ فیلترها در پاراف </t>
        </is>
      </c>
      <c r="D408" t="inlineStr">
        <is>
          <t>Medium</t>
        </is>
      </c>
      <c r="E408" t="n">
        <v>2</v>
      </c>
      <c r="F408" t="inlineStr">
        <is>
          <t>Ready for Retest</t>
        </is>
      </c>
      <c r="G408" t="inlineStr">
        <is>
          <t>Other</t>
        </is>
      </c>
      <c r="J408" t="inlineStr">
        <is>
          <t>Stagnant Archive</t>
        </is>
      </c>
      <c r="K408" t="inlineStr">
        <is>
          <t>Sp_23</t>
        </is>
      </c>
      <c r="M408" t="inlineStr">
        <is>
          <t>Jafari Saeed</t>
        </is>
      </c>
      <c r="Q408" s="42" t="n">
        <v>46015.65653935185</v>
      </c>
      <c r="S408" t="n">
        <v>0</v>
      </c>
      <c r="T408" s="42" t="n">
        <v>46015.65653935185</v>
      </c>
      <c r="AA408" t="n">
        <v>0</v>
      </c>
      <c r="AD408" t="n">
        <v>2</v>
      </c>
      <c r="AE408" t="n">
        <v>2</v>
      </c>
      <c r="AF408" t="n">
        <v>0</v>
      </c>
      <c r="AI408" t="n">
        <v>0</v>
      </c>
      <c r="AJ408" t="n">
        <v>0</v>
      </c>
      <c r="AN408" t="n">
        <v>0</v>
      </c>
      <c r="AO408" t="n">
        <v>0</v>
      </c>
      <c r="AP408" t="n">
        <v>0</v>
      </c>
      <c r="AQ408" t="n">
        <v>24</v>
      </c>
      <c r="AR408" t="n">
        <v>0</v>
      </c>
    </row>
    <row r="409">
      <c r="A409" t="n">
        <v>197007</v>
      </c>
      <c r="B409" t="inlineStr">
        <is>
          <t>وثائق درگیرید ، درخواست های غیر تسهیلاتی مصوب شده تکراری نمایش داده می شود</t>
        </is>
      </c>
      <c r="D409" t="inlineStr">
        <is>
          <t>Medium</t>
        </is>
      </c>
      <c r="E409" t="n">
        <v>1</v>
      </c>
      <c r="F409" t="inlineStr">
        <is>
          <t>Closed</t>
        </is>
      </c>
      <c r="G409" t="inlineStr">
        <is>
          <t>Other</t>
        </is>
      </c>
      <c r="J409" t="inlineStr">
        <is>
          <t>Dem</t>
        </is>
      </c>
      <c r="K409" t="inlineStr">
        <is>
          <t>DemBiz</t>
        </is>
      </c>
      <c r="M409" t="inlineStr">
        <is>
          <t>Hoseini Fatemeh</t>
        </is>
      </c>
      <c r="N409" t="inlineStr">
        <is>
          <t>Hajizadeh Elnaz</t>
        </is>
      </c>
      <c r="O409" s="42" t="n">
        <v>45984.52362268518</v>
      </c>
      <c r="Q409" s="42" t="n">
        <v>45984.52362268518</v>
      </c>
      <c r="S409" t="n">
        <v>0</v>
      </c>
      <c r="T409" s="42" t="n">
        <v>45984.52362268518</v>
      </c>
      <c r="Z409" s="42" t="n">
        <v>45984.52362268518</v>
      </c>
      <c r="AA409" t="n">
        <v>0</v>
      </c>
      <c r="AD409" t="n">
        <v>2</v>
      </c>
      <c r="AE409" t="n">
        <v>2</v>
      </c>
      <c r="AF409" t="n">
        <v>0</v>
      </c>
      <c r="AI409" t="n">
        <v>0</v>
      </c>
      <c r="AJ409" t="n">
        <v>0</v>
      </c>
      <c r="AK409" t="n">
        <v>0</v>
      </c>
      <c r="AL409" t="n">
        <v>0</v>
      </c>
      <c r="AN409" t="n">
        <v>0</v>
      </c>
      <c r="AO409" t="n">
        <v>0</v>
      </c>
      <c r="AP409" t="n">
        <v>0</v>
      </c>
      <c r="AQ409" t="n">
        <v>24</v>
      </c>
      <c r="AR409" t="n">
        <v>0</v>
      </c>
    </row>
    <row r="410">
      <c r="A410" t="n">
        <v>197008</v>
      </c>
      <c r="B410" t="inlineStr">
        <is>
          <t xml:space="preserve">بایگانی /باگ ادیت در پاراف </t>
        </is>
      </c>
      <c r="D410" t="inlineStr">
        <is>
          <t>Medium</t>
        </is>
      </c>
      <c r="E410" t="n">
        <v>2</v>
      </c>
      <c r="F410" t="inlineStr">
        <is>
          <t>Closed</t>
        </is>
      </c>
      <c r="G410" t="inlineStr">
        <is>
          <t>Other</t>
        </is>
      </c>
      <c r="J410" t="inlineStr">
        <is>
          <t>Stagnant Archive</t>
        </is>
      </c>
      <c r="K410" t="inlineStr">
        <is>
          <t>Sp_22</t>
        </is>
      </c>
      <c r="M410" t="inlineStr">
        <is>
          <t>Homayoun Mohammad</t>
        </is>
      </c>
      <c r="N410" t="inlineStr">
        <is>
          <t>Monfared Mobina</t>
        </is>
      </c>
      <c r="O410" s="42" t="n">
        <v>45998.5718287037</v>
      </c>
      <c r="Q410" s="42" t="n">
        <v>45998.5718287037</v>
      </c>
      <c r="S410" t="n">
        <v>0</v>
      </c>
      <c r="T410" s="42" t="n">
        <v>45998.5718287037</v>
      </c>
      <c r="Z410" s="42" t="n">
        <v>45998.5718287037</v>
      </c>
      <c r="AA410" t="n">
        <v>0</v>
      </c>
      <c r="AD410" t="n">
        <v>2</v>
      </c>
      <c r="AE410" t="n">
        <v>2</v>
      </c>
      <c r="AF410" t="n">
        <v>0</v>
      </c>
      <c r="AI410" t="n">
        <v>0</v>
      </c>
      <c r="AJ410" t="n">
        <v>0</v>
      </c>
      <c r="AK410" t="n">
        <v>0</v>
      </c>
      <c r="AL410" t="n">
        <v>0</v>
      </c>
      <c r="AN410" t="n">
        <v>0</v>
      </c>
      <c r="AO410" t="n">
        <v>0</v>
      </c>
      <c r="AP410" t="n">
        <v>0</v>
      </c>
      <c r="AQ410" t="n">
        <v>24</v>
      </c>
      <c r="AR410" t="n">
        <v>0</v>
      </c>
    </row>
    <row r="411">
      <c r="A411" t="n">
        <v>197023</v>
      </c>
      <c r="B411" t="inlineStr">
        <is>
          <t xml:space="preserve">بایگانی /تعیین مسئول  </t>
        </is>
      </c>
      <c r="D411" t="inlineStr">
        <is>
          <t>Medium</t>
        </is>
      </c>
      <c r="E411" t="n">
        <v>2</v>
      </c>
      <c r="F411" t="inlineStr">
        <is>
          <t>Closed</t>
        </is>
      </c>
      <c r="G411" t="inlineStr">
        <is>
          <t>Other</t>
        </is>
      </c>
      <c r="J411" t="inlineStr">
        <is>
          <t>Stagnant Archive</t>
        </is>
      </c>
      <c r="K411" t="inlineStr">
        <is>
          <t>Sp_22</t>
        </is>
      </c>
      <c r="L411" t="inlineStr">
        <is>
          <t>Completed</t>
        </is>
      </c>
      <c r="M411" t="inlineStr">
        <is>
          <t>Khodabakhsh Sadaf</t>
        </is>
      </c>
      <c r="N411" t="inlineStr">
        <is>
          <t>Khodabakhsh Sadaf</t>
        </is>
      </c>
      <c r="O411" s="42" t="n">
        <v>46015.81068287037</v>
      </c>
      <c r="Q411" s="42" t="n">
        <v>46015.81068287037</v>
      </c>
      <c r="S411" t="n">
        <v>0</v>
      </c>
      <c r="T411" s="42" t="n">
        <v>46015.81068287037</v>
      </c>
      <c r="Z411" s="42" t="n">
        <v>46015.81068287037</v>
      </c>
      <c r="AA411" t="n">
        <v>0</v>
      </c>
      <c r="AD411" t="n">
        <v>2</v>
      </c>
      <c r="AE411" t="n">
        <v>2</v>
      </c>
      <c r="AF411" t="n">
        <v>0</v>
      </c>
      <c r="AI411" t="n">
        <v>0</v>
      </c>
      <c r="AJ411" t="n">
        <v>0</v>
      </c>
      <c r="AK411" t="n">
        <v>0</v>
      </c>
      <c r="AL411" t="n">
        <v>0</v>
      </c>
      <c r="AN411" t="n">
        <v>0</v>
      </c>
      <c r="AO411" t="n">
        <v>0</v>
      </c>
      <c r="AP411" t="n">
        <v>0</v>
      </c>
      <c r="AQ411" t="n">
        <v>24</v>
      </c>
      <c r="AR411" t="n">
        <v>0</v>
      </c>
    </row>
    <row r="412">
      <c r="A412" t="n">
        <v>197024</v>
      </c>
      <c r="B412" t="inlineStr">
        <is>
          <t xml:space="preserve">بایگانی /باگ کنترل پاراف در نود کارشناس  </t>
        </is>
      </c>
      <c r="D412" t="inlineStr">
        <is>
          <t>Medium</t>
        </is>
      </c>
      <c r="E412" t="n">
        <v>2</v>
      </c>
      <c r="F412" t="inlineStr">
        <is>
          <t>Removed</t>
        </is>
      </c>
      <c r="G412" t="inlineStr">
        <is>
          <t>Other</t>
        </is>
      </c>
      <c r="J412" t="inlineStr">
        <is>
          <t>Stagnant Archive</t>
        </is>
      </c>
      <c r="K412" t="inlineStr">
        <is>
          <t>Sp_22</t>
        </is>
      </c>
      <c r="M412" t="inlineStr">
        <is>
          <t>Homayoun Mohammad</t>
        </is>
      </c>
      <c r="Q412" s="42" t="n">
        <v>45984.71719907408</v>
      </c>
      <c r="S412" t="n">
        <v>0</v>
      </c>
      <c r="T412" s="42" t="n">
        <v>45984.71719907408</v>
      </c>
      <c r="AA412" t="n">
        <v>0</v>
      </c>
      <c r="AD412" t="n">
        <v>2</v>
      </c>
      <c r="AE412" t="n">
        <v>2</v>
      </c>
      <c r="AF412" t="n">
        <v>0</v>
      </c>
      <c r="AI412" t="n">
        <v>0</v>
      </c>
      <c r="AJ412" t="n">
        <v>0</v>
      </c>
      <c r="AN412" t="n">
        <v>0</v>
      </c>
      <c r="AO412" t="n">
        <v>0</v>
      </c>
      <c r="AP412" t="n">
        <v>0</v>
      </c>
      <c r="AQ412" t="n">
        <v>24</v>
      </c>
      <c r="AR412" t="n">
        <v>0</v>
      </c>
    </row>
    <row r="413">
      <c r="A413" t="n">
        <v>197039</v>
      </c>
      <c r="B413" t="inlineStr">
        <is>
          <t>هشدار منقضی شدن قرار داد باجه بدون تمدید تاریخ قرار داد حذف میشود</t>
        </is>
      </c>
      <c r="D413" t="inlineStr">
        <is>
          <t>Medium</t>
        </is>
      </c>
      <c r="E413" t="n">
        <v>2</v>
      </c>
      <c r="F413" t="inlineStr">
        <is>
          <t>Open</t>
        </is>
      </c>
      <c r="G413" t="inlineStr">
        <is>
          <t>Other</t>
        </is>
      </c>
      <c r="J413" t="inlineStr">
        <is>
          <t>Post Bank</t>
        </is>
      </c>
      <c r="K413" t="inlineStr">
        <is>
          <t>Sprint 21</t>
        </is>
      </c>
      <c r="M413" t="inlineStr">
        <is>
          <t>Arshi Mahmood</t>
        </is>
      </c>
      <c r="Q413" s="42" t="n">
        <v>46008.70638888889</v>
      </c>
      <c r="S413" t="n">
        <v>0</v>
      </c>
      <c r="T413" s="42" t="n">
        <v>46008.70638888889</v>
      </c>
      <c r="AA413" t="n">
        <v>0</v>
      </c>
      <c r="AD413" t="n">
        <v>2</v>
      </c>
      <c r="AE413" t="n">
        <v>2</v>
      </c>
      <c r="AF413" t="n">
        <v>0</v>
      </c>
      <c r="AI413" t="n">
        <v>0</v>
      </c>
      <c r="AJ413" t="n">
        <v>0</v>
      </c>
      <c r="AM413" t="n">
        <v>9</v>
      </c>
      <c r="AN413" t="n">
        <v>0</v>
      </c>
      <c r="AO413" t="n">
        <v>0</v>
      </c>
      <c r="AP413" t="n">
        <v>0</v>
      </c>
      <c r="AQ413" t="n">
        <v>24</v>
      </c>
      <c r="AR413" t="n">
        <v>0</v>
      </c>
    </row>
    <row r="414">
      <c r="A414" t="n">
        <v>197042</v>
      </c>
      <c r="B414" t="inlineStr">
        <is>
          <t>بازیابی اسناد - عدم نیاز به کنترل ثبت حداقل یک پاراف در عودت از مرحله نمایش نتایج جستجو اسناد</t>
        </is>
      </c>
      <c r="D414" t="inlineStr">
        <is>
          <t>Medium</t>
        </is>
      </c>
      <c r="E414" t="n">
        <v>2</v>
      </c>
      <c r="F414" t="inlineStr">
        <is>
          <t>Closed</t>
        </is>
      </c>
      <c r="G414" t="inlineStr">
        <is>
          <t>Other</t>
        </is>
      </c>
      <c r="J414" t="inlineStr">
        <is>
          <t>Stagnant Archive</t>
        </is>
      </c>
      <c r="K414" t="inlineStr">
        <is>
          <t>Sp_22</t>
        </is>
      </c>
      <c r="M414" t="inlineStr">
        <is>
          <t>Homayoun Mohammad</t>
        </is>
      </c>
      <c r="N414" t="inlineStr">
        <is>
          <t>Monfared Mobina</t>
        </is>
      </c>
      <c r="O414" s="42" t="n">
        <v>45998.6593287037</v>
      </c>
      <c r="Q414" s="42" t="n">
        <v>45998.6593287037</v>
      </c>
      <c r="S414" t="n">
        <v>0</v>
      </c>
      <c r="T414" s="42" t="n">
        <v>45998.6593287037</v>
      </c>
      <c r="Z414" s="42" t="n">
        <v>45998.6593287037</v>
      </c>
      <c r="AA414" t="n">
        <v>0</v>
      </c>
      <c r="AD414" t="n">
        <v>2</v>
      </c>
      <c r="AE414" t="n">
        <v>2</v>
      </c>
      <c r="AF414" t="n">
        <v>0</v>
      </c>
      <c r="AI414" t="n">
        <v>0</v>
      </c>
      <c r="AJ414" t="n">
        <v>0</v>
      </c>
      <c r="AK414" t="n">
        <v>0</v>
      </c>
      <c r="AL414" t="n">
        <v>0</v>
      </c>
      <c r="AN414" t="n">
        <v>0</v>
      </c>
      <c r="AO414" t="n">
        <v>0</v>
      </c>
      <c r="AP414" t="n">
        <v>0</v>
      </c>
      <c r="AQ414" t="n">
        <v>24</v>
      </c>
      <c r="AR414" t="n">
        <v>0</v>
      </c>
    </row>
    <row r="415">
      <c r="A415" t="n">
        <v>197043</v>
      </c>
      <c r="B415" t="inlineStr">
        <is>
          <t>بایگانی اسناد - عودت صورتجلسه از مرحله ثبت اطلاعات کارتن به ثبت اطلاعات صورتجلسه</t>
        </is>
      </c>
      <c r="D415" t="inlineStr">
        <is>
          <t>Medium</t>
        </is>
      </c>
      <c r="E415" t="n">
        <v>2</v>
      </c>
      <c r="F415" t="inlineStr">
        <is>
          <t>Closed</t>
        </is>
      </c>
      <c r="G415" t="inlineStr">
        <is>
          <t>Other</t>
        </is>
      </c>
      <c r="J415" t="inlineStr">
        <is>
          <t>Stagnant Archive</t>
        </is>
      </c>
      <c r="K415" t="inlineStr">
        <is>
          <t>Sp_22</t>
        </is>
      </c>
      <c r="M415" t="inlineStr">
        <is>
          <t>Homayoun Mohammad</t>
        </is>
      </c>
      <c r="N415" t="inlineStr">
        <is>
          <t>Sharifi Shayan</t>
        </is>
      </c>
      <c r="O415" s="42" t="n">
        <v>45994.52799768518</v>
      </c>
      <c r="Q415" s="42" t="n">
        <v>45994.52799768518</v>
      </c>
      <c r="S415" t="n">
        <v>0</v>
      </c>
      <c r="T415" s="42" t="n">
        <v>45994.52799768518</v>
      </c>
      <c r="Z415" s="42" t="n">
        <v>45994.52799768518</v>
      </c>
      <c r="AA415" t="n">
        <v>0</v>
      </c>
      <c r="AD415" t="n">
        <v>2</v>
      </c>
      <c r="AE415" t="n">
        <v>2</v>
      </c>
      <c r="AF415" t="n">
        <v>0</v>
      </c>
      <c r="AI415" t="n">
        <v>0</v>
      </c>
      <c r="AJ415" t="n">
        <v>0</v>
      </c>
      <c r="AK415" t="n">
        <v>0</v>
      </c>
      <c r="AL415" t="n">
        <v>0</v>
      </c>
      <c r="AN415" t="n">
        <v>0</v>
      </c>
      <c r="AO415" t="n">
        <v>0</v>
      </c>
      <c r="AP415" t="n">
        <v>0</v>
      </c>
      <c r="AQ415" t="n">
        <v>24</v>
      </c>
      <c r="AR415" t="n">
        <v>0</v>
      </c>
    </row>
    <row r="416">
      <c r="A416" t="n">
        <v>197061</v>
      </c>
      <c r="B416" t="inlineStr">
        <is>
          <t xml:space="preserve">08/26 اطلاعات اجباری در فرم تکمیل اطلاعات ، تکراری نمایش داده می شود </t>
        </is>
      </c>
      <c r="D416" t="inlineStr">
        <is>
          <t>Medium</t>
        </is>
      </c>
      <c r="E416" t="n">
        <v>2</v>
      </c>
      <c r="F416" t="inlineStr">
        <is>
          <t>Closed</t>
        </is>
      </c>
      <c r="G416" t="inlineStr">
        <is>
          <t>Other</t>
        </is>
      </c>
      <c r="J416" t="inlineStr">
        <is>
          <t>Dem</t>
        </is>
      </c>
      <c r="K416" t="inlineStr">
        <is>
          <t>DemBiz</t>
        </is>
      </c>
      <c r="M416" t="inlineStr">
        <is>
          <t>Hoseini Fatemeh</t>
        </is>
      </c>
      <c r="N416" t="inlineStr">
        <is>
          <t>Hajizadeh Elnaz</t>
        </is>
      </c>
      <c r="O416" s="42" t="n">
        <v>45984.70537037037</v>
      </c>
      <c r="Q416" s="42" t="n">
        <v>45984.70537037037</v>
      </c>
      <c r="S416" t="n">
        <v>0</v>
      </c>
      <c r="T416" s="42" t="n">
        <v>45984.70537037037</v>
      </c>
      <c r="Z416" s="42" t="n">
        <v>45984.70537037037</v>
      </c>
      <c r="AA416" t="n">
        <v>0</v>
      </c>
      <c r="AD416" t="n">
        <v>2</v>
      </c>
      <c r="AE416" t="n">
        <v>2</v>
      </c>
      <c r="AF416" t="n">
        <v>0</v>
      </c>
      <c r="AI416" t="n">
        <v>0</v>
      </c>
      <c r="AJ416" t="n">
        <v>0</v>
      </c>
      <c r="AK416" t="n">
        <v>0</v>
      </c>
      <c r="AL416" t="n">
        <v>0</v>
      </c>
      <c r="AN416" t="n">
        <v>0</v>
      </c>
      <c r="AO416" t="n">
        <v>0</v>
      </c>
      <c r="AP416" t="n">
        <v>0</v>
      </c>
      <c r="AQ416" t="n">
        <v>24</v>
      </c>
      <c r="AR416" t="n">
        <v>0</v>
      </c>
    </row>
    <row r="417">
      <c r="A417" t="n">
        <v>197080</v>
      </c>
      <c r="B417" t="inlineStr">
        <is>
          <t>تنظیمات ستون ریسپانسیو نیست / nfwdem</t>
        </is>
      </c>
      <c r="D417" t="inlineStr">
        <is>
          <t>Medium</t>
        </is>
      </c>
      <c r="E417" t="n">
        <v>2</v>
      </c>
      <c r="F417" t="inlineStr">
        <is>
          <t>Closed</t>
        </is>
      </c>
      <c r="G417" t="inlineStr">
        <is>
          <t>Other</t>
        </is>
      </c>
      <c r="J417" t="inlineStr">
        <is>
          <t>Infrastructure Bizagi Extension</t>
        </is>
      </c>
      <c r="K417" t="inlineStr">
        <is>
          <t>SP_88</t>
        </is>
      </c>
      <c r="M417" t="inlineStr">
        <is>
          <t>Parvaz Maryam</t>
        </is>
      </c>
      <c r="N417" t="inlineStr">
        <is>
          <t>Parvaz Maryam</t>
        </is>
      </c>
      <c r="O417" s="42" t="n">
        <v>45998.37858796296</v>
      </c>
      <c r="Q417" s="42" t="n">
        <v>45998.37858796296</v>
      </c>
      <c r="S417" t="n">
        <v>0</v>
      </c>
      <c r="T417" s="42" t="n">
        <v>45998.37858796296</v>
      </c>
      <c r="Z417" s="42" t="n">
        <v>45998.37858796296</v>
      </c>
      <c r="AA417" t="n">
        <v>0</v>
      </c>
      <c r="AD417" t="n">
        <v>2</v>
      </c>
      <c r="AE417" t="n">
        <v>2</v>
      </c>
      <c r="AF417" t="n">
        <v>0</v>
      </c>
      <c r="AI417" t="n">
        <v>0</v>
      </c>
      <c r="AJ417" t="n">
        <v>0</v>
      </c>
      <c r="AK417" t="n">
        <v>0</v>
      </c>
      <c r="AL417" t="n">
        <v>0</v>
      </c>
      <c r="AN417" t="n">
        <v>0</v>
      </c>
      <c r="AO417" t="n">
        <v>0</v>
      </c>
      <c r="AP417" t="n">
        <v>0</v>
      </c>
      <c r="AQ417" t="n">
        <v>24</v>
      </c>
      <c r="AR417" t="n">
        <v>0</v>
      </c>
    </row>
    <row r="418">
      <c r="A418" t="n">
        <v>197098</v>
      </c>
      <c r="B418" t="inlineStr">
        <is>
          <t xml:space="preserve"> 26/08کپی نشدن ردیف اول، جدول جزییات مشارکت مدنی در درخواست های مصوب شده غیر تسهیلاتی </t>
        </is>
      </c>
      <c r="D418" t="inlineStr">
        <is>
          <t>Medium</t>
        </is>
      </c>
      <c r="E418" t="n">
        <v>1</v>
      </c>
      <c r="F418" t="inlineStr">
        <is>
          <t>Closed</t>
        </is>
      </c>
      <c r="G418" t="inlineStr">
        <is>
          <t>Other</t>
        </is>
      </c>
      <c r="J418" t="inlineStr">
        <is>
          <t>Dem</t>
        </is>
      </c>
      <c r="K418" t="inlineStr">
        <is>
          <t>DemBiz</t>
        </is>
      </c>
      <c r="M418" t="inlineStr">
        <is>
          <t>Arshi Mahmood</t>
        </is>
      </c>
      <c r="N418" t="inlineStr">
        <is>
          <t>Hajizadeh Elnaz</t>
        </is>
      </c>
      <c r="O418" s="42" t="n">
        <v>45986.51037037037</v>
      </c>
      <c r="Q418" s="42" t="n">
        <v>45986.51037037037</v>
      </c>
      <c r="S418" t="n">
        <v>0</v>
      </c>
      <c r="T418" s="42" t="n">
        <v>45986.51037037037</v>
      </c>
      <c r="Z418" s="42" t="n">
        <v>45986.51037037037</v>
      </c>
      <c r="AA418" t="n">
        <v>0</v>
      </c>
      <c r="AD418" t="n">
        <v>2</v>
      </c>
      <c r="AE418" t="n">
        <v>2</v>
      </c>
      <c r="AF418" t="n">
        <v>0</v>
      </c>
      <c r="AI418" t="n">
        <v>0</v>
      </c>
      <c r="AJ418" t="n">
        <v>0</v>
      </c>
      <c r="AK418" t="n">
        <v>0</v>
      </c>
      <c r="AL418" t="n">
        <v>0</v>
      </c>
      <c r="AN418" t="n">
        <v>0</v>
      </c>
      <c r="AO418" t="n">
        <v>0</v>
      </c>
      <c r="AP418" t="n">
        <v>0</v>
      </c>
      <c r="AQ418" t="n">
        <v>24</v>
      </c>
      <c r="AR418" t="n">
        <v>0</v>
      </c>
    </row>
    <row r="419">
      <c r="A419" t="n">
        <v>197102</v>
      </c>
      <c r="B419" t="inlineStr">
        <is>
          <t>با زدن تیک شناور در فرم ثبت درخواست پیغام خطا تغییر می کند   26/08</t>
        </is>
      </c>
      <c r="D419" t="inlineStr">
        <is>
          <t>Medium</t>
        </is>
      </c>
      <c r="E419" t="n">
        <v>1</v>
      </c>
      <c r="F419" t="inlineStr">
        <is>
          <t>Closed</t>
        </is>
      </c>
      <c r="G419" t="inlineStr">
        <is>
          <t>Other</t>
        </is>
      </c>
      <c r="J419" t="inlineStr">
        <is>
          <t>Dem</t>
        </is>
      </c>
      <c r="K419" t="inlineStr">
        <is>
          <t>DemBiz</t>
        </is>
      </c>
      <c r="M419" t="inlineStr">
        <is>
          <t>Arshi Mahmood</t>
        </is>
      </c>
      <c r="N419" t="inlineStr">
        <is>
          <t>Hajizadeh Elnaz</t>
        </is>
      </c>
      <c r="O419" s="42" t="n">
        <v>45992.49560185185</v>
      </c>
      <c r="Q419" s="42" t="n">
        <v>45992.49560185185</v>
      </c>
      <c r="S419" t="n">
        <v>0</v>
      </c>
      <c r="T419" s="42" t="n">
        <v>45992.49560185185</v>
      </c>
      <c r="Z419" s="42" t="n">
        <v>45992.49560185185</v>
      </c>
      <c r="AA419" t="n">
        <v>0</v>
      </c>
      <c r="AD419" t="n">
        <v>2</v>
      </c>
      <c r="AE419" t="n">
        <v>2</v>
      </c>
      <c r="AF419" t="n">
        <v>0</v>
      </c>
      <c r="AI419" t="n">
        <v>0</v>
      </c>
      <c r="AJ419" t="n">
        <v>0</v>
      </c>
      <c r="AK419" t="n">
        <v>0</v>
      </c>
      <c r="AL419" t="n">
        <v>0</v>
      </c>
      <c r="AN419" t="n">
        <v>0</v>
      </c>
      <c r="AO419" t="n">
        <v>0</v>
      </c>
      <c r="AP419" t="n">
        <v>0</v>
      </c>
      <c r="AQ419" t="n">
        <v>24</v>
      </c>
      <c r="AR419" t="n">
        <v>0</v>
      </c>
    </row>
    <row r="420">
      <c r="A420" t="n">
        <v>197104</v>
      </c>
      <c r="B420" t="inlineStr">
        <is>
          <t>لینک اخرین مدیران ،گزینه + ، فرم ثبت مدیر  ، با خطا 500 باز می شود  26/08</t>
        </is>
      </c>
      <c r="D420" t="inlineStr">
        <is>
          <t>Medium</t>
        </is>
      </c>
      <c r="E420" t="n">
        <v>2</v>
      </c>
      <c r="F420" t="inlineStr">
        <is>
          <t>Closed</t>
        </is>
      </c>
      <c r="G420" t="inlineStr">
        <is>
          <t>Other</t>
        </is>
      </c>
      <c r="J420" t="inlineStr">
        <is>
          <t>Dem</t>
        </is>
      </c>
      <c r="K420" t="inlineStr">
        <is>
          <t>DemBiz</t>
        </is>
      </c>
      <c r="M420" t="inlineStr">
        <is>
          <t>Hoseini Fatemeh</t>
        </is>
      </c>
      <c r="N420" t="inlineStr">
        <is>
          <t>Baniamer Shaghayegh</t>
        </is>
      </c>
      <c r="O420" s="42" t="n">
        <v>45984.7219675926</v>
      </c>
      <c r="Q420" s="42" t="n">
        <v>45984.7219675926</v>
      </c>
      <c r="S420" t="n">
        <v>0</v>
      </c>
      <c r="T420" s="42" t="n">
        <v>45984.7219675926</v>
      </c>
      <c r="Z420" s="42" t="n">
        <v>45984.7219675926</v>
      </c>
      <c r="AA420" t="n">
        <v>0</v>
      </c>
      <c r="AD420" t="n">
        <v>2</v>
      </c>
      <c r="AE420" t="n">
        <v>2</v>
      </c>
      <c r="AF420" t="n">
        <v>0</v>
      </c>
      <c r="AI420" t="n">
        <v>0</v>
      </c>
      <c r="AJ420" t="n">
        <v>0</v>
      </c>
      <c r="AK420" t="n">
        <v>0</v>
      </c>
      <c r="AL420" t="n">
        <v>0</v>
      </c>
      <c r="AN420" t="n">
        <v>0</v>
      </c>
      <c r="AO420" t="n">
        <v>0</v>
      </c>
      <c r="AP420" t="n">
        <v>0</v>
      </c>
      <c r="AQ420" t="n">
        <v>24</v>
      </c>
      <c r="AR420" t="n">
        <v>0</v>
      </c>
    </row>
    <row r="421">
      <c r="A421" t="n">
        <v>197109</v>
      </c>
      <c r="B421" t="inlineStr">
        <is>
          <t>تایتل فرم نمایش درخواست ، در استپ  مشاهده نتیجه کمیته  باگ دارد26/08</t>
        </is>
      </c>
      <c r="D421" t="inlineStr">
        <is>
          <t>Medium</t>
        </is>
      </c>
      <c r="E421" t="n">
        <v>2</v>
      </c>
      <c r="F421" t="inlineStr">
        <is>
          <t>Closed</t>
        </is>
      </c>
      <c r="G421" t="inlineStr">
        <is>
          <t>Other</t>
        </is>
      </c>
      <c r="J421" t="inlineStr">
        <is>
          <t>Dem</t>
        </is>
      </c>
      <c r="K421" t="inlineStr">
        <is>
          <t>DemBiz</t>
        </is>
      </c>
      <c r="M421" t="inlineStr">
        <is>
          <t>Arshi Mahmood</t>
        </is>
      </c>
      <c r="N421" t="inlineStr">
        <is>
          <t>Hajizadeh Elnaz</t>
        </is>
      </c>
      <c r="O421" s="42" t="n">
        <v>45986.45542824074</v>
      </c>
      <c r="Q421" s="42" t="n">
        <v>45986.45542824074</v>
      </c>
      <c r="S421" t="n">
        <v>0</v>
      </c>
      <c r="T421" s="42" t="n">
        <v>45986.45542824074</v>
      </c>
      <c r="Z421" s="42" t="n">
        <v>45986.45542824074</v>
      </c>
      <c r="AA421" t="n">
        <v>0</v>
      </c>
      <c r="AD421" t="n">
        <v>2</v>
      </c>
      <c r="AE421" t="n">
        <v>2</v>
      </c>
      <c r="AF421" t="n">
        <v>0</v>
      </c>
      <c r="AI421" t="n">
        <v>0</v>
      </c>
      <c r="AJ421" t="n">
        <v>0</v>
      </c>
      <c r="AK421" t="n">
        <v>0</v>
      </c>
      <c r="AL421" t="n">
        <v>0</v>
      </c>
      <c r="AN421" t="n">
        <v>0</v>
      </c>
      <c r="AO421" t="n">
        <v>0</v>
      </c>
      <c r="AP421" t="n">
        <v>0</v>
      </c>
      <c r="AQ421" t="n">
        <v>24</v>
      </c>
      <c r="AR421" t="n">
        <v>0</v>
      </c>
    </row>
    <row r="422">
      <c r="A422" t="n">
        <v>197110</v>
      </c>
      <c r="B422" t="inlineStr">
        <is>
          <t>گیرید  مدت حدو سقف در فرم نمایش درخواست خالی نمایش داده می شود  26/08</t>
        </is>
      </c>
      <c r="D422" t="inlineStr">
        <is>
          <t>Medium</t>
        </is>
      </c>
      <c r="E422" t="n">
        <v>2</v>
      </c>
      <c r="F422" t="inlineStr">
        <is>
          <t>Closed</t>
        </is>
      </c>
      <c r="G422" t="inlineStr">
        <is>
          <t>Other</t>
        </is>
      </c>
      <c r="J422" t="inlineStr">
        <is>
          <t>Dem</t>
        </is>
      </c>
      <c r="K422" t="inlineStr">
        <is>
          <t>DemBiz</t>
        </is>
      </c>
      <c r="M422" t="inlineStr">
        <is>
          <t>Moradi Mohammad</t>
        </is>
      </c>
      <c r="N422" t="inlineStr">
        <is>
          <t>Hajizadeh Elnaz</t>
        </is>
      </c>
      <c r="O422" s="42" t="n">
        <v>45986.3934375</v>
      </c>
      <c r="Q422" s="42" t="n">
        <v>45986.3934375</v>
      </c>
      <c r="S422" t="n">
        <v>0</v>
      </c>
      <c r="T422" s="42" t="n">
        <v>45986.3934375</v>
      </c>
      <c r="Z422" s="42" t="n">
        <v>45986.3934375</v>
      </c>
      <c r="AA422" t="n">
        <v>0</v>
      </c>
      <c r="AD422" t="n">
        <v>2</v>
      </c>
      <c r="AE422" t="n">
        <v>2</v>
      </c>
      <c r="AF422" t="n">
        <v>0</v>
      </c>
      <c r="AI422" t="n">
        <v>0</v>
      </c>
      <c r="AJ422" t="n">
        <v>0</v>
      </c>
      <c r="AK422" t="n">
        <v>0</v>
      </c>
      <c r="AL422" t="n">
        <v>0</v>
      </c>
      <c r="AN422" t="n">
        <v>0</v>
      </c>
      <c r="AO422" t="n">
        <v>0</v>
      </c>
      <c r="AP422" t="n">
        <v>0</v>
      </c>
      <c r="AQ422" t="n">
        <v>24</v>
      </c>
      <c r="AR422" t="n">
        <v>0</v>
      </c>
    </row>
    <row r="423">
      <c r="A423" t="n">
        <v>197112</v>
      </c>
      <c r="B423" t="inlineStr">
        <is>
          <t>دکمه تایید و ادامه در فرم ثبت ابلاغیه پیغام خطا می دهد 26 /08</t>
        </is>
      </c>
      <c r="D423" t="inlineStr">
        <is>
          <t>Medium</t>
        </is>
      </c>
      <c r="E423" t="n">
        <v>1</v>
      </c>
      <c r="F423" t="inlineStr">
        <is>
          <t>Closed</t>
        </is>
      </c>
      <c r="G423" t="inlineStr">
        <is>
          <t>Other</t>
        </is>
      </c>
      <c r="J423" t="inlineStr">
        <is>
          <t>Dem</t>
        </is>
      </c>
      <c r="K423" t="inlineStr">
        <is>
          <t>DemBiz</t>
        </is>
      </c>
      <c r="M423" t="inlineStr">
        <is>
          <t>Javanmardi Mojan</t>
        </is>
      </c>
      <c r="N423" t="inlineStr">
        <is>
          <t>Hajizadeh Elnaz</t>
        </is>
      </c>
      <c r="O423" s="42" t="n">
        <v>45991.69237268518</v>
      </c>
      <c r="Q423" s="42" t="n">
        <v>45991.69237268518</v>
      </c>
      <c r="S423" t="n">
        <v>0</v>
      </c>
      <c r="T423" s="42" t="n">
        <v>45991.69237268518</v>
      </c>
      <c r="Z423" s="42" t="n">
        <v>45991.69237268518</v>
      </c>
      <c r="AA423" t="n">
        <v>0</v>
      </c>
      <c r="AD423" t="n">
        <v>2</v>
      </c>
      <c r="AE423" t="n">
        <v>2</v>
      </c>
      <c r="AF423" t="n">
        <v>0</v>
      </c>
      <c r="AI423" t="n">
        <v>0</v>
      </c>
      <c r="AJ423" t="n">
        <v>0</v>
      </c>
      <c r="AK423" t="n">
        <v>0</v>
      </c>
      <c r="AL423" t="n">
        <v>0</v>
      </c>
      <c r="AN423" t="n">
        <v>0</v>
      </c>
      <c r="AO423" t="n">
        <v>0</v>
      </c>
      <c r="AP423" t="n">
        <v>0</v>
      </c>
      <c r="AQ423" t="n">
        <v>24</v>
      </c>
      <c r="AR423" t="n">
        <v>0</v>
      </c>
    </row>
    <row r="424">
      <c r="A424" t="n">
        <v>197120</v>
      </c>
      <c r="B424" t="inlineStr">
        <is>
          <t>پنل وثائق از فرم  جزییات عقود حدو سقف حذف شود26/08</t>
        </is>
      </c>
      <c r="D424" t="inlineStr">
        <is>
          <t>Medium</t>
        </is>
      </c>
      <c r="E424" t="n">
        <v>2</v>
      </c>
      <c r="F424" t="inlineStr">
        <is>
          <t>Closed</t>
        </is>
      </c>
      <c r="G424" t="inlineStr">
        <is>
          <t>Other</t>
        </is>
      </c>
      <c r="J424" t="inlineStr">
        <is>
          <t>Dem</t>
        </is>
      </c>
      <c r="K424" t="inlineStr">
        <is>
          <t>DemBiz</t>
        </is>
      </c>
      <c r="M424" t="inlineStr">
        <is>
          <t>Hoseini Fatemeh</t>
        </is>
      </c>
      <c r="N424" t="inlineStr">
        <is>
          <t>Hajizadeh Elnaz</t>
        </is>
      </c>
      <c r="O424" s="42" t="n">
        <v>45984.71797453704</v>
      </c>
      <c r="Q424" s="42" t="n">
        <v>45984.71797453704</v>
      </c>
      <c r="S424" t="n">
        <v>0</v>
      </c>
      <c r="T424" s="42" t="n">
        <v>45984.71797453704</v>
      </c>
      <c r="Z424" s="42" t="n">
        <v>45984.71797453704</v>
      </c>
      <c r="AA424" t="n">
        <v>0</v>
      </c>
      <c r="AD424" t="n">
        <v>2</v>
      </c>
      <c r="AE424" t="n">
        <v>2</v>
      </c>
      <c r="AF424" t="n">
        <v>0</v>
      </c>
      <c r="AI424" t="n">
        <v>0</v>
      </c>
      <c r="AJ424" t="n">
        <v>0</v>
      </c>
      <c r="AK424" t="n">
        <v>0</v>
      </c>
      <c r="AL424" t="n">
        <v>0</v>
      </c>
      <c r="AN424" t="n">
        <v>0</v>
      </c>
      <c r="AO424" t="n">
        <v>0</v>
      </c>
      <c r="AP424" t="n">
        <v>0</v>
      </c>
      <c r="AQ424" t="n">
        <v>24</v>
      </c>
      <c r="AR424" t="n">
        <v>0</v>
      </c>
    </row>
    <row r="425">
      <c r="A425" t="n">
        <v>197131</v>
      </c>
      <c r="B425" t="inlineStr">
        <is>
          <t>عدم نکست سند  شدن سند از فرم ورود  اطلاعات پیشنهاد شعبه و فر م انتخاب کارشناس 26/08</t>
        </is>
      </c>
      <c r="D425" t="inlineStr">
        <is>
          <t>Medium</t>
        </is>
      </c>
      <c r="E425" t="n">
        <v>1</v>
      </c>
      <c r="F425" t="inlineStr">
        <is>
          <t>Closed</t>
        </is>
      </c>
      <c r="G425" t="inlineStr">
        <is>
          <t>Other</t>
        </is>
      </c>
      <c r="J425" t="inlineStr">
        <is>
          <t>Dem</t>
        </is>
      </c>
      <c r="K425" t="inlineStr">
        <is>
          <t>DemBiz</t>
        </is>
      </c>
      <c r="M425" t="inlineStr">
        <is>
          <t>Hoseini Fatemeh</t>
        </is>
      </c>
      <c r="N425" t="inlineStr">
        <is>
          <t>Hajizadeh Elnaz</t>
        </is>
      </c>
      <c r="O425" s="42" t="n">
        <v>45984.70545138889</v>
      </c>
      <c r="Q425" s="42" t="n">
        <v>45984.70545138889</v>
      </c>
      <c r="S425" t="n">
        <v>0</v>
      </c>
      <c r="T425" s="42" t="n">
        <v>45984.70545138889</v>
      </c>
      <c r="Z425" s="42" t="n">
        <v>45984.70545138889</v>
      </c>
      <c r="AA425" t="n">
        <v>0</v>
      </c>
      <c r="AD425" t="n">
        <v>2</v>
      </c>
      <c r="AE425" t="n">
        <v>2</v>
      </c>
      <c r="AF425" t="n">
        <v>0</v>
      </c>
      <c r="AI425" t="n">
        <v>0</v>
      </c>
      <c r="AJ425" t="n">
        <v>0</v>
      </c>
      <c r="AK425" t="n">
        <v>0</v>
      </c>
      <c r="AL425" t="n">
        <v>0</v>
      </c>
      <c r="AN425" t="n">
        <v>0</v>
      </c>
      <c r="AO425" t="n">
        <v>0</v>
      </c>
      <c r="AP425" t="n">
        <v>0</v>
      </c>
      <c r="AQ425" t="n">
        <v>24</v>
      </c>
      <c r="AR425" t="n">
        <v>0</v>
      </c>
    </row>
    <row r="426">
      <c r="A426" t="n">
        <v>197189</v>
      </c>
      <c r="B426" t="inlineStr">
        <is>
          <t>عدم نمایش درخواست های مصوب شده در فرم انتخاب پیشنهاد جهت اصلاح 26/08</t>
        </is>
      </c>
      <c r="D426" t="inlineStr">
        <is>
          <t>Medium</t>
        </is>
      </c>
      <c r="E426" t="n">
        <v>1</v>
      </c>
      <c r="F426" t="inlineStr">
        <is>
          <t>Closed</t>
        </is>
      </c>
      <c r="G426" t="inlineStr">
        <is>
          <t>Other</t>
        </is>
      </c>
      <c r="J426" t="inlineStr">
        <is>
          <t>Infrastructure Bizagi Extension</t>
        </is>
      </c>
      <c r="K426" t="inlineStr">
        <is>
          <t>SP_88</t>
        </is>
      </c>
      <c r="M426" t="inlineStr">
        <is>
          <t>Parvaz Maryam</t>
        </is>
      </c>
      <c r="N426" t="inlineStr">
        <is>
          <t>Hajizadeh Elnaz</t>
        </is>
      </c>
      <c r="O426" s="42" t="n">
        <v>45986.50619212963</v>
      </c>
      <c r="Q426" s="42" t="n">
        <v>45986.50619212963</v>
      </c>
      <c r="S426" t="n">
        <v>0</v>
      </c>
      <c r="T426" s="42" t="n">
        <v>45986.50619212963</v>
      </c>
      <c r="Z426" s="42" t="n">
        <v>45986.50619212963</v>
      </c>
      <c r="AA426" t="n">
        <v>0</v>
      </c>
      <c r="AD426" t="n">
        <v>2</v>
      </c>
      <c r="AE426" t="n">
        <v>2</v>
      </c>
      <c r="AF426" t="n">
        <v>0</v>
      </c>
      <c r="AI426" t="n">
        <v>0</v>
      </c>
      <c r="AJ426" t="n">
        <v>0</v>
      </c>
      <c r="AK426" t="n">
        <v>0</v>
      </c>
      <c r="AL426" t="n">
        <v>0</v>
      </c>
      <c r="AN426" t="n">
        <v>0</v>
      </c>
      <c r="AO426" t="n">
        <v>0</v>
      </c>
      <c r="AP426" t="n">
        <v>0</v>
      </c>
      <c r="AQ426" t="n">
        <v>24</v>
      </c>
      <c r="AR426" t="n">
        <v>0</v>
      </c>
    </row>
    <row r="427">
      <c r="A427" t="n">
        <v>197191</v>
      </c>
      <c r="B427" t="inlineStr">
        <is>
          <t>حذف عبارت حوزه ثبت ملک قبل از  نام واحد ثبتی</t>
        </is>
      </c>
      <c r="D427" t="inlineStr">
        <is>
          <t>Medium</t>
        </is>
      </c>
      <c r="E427" t="n">
        <v>2</v>
      </c>
      <c r="F427" t="inlineStr">
        <is>
          <t>New</t>
        </is>
      </c>
      <c r="G427" t="inlineStr">
        <is>
          <t>Other</t>
        </is>
      </c>
      <c r="J427" t="inlineStr">
        <is>
          <t>SAJAK</t>
        </is>
      </c>
      <c r="K427" t="inlineStr">
        <is>
          <t>GIS_Sprint 39</t>
        </is>
      </c>
      <c r="M427" t="inlineStr">
        <is>
          <t>Dastres Reyhaneh</t>
        </is>
      </c>
      <c r="Q427" s="42" t="n">
        <v>45984.68607638889</v>
      </c>
      <c r="S427" t="n">
        <v>0</v>
      </c>
      <c r="T427" s="42" t="n">
        <v>45984.68607638889</v>
      </c>
      <c r="AA427" t="n">
        <v>0</v>
      </c>
      <c r="AD427" t="n">
        <v>2</v>
      </c>
      <c r="AE427" t="n">
        <v>2</v>
      </c>
      <c r="AF427" t="n">
        <v>0</v>
      </c>
      <c r="AI427" t="n">
        <v>0</v>
      </c>
      <c r="AJ427" t="n">
        <v>0</v>
      </c>
      <c r="AM427" t="n">
        <v>33</v>
      </c>
      <c r="AN427" t="n">
        <v>0</v>
      </c>
      <c r="AO427" t="n">
        <v>0</v>
      </c>
      <c r="AP427" t="n">
        <v>0</v>
      </c>
      <c r="AQ427" t="n">
        <v>24</v>
      </c>
      <c r="AR427" t="n">
        <v>0</v>
      </c>
    </row>
    <row r="428">
      <c r="A428" t="n">
        <v>197192</v>
      </c>
      <c r="B428" t="inlineStr">
        <is>
          <t>امکان مجدد بارگذاری فایل شمیم</t>
        </is>
      </c>
      <c r="D428" t="inlineStr">
        <is>
          <t>Medium</t>
        </is>
      </c>
      <c r="E428" t="n">
        <v>2</v>
      </c>
      <c r="F428" t="inlineStr">
        <is>
          <t>Closed</t>
        </is>
      </c>
      <c r="G428" t="inlineStr">
        <is>
          <t>Other</t>
        </is>
      </c>
      <c r="J428" t="inlineStr">
        <is>
          <t>SAJAK</t>
        </is>
      </c>
      <c r="K428" t="inlineStr">
        <is>
          <t>GIS_Sprint 39</t>
        </is>
      </c>
      <c r="M428" t="inlineStr">
        <is>
          <t>Shivanasab Pooya</t>
        </is>
      </c>
      <c r="N428" t="inlineStr">
        <is>
          <t>Shivanasab Pooya</t>
        </is>
      </c>
      <c r="O428" s="42" t="n">
        <v>45986.6340625</v>
      </c>
      <c r="Q428" s="42" t="n">
        <v>45986.6340625</v>
      </c>
      <c r="S428" t="n">
        <v>0</v>
      </c>
      <c r="T428" s="42" t="n">
        <v>45986.6340625</v>
      </c>
      <c r="Z428" s="42" t="n">
        <v>45986.6340625</v>
      </c>
      <c r="AA428" t="n">
        <v>0</v>
      </c>
      <c r="AD428" t="n">
        <v>2</v>
      </c>
      <c r="AE428" t="n">
        <v>2</v>
      </c>
      <c r="AF428" t="n">
        <v>0</v>
      </c>
      <c r="AI428" t="n">
        <v>0</v>
      </c>
      <c r="AJ428" t="n">
        <v>0</v>
      </c>
      <c r="AK428" t="n">
        <v>0</v>
      </c>
      <c r="AL428" t="n">
        <v>0</v>
      </c>
      <c r="AN428" t="n">
        <v>0</v>
      </c>
      <c r="AO428" t="n">
        <v>0</v>
      </c>
      <c r="AP428" t="n">
        <v>0</v>
      </c>
      <c r="AQ428" t="n">
        <v>24</v>
      </c>
      <c r="AR428" t="n">
        <v>0</v>
      </c>
    </row>
    <row r="429">
      <c r="A429" t="n">
        <v>197193</v>
      </c>
      <c r="B429" t="inlineStr">
        <is>
          <t>زمان نمایش داده شده زمان گرینویچ است</t>
        </is>
      </c>
      <c r="D429" t="inlineStr">
        <is>
          <t>Medium</t>
        </is>
      </c>
      <c r="E429" t="n">
        <v>2</v>
      </c>
      <c r="F429" t="inlineStr">
        <is>
          <t>New</t>
        </is>
      </c>
      <c r="G429" t="inlineStr">
        <is>
          <t>Other</t>
        </is>
      </c>
      <c r="J429" t="inlineStr">
        <is>
          <t>SAJAK</t>
        </is>
      </c>
      <c r="K429" t="inlineStr">
        <is>
          <t>GIS_Sprint 39</t>
        </is>
      </c>
      <c r="M429" t="inlineStr">
        <is>
          <t>Bagherlo Farhad</t>
        </is>
      </c>
      <c r="Q429" s="42" t="n">
        <v>45984.68875</v>
      </c>
      <c r="S429" t="n">
        <v>0</v>
      </c>
      <c r="T429" s="42" t="n">
        <v>45984.68875</v>
      </c>
      <c r="AA429" t="n">
        <v>0</v>
      </c>
      <c r="AD429" t="n">
        <v>2</v>
      </c>
      <c r="AE429" t="n">
        <v>2</v>
      </c>
      <c r="AF429" t="n">
        <v>0</v>
      </c>
      <c r="AI429" t="n">
        <v>0</v>
      </c>
      <c r="AJ429" t="n">
        <v>0</v>
      </c>
      <c r="AM429" t="n">
        <v>33</v>
      </c>
      <c r="AN429" t="n">
        <v>0</v>
      </c>
      <c r="AO429" t="n">
        <v>0</v>
      </c>
      <c r="AP429" t="n">
        <v>0</v>
      </c>
      <c r="AQ429" t="n">
        <v>24</v>
      </c>
      <c r="AR429" t="n">
        <v>0</v>
      </c>
    </row>
    <row r="430">
      <c r="A430" t="n">
        <v>197236</v>
      </c>
      <c r="B430" t="inlineStr">
        <is>
          <t>قرارگیری ستون های کارتابل اقدامی و پیگیری</t>
        </is>
      </c>
      <c r="D430" t="inlineStr">
        <is>
          <t>Medium</t>
        </is>
      </c>
      <c r="E430" t="n">
        <v>2</v>
      </c>
      <c r="F430" t="inlineStr">
        <is>
          <t>New</t>
        </is>
      </c>
      <c r="G430" t="inlineStr">
        <is>
          <t>Other</t>
        </is>
      </c>
      <c r="J430" t="inlineStr">
        <is>
          <t>SAJAK</t>
        </is>
      </c>
      <c r="K430" t="inlineStr">
        <is>
          <t>GIS_Sprint 39</t>
        </is>
      </c>
      <c r="M430" t="inlineStr">
        <is>
          <t>Dastres Reyhaneh</t>
        </is>
      </c>
      <c r="Q430" s="42" t="n">
        <v>45984.72861111111</v>
      </c>
      <c r="S430" t="n">
        <v>0</v>
      </c>
      <c r="T430" s="42" t="n">
        <v>45984.72861111111</v>
      </c>
      <c r="AA430" t="n">
        <v>0</v>
      </c>
      <c r="AD430" t="n">
        <v>2</v>
      </c>
      <c r="AE430" t="n">
        <v>2</v>
      </c>
      <c r="AF430" t="n">
        <v>0</v>
      </c>
      <c r="AI430" t="n">
        <v>0</v>
      </c>
      <c r="AJ430" t="n">
        <v>0</v>
      </c>
      <c r="AM430" t="n">
        <v>33</v>
      </c>
      <c r="AN430" t="n">
        <v>0</v>
      </c>
      <c r="AO430" t="n">
        <v>0</v>
      </c>
      <c r="AP430" t="n">
        <v>0</v>
      </c>
      <c r="AQ430" t="n">
        <v>24</v>
      </c>
      <c r="AR430" t="n">
        <v>0</v>
      </c>
    </row>
    <row r="431">
      <c r="A431" t="n">
        <v>197237</v>
      </c>
      <c r="B431" t="inlineStr">
        <is>
          <t>خطای ارسال در حالت اصلاح نقشه</t>
        </is>
      </c>
      <c r="D431" t="inlineStr">
        <is>
          <t>Medium</t>
        </is>
      </c>
      <c r="E431" t="n">
        <v>2</v>
      </c>
      <c r="F431" t="inlineStr">
        <is>
          <t>New</t>
        </is>
      </c>
      <c r="G431" t="inlineStr">
        <is>
          <t>Other</t>
        </is>
      </c>
      <c r="J431" t="inlineStr">
        <is>
          <t>SAJAK</t>
        </is>
      </c>
      <c r="K431" t="inlineStr">
        <is>
          <t>GIS_Sprint 39</t>
        </is>
      </c>
      <c r="M431" t="inlineStr">
        <is>
          <t>Shivanasab Pooya</t>
        </is>
      </c>
      <c r="Q431" s="42" t="n">
        <v>45984.73065972222</v>
      </c>
      <c r="S431" t="n">
        <v>0</v>
      </c>
      <c r="T431" s="42" t="n">
        <v>45984.73065972222</v>
      </c>
      <c r="AA431" t="n">
        <v>0</v>
      </c>
      <c r="AD431" t="n">
        <v>2</v>
      </c>
      <c r="AE431" t="n">
        <v>2</v>
      </c>
      <c r="AF431" t="n">
        <v>0</v>
      </c>
      <c r="AI431" t="n">
        <v>0</v>
      </c>
      <c r="AJ431" t="n">
        <v>0</v>
      </c>
      <c r="AM431" t="n">
        <v>33</v>
      </c>
      <c r="AN431" t="n">
        <v>0</v>
      </c>
      <c r="AO431" t="n">
        <v>0</v>
      </c>
      <c r="AP431" t="n">
        <v>0</v>
      </c>
      <c r="AQ431" t="n">
        <v>24</v>
      </c>
      <c r="AR431" t="n">
        <v>0</v>
      </c>
    </row>
    <row r="432">
      <c r="A432" t="n">
        <v>197239</v>
      </c>
      <c r="B432" t="inlineStr">
        <is>
          <t>افزودن تاریخ اخرین تغییرات در جدول کارتابل اقدامی</t>
        </is>
      </c>
      <c r="D432" t="inlineStr">
        <is>
          <t>Medium</t>
        </is>
      </c>
      <c r="E432" t="n">
        <v>2</v>
      </c>
      <c r="F432" t="inlineStr">
        <is>
          <t>New</t>
        </is>
      </c>
      <c r="G432" t="inlineStr">
        <is>
          <t>Other</t>
        </is>
      </c>
      <c r="J432" t="inlineStr">
        <is>
          <t>SAJAK</t>
        </is>
      </c>
      <c r="K432" t="inlineStr">
        <is>
          <t>GIS_Sprint 39</t>
        </is>
      </c>
      <c r="M432" t="inlineStr">
        <is>
          <t>Dastres Reyhaneh</t>
        </is>
      </c>
      <c r="Q432" s="42" t="n">
        <v>45984.73247685185</v>
      </c>
      <c r="S432" t="n">
        <v>0</v>
      </c>
      <c r="T432" s="42" t="n">
        <v>45984.73247685185</v>
      </c>
      <c r="AA432" t="n">
        <v>0</v>
      </c>
      <c r="AD432" t="n">
        <v>2</v>
      </c>
      <c r="AE432" t="n">
        <v>2</v>
      </c>
      <c r="AF432" t="n">
        <v>0</v>
      </c>
      <c r="AI432" t="n">
        <v>0</v>
      </c>
      <c r="AJ432" t="n">
        <v>0</v>
      </c>
      <c r="AM432" t="n">
        <v>33</v>
      </c>
      <c r="AN432" t="n">
        <v>0</v>
      </c>
      <c r="AO432" t="n">
        <v>0</v>
      </c>
      <c r="AP432" t="n">
        <v>0</v>
      </c>
      <c r="AQ432" t="n">
        <v>24</v>
      </c>
      <c r="AR432" t="n">
        <v>0</v>
      </c>
    </row>
    <row r="433">
      <c r="A433" t="n">
        <v>197240</v>
      </c>
      <c r="B433" t="inlineStr">
        <is>
          <t>اعمال ادرس ملک در مشاهده جزئیات</t>
        </is>
      </c>
      <c r="D433" t="inlineStr">
        <is>
          <t>Medium</t>
        </is>
      </c>
      <c r="E433" t="n">
        <v>2</v>
      </c>
      <c r="F433" t="inlineStr">
        <is>
          <t>New</t>
        </is>
      </c>
      <c r="G433" t="inlineStr">
        <is>
          <t>Other</t>
        </is>
      </c>
      <c r="J433" t="inlineStr">
        <is>
          <t>SAJAK</t>
        </is>
      </c>
      <c r="K433" t="inlineStr">
        <is>
          <t>GIS_Sprint 39</t>
        </is>
      </c>
      <c r="M433" t="inlineStr">
        <is>
          <t>Bagherlo Farhad</t>
        </is>
      </c>
      <c r="Q433" s="42" t="n">
        <v>45984.73378472222</v>
      </c>
      <c r="S433" t="n">
        <v>0</v>
      </c>
      <c r="T433" s="42" t="n">
        <v>45984.73378472222</v>
      </c>
      <c r="AA433" t="n">
        <v>0</v>
      </c>
      <c r="AD433" t="n">
        <v>2</v>
      </c>
      <c r="AE433" t="n">
        <v>2</v>
      </c>
      <c r="AF433" t="n">
        <v>0</v>
      </c>
      <c r="AI433" t="n">
        <v>0</v>
      </c>
      <c r="AJ433" t="n">
        <v>0</v>
      </c>
      <c r="AM433" t="n">
        <v>33</v>
      </c>
      <c r="AN433" t="n">
        <v>0</v>
      </c>
      <c r="AO433" t="n">
        <v>0</v>
      </c>
      <c r="AP433" t="n">
        <v>0</v>
      </c>
      <c r="AQ433" t="n">
        <v>24</v>
      </c>
      <c r="AR433" t="n">
        <v>0</v>
      </c>
    </row>
    <row r="434">
      <c r="A434" t="n">
        <v>197241</v>
      </c>
      <c r="B434" t="inlineStr">
        <is>
          <t>افزودن راهنما برای هر مرحله به صورت مجزا</t>
        </is>
      </c>
      <c r="D434" t="inlineStr">
        <is>
          <t>Medium</t>
        </is>
      </c>
      <c r="E434" t="n">
        <v>2</v>
      </c>
      <c r="F434" t="inlineStr">
        <is>
          <t>Closed</t>
        </is>
      </c>
      <c r="G434" t="inlineStr">
        <is>
          <t>Other</t>
        </is>
      </c>
      <c r="J434" t="inlineStr">
        <is>
          <t>SAJAK</t>
        </is>
      </c>
      <c r="K434" t="inlineStr">
        <is>
          <t>GIS_Sprint 39</t>
        </is>
      </c>
      <c r="M434" t="inlineStr">
        <is>
          <t>Shivanasab Pooya</t>
        </is>
      </c>
      <c r="N434" t="inlineStr">
        <is>
          <t>Shivanasab Pooya</t>
        </is>
      </c>
      <c r="O434" s="42" t="n">
        <v>45986.63315972222</v>
      </c>
      <c r="Q434" s="42" t="n">
        <v>45986.63315972222</v>
      </c>
      <c r="S434" t="n">
        <v>0</v>
      </c>
      <c r="T434" s="42" t="n">
        <v>45986.63315972222</v>
      </c>
      <c r="Z434" s="42" t="n">
        <v>45986.63315972222</v>
      </c>
      <c r="AA434" t="n">
        <v>0</v>
      </c>
      <c r="AD434" t="n">
        <v>2</v>
      </c>
      <c r="AE434" t="n">
        <v>2</v>
      </c>
      <c r="AF434" t="n">
        <v>0</v>
      </c>
      <c r="AI434" t="n">
        <v>0</v>
      </c>
      <c r="AJ434" t="n">
        <v>0</v>
      </c>
      <c r="AK434" t="n">
        <v>0</v>
      </c>
      <c r="AL434" t="n">
        <v>0</v>
      </c>
      <c r="AN434" t="n">
        <v>0</v>
      </c>
      <c r="AO434" t="n">
        <v>0</v>
      </c>
      <c r="AP434" t="n">
        <v>0</v>
      </c>
      <c r="AQ434" t="n">
        <v>24</v>
      </c>
      <c r="AR434" t="n">
        <v>0</v>
      </c>
    </row>
    <row r="435">
      <c r="A435" t="n">
        <v>197244</v>
      </c>
      <c r="B435" t="inlineStr">
        <is>
          <t>اشکال در مساحت سه بعدی</t>
        </is>
      </c>
      <c r="D435" t="inlineStr">
        <is>
          <t>Medium</t>
        </is>
      </c>
      <c r="E435" t="n">
        <v>2</v>
      </c>
      <c r="F435" t="inlineStr">
        <is>
          <t>Closed</t>
        </is>
      </c>
      <c r="G435" t="inlineStr">
        <is>
          <t>Other</t>
        </is>
      </c>
      <c r="J435" t="inlineStr">
        <is>
          <t>SAJAK</t>
        </is>
      </c>
      <c r="K435" t="inlineStr">
        <is>
          <t>GIS_Sprint 39</t>
        </is>
      </c>
      <c r="M435" t="inlineStr">
        <is>
          <t>Shivanasab Pooya</t>
        </is>
      </c>
      <c r="N435" t="inlineStr">
        <is>
          <t>Shivanasab Pooya</t>
        </is>
      </c>
      <c r="O435" s="42" t="n">
        <v>45986.63376157408</v>
      </c>
      <c r="Q435" s="42" t="n">
        <v>45986.63376157408</v>
      </c>
      <c r="S435" t="n">
        <v>0</v>
      </c>
      <c r="T435" s="42" t="n">
        <v>45986.63376157408</v>
      </c>
      <c r="Z435" s="42" t="n">
        <v>45986.63376157408</v>
      </c>
      <c r="AA435" t="n">
        <v>0</v>
      </c>
      <c r="AD435" t="n">
        <v>2</v>
      </c>
      <c r="AE435" t="n">
        <v>2</v>
      </c>
      <c r="AF435" t="n">
        <v>0</v>
      </c>
      <c r="AI435" t="n">
        <v>0</v>
      </c>
      <c r="AJ435" t="n">
        <v>0</v>
      </c>
      <c r="AK435" t="n">
        <v>0</v>
      </c>
      <c r="AL435" t="n">
        <v>0</v>
      </c>
      <c r="AN435" t="n">
        <v>0</v>
      </c>
      <c r="AO435" t="n">
        <v>0</v>
      </c>
      <c r="AP435" t="n">
        <v>0</v>
      </c>
      <c r="AQ435" t="n">
        <v>24</v>
      </c>
      <c r="AR435" t="n">
        <v>0</v>
      </c>
    </row>
    <row r="436">
      <c r="A436" t="n">
        <v>197245</v>
      </c>
      <c r="B436" t="inlineStr">
        <is>
          <t>تغییر عبارت متقاضی به درخواست دهنده</t>
        </is>
      </c>
      <c r="D436" t="inlineStr">
        <is>
          <t>Medium</t>
        </is>
      </c>
      <c r="E436" t="n">
        <v>2</v>
      </c>
      <c r="F436" t="inlineStr">
        <is>
          <t>New</t>
        </is>
      </c>
      <c r="G436" t="inlineStr">
        <is>
          <t>Other</t>
        </is>
      </c>
      <c r="J436" t="inlineStr">
        <is>
          <t>SAJAK</t>
        </is>
      </c>
      <c r="K436" t="inlineStr">
        <is>
          <t>GIS_Sprint 39</t>
        </is>
      </c>
      <c r="M436" t="inlineStr">
        <is>
          <t>Dastres Reyhaneh</t>
        </is>
      </c>
      <c r="Q436" s="42" t="n">
        <v>45984.74351851852</v>
      </c>
      <c r="S436" t="n">
        <v>0</v>
      </c>
      <c r="T436" s="42" t="n">
        <v>45984.74351851852</v>
      </c>
      <c r="AA436" t="n">
        <v>0</v>
      </c>
      <c r="AD436" t="n">
        <v>2</v>
      </c>
      <c r="AE436" t="n">
        <v>2</v>
      </c>
      <c r="AF436" t="n">
        <v>0</v>
      </c>
      <c r="AI436" t="n">
        <v>0</v>
      </c>
      <c r="AJ436" t="n">
        <v>0</v>
      </c>
      <c r="AM436" t="n">
        <v>33</v>
      </c>
      <c r="AN436" t="n">
        <v>0</v>
      </c>
      <c r="AO436" t="n">
        <v>0</v>
      </c>
      <c r="AP436" t="n">
        <v>0</v>
      </c>
      <c r="AQ436" t="n">
        <v>24</v>
      </c>
      <c r="AR436" t="n">
        <v>0</v>
      </c>
    </row>
    <row r="437">
      <c r="A437" t="n">
        <v>197247</v>
      </c>
      <c r="B437" t="inlineStr">
        <is>
          <t>عدم نمایش نقشه در موقعیت مکانی</t>
        </is>
      </c>
      <c r="D437" t="inlineStr">
        <is>
          <t>Medium</t>
        </is>
      </c>
      <c r="E437" t="n">
        <v>2</v>
      </c>
      <c r="F437" t="inlineStr">
        <is>
          <t>New</t>
        </is>
      </c>
      <c r="G437" t="inlineStr">
        <is>
          <t>Other</t>
        </is>
      </c>
      <c r="J437" t="inlineStr">
        <is>
          <t>SAJAK</t>
        </is>
      </c>
      <c r="K437" t="inlineStr">
        <is>
          <t>GIS_Sprint 39</t>
        </is>
      </c>
      <c r="M437" t="inlineStr">
        <is>
          <t>Dastres Reyhaneh</t>
        </is>
      </c>
      <c r="Q437" s="42" t="n">
        <v>45984.74430555556</v>
      </c>
      <c r="S437" t="n">
        <v>0</v>
      </c>
      <c r="T437" s="42" t="n">
        <v>45984.74430555556</v>
      </c>
      <c r="AA437" t="n">
        <v>0</v>
      </c>
      <c r="AD437" t="n">
        <v>2</v>
      </c>
      <c r="AE437" t="n">
        <v>2</v>
      </c>
      <c r="AF437" t="n">
        <v>0</v>
      </c>
      <c r="AI437" t="n">
        <v>0</v>
      </c>
      <c r="AJ437" t="n">
        <v>0</v>
      </c>
      <c r="AM437" t="n">
        <v>33</v>
      </c>
      <c r="AN437" t="n">
        <v>0</v>
      </c>
      <c r="AO437" t="n">
        <v>0</v>
      </c>
      <c r="AP437" t="n">
        <v>0</v>
      </c>
      <c r="AQ437" t="n">
        <v>24</v>
      </c>
      <c r="AR437" t="n">
        <v>0</v>
      </c>
    </row>
    <row r="438">
      <c r="A438" t="n">
        <v>197248</v>
      </c>
      <c r="B438" t="inlineStr">
        <is>
          <t>MBB توی پیغام خطا تکرار شده اعتبارسنجی پولی گون شمیم</t>
        </is>
      </c>
      <c r="D438" t="inlineStr">
        <is>
          <t>Medium</t>
        </is>
      </c>
      <c r="E438" t="n">
        <v>2</v>
      </c>
      <c r="F438" t="inlineStr">
        <is>
          <t>Closed</t>
        </is>
      </c>
      <c r="G438" t="inlineStr">
        <is>
          <t>Other</t>
        </is>
      </c>
      <c r="J438" t="inlineStr">
        <is>
          <t>SAJAK</t>
        </is>
      </c>
      <c r="K438" t="inlineStr">
        <is>
          <t>GIS_Sprint 39</t>
        </is>
      </c>
      <c r="M438" t="inlineStr">
        <is>
          <t>Shivanasab Pooya</t>
        </is>
      </c>
      <c r="N438" t="inlineStr">
        <is>
          <t>Shivanasab Pooya</t>
        </is>
      </c>
      <c r="O438" s="42" t="n">
        <v>45986.63348379629</v>
      </c>
      <c r="Q438" s="42" t="n">
        <v>45986.63348379629</v>
      </c>
      <c r="S438" t="n">
        <v>0</v>
      </c>
      <c r="T438" s="42" t="n">
        <v>45986.63348379629</v>
      </c>
      <c r="Z438" s="42" t="n">
        <v>45986.63348379629</v>
      </c>
      <c r="AA438" t="n">
        <v>0</v>
      </c>
      <c r="AD438" t="n">
        <v>2</v>
      </c>
      <c r="AE438" t="n">
        <v>2</v>
      </c>
      <c r="AF438" t="n">
        <v>0</v>
      </c>
      <c r="AI438" t="n">
        <v>0</v>
      </c>
      <c r="AJ438" t="n">
        <v>0</v>
      </c>
      <c r="AK438" t="n">
        <v>0</v>
      </c>
      <c r="AL438" t="n">
        <v>0</v>
      </c>
      <c r="AN438" t="n">
        <v>0</v>
      </c>
      <c r="AO438" t="n">
        <v>0</v>
      </c>
      <c r="AP438" t="n">
        <v>0</v>
      </c>
      <c r="AQ438" t="n">
        <v>24</v>
      </c>
      <c r="AR438" t="n">
        <v>0</v>
      </c>
    </row>
    <row r="439">
      <c r="A439" t="n">
        <v>197290</v>
      </c>
      <c r="B439" t="inlineStr">
        <is>
          <t xml:space="preserve">دریافت خطای "کارشناس منتخب نمی تواند بیشتر از یک نفر انتخاب شود" </t>
        </is>
      </c>
      <c r="D439" t="inlineStr">
        <is>
          <t>Medium</t>
        </is>
      </c>
      <c r="E439" t="n">
        <v>3</v>
      </c>
      <c r="F439" t="inlineStr">
        <is>
          <t>Closed</t>
        </is>
      </c>
      <c r="G439" t="inlineStr">
        <is>
          <t>Other</t>
        </is>
      </c>
      <c r="I439" t="inlineStr">
        <is>
          <t>Bizagi_Team</t>
        </is>
      </c>
      <c r="J439" t="inlineStr">
        <is>
          <t>SAJAK</t>
        </is>
      </c>
      <c r="K439" t="inlineStr">
        <is>
          <t>Estate_Sprint 44</t>
        </is>
      </c>
      <c r="M439" t="inlineStr">
        <is>
          <t>Tedadi Abbas</t>
        </is>
      </c>
      <c r="N439" t="inlineStr">
        <is>
          <t>Erfani Alireza</t>
        </is>
      </c>
      <c r="O439" s="42" t="n">
        <v>45997.64651620371</v>
      </c>
      <c r="Q439" s="42" t="n">
        <v>45997.64651620371</v>
      </c>
      <c r="S439" t="n">
        <v>0</v>
      </c>
      <c r="T439" s="42" t="n">
        <v>45997.64651620371</v>
      </c>
      <c r="Z439" s="42" t="n">
        <v>45997.64651620371</v>
      </c>
      <c r="AA439" t="n">
        <v>0</v>
      </c>
      <c r="AD439" t="n">
        <v>2</v>
      </c>
      <c r="AE439" t="n">
        <v>2</v>
      </c>
      <c r="AF439" t="n">
        <v>0</v>
      </c>
      <c r="AI439" t="n">
        <v>0</v>
      </c>
      <c r="AJ439" t="n">
        <v>0</v>
      </c>
      <c r="AK439" t="n">
        <v>0</v>
      </c>
      <c r="AL439" t="n">
        <v>0</v>
      </c>
      <c r="AN439" t="n">
        <v>0</v>
      </c>
      <c r="AO439" t="n">
        <v>0</v>
      </c>
      <c r="AP439" t="n">
        <v>0</v>
      </c>
      <c r="AQ439" t="n">
        <v>24</v>
      </c>
      <c r="AR439" t="n">
        <v>0</v>
      </c>
    </row>
    <row r="440">
      <c r="A440" t="n">
        <v>197295</v>
      </c>
      <c r="B440" t="inlineStr">
        <is>
          <t>ست شدن اشتباه استاتوس ابلاغیه / در استپ ابلاغیه</t>
        </is>
      </c>
      <c r="D440" t="inlineStr">
        <is>
          <t>Medium</t>
        </is>
      </c>
      <c r="E440" t="n">
        <v>2</v>
      </c>
      <c r="F440" t="inlineStr">
        <is>
          <t>Closed</t>
        </is>
      </c>
      <c r="G440" t="inlineStr">
        <is>
          <t>Other</t>
        </is>
      </c>
      <c r="J440" t="inlineStr">
        <is>
          <t>Dem</t>
        </is>
      </c>
      <c r="K440" t="inlineStr">
        <is>
          <t>DemBiz</t>
        </is>
      </c>
      <c r="M440" t="inlineStr">
        <is>
          <t>Hoseini Fatemeh</t>
        </is>
      </c>
      <c r="N440" t="inlineStr">
        <is>
          <t>Hoseini Fatemeh</t>
        </is>
      </c>
      <c r="O440" s="42" t="n">
        <v>45992.48584490741</v>
      </c>
      <c r="Q440" s="42" t="n">
        <v>45992.48584490741</v>
      </c>
      <c r="S440" t="n">
        <v>0</v>
      </c>
      <c r="T440" s="42" t="n">
        <v>45992.48584490741</v>
      </c>
      <c r="Z440" s="42" t="n">
        <v>45992.48584490741</v>
      </c>
      <c r="AA440" t="n">
        <v>0</v>
      </c>
      <c r="AD440" t="n">
        <v>2</v>
      </c>
      <c r="AE440" t="n">
        <v>2</v>
      </c>
      <c r="AF440" t="n">
        <v>0</v>
      </c>
      <c r="AI440" t="n">
        <v>0</v>
      </c>
      <c r="AJ440" t="n">
        <v>0</v>
      </c>
      <c r="AK440" t="n">
        <v>0</v>
      </c>
      <c r="AL440" t="n">
        <v>0</v>
      </c>
      <c r="AN440" t="n">
        <v>0</v>
      </c>
      <c r="AO440" t="n">
        <v>0</v>
      </c>
      <c r="AP440" t="n">
        <v>0</v>
      </c>
      <c r="AQ440" t="n">
        <v>24</v>
      </c>
      <c r="AR440" t="n">
        <v>0</v>
      </c>
    </row>
    <row r="441">
      <c r="A441" t="n">
        <v>197296</v>
      </c>
      <c r="B441" t="inlineStr">
        <is>
          <t xml:space="preserve">AE_SAJA\\ هندل نشدن پروتکل ریجکس </t>
        </is>
      </c>
      <c r="D441" t="inlineStr">
        <is>
          <t>Medium</t>
        </is>
      </c>
      <c r="E441" t="n">
        <v>2</v>
      </c>
      <c r="F441" t="inlineStr">
        <is>
          <t>Closed</t>
        </is>
      </c>
      <c r="G441" t="inlineStr">
        <is>
          <t>Other</t>
        </is>
      </c>
      <c r="J441" t="inlineStr">
        <is>
          <t>Infrastructure Bizagi Extension</t>
        </is>
      </c>
      <c r="K441" t="inlineStr">
        <is>
          <t>SP-87</t>
        </is>
      </c>
      <c r="M441" t="inlineStr">
        <is>
          <t>Jafari Saeed</t>
        </is>
      </c>
      <c r="N441" t="inlineStr">
        <is>
          <t>Kalaei Saman</t>
        </is>
      </c>
      <c r="O441" s="42" t="n">
        <v>45994.41295138889</v>
      </c>
      <c r="Q441" s="42" t="n">
        <v>45994.41295138889</v>
      </c>
      <c r="S441" t="n">
        <v>0</v>
      </c>
      <c r="T441" s="42" t="n">
        <v>45994.41295138889</v>
      </c>
      <c r="Z441" s="42" t="n">
        <v>45994.41295138889</v>
      </c>
      <c r="AA441" t="n">
        <v>0</v>
      </c>
      <c r="AD441" t="n">
        <v>2</v>
      </c>
      <c r="AE441" t="n">
        <v>2</v>
      </c>
      <c r="AF441" t="n">
        <v>0</v>
      </c>
      <c r="AI441" t="n">
        <v>0</v>
      </c>
      <c r="AJ441" t="n">
        <v>0</v>
      </c>
      <c r="AK441" t="n">
        <v>0</v>
      </c>
      <c r="AL441" t="n">
        <v>0</v>
      </c>
      <c r="AN441" t="n">
        <v>0</v>
      </c>
      <c r="AO441" t="n">
        <v>0</v>
      </c>
      <c r="AP441" t="n">
        <v>0</v>
      </c>
      <c r="AQ441" t="n">
        <v>24</v>
      </c>
      <c r="AR441" t="n">
        <v>0</v>
      </c>
    </row>
    <row r="442">
      <c r="A442" t="n">
        <v>197297</v>
      </c>
      <c r="B442" t="inlineStr">
        <is>
          <t xml:space="preserve">دریافت خطای فرآیند فعلی قبلا ثبت شده است </t>
        </is>
      </c>
      <c r="D442" t="inlineStr">
        <is>
          <t>Medium</t>
        </is>
      </c>
      <c r="E442" t="n">
        <v>3</v>
      </c>
      <c r="F442" t="inlineStr">
        <is>
          <t>Closed</t>
        </is>
      </c>
      <c r="G442" t="inlineStr">
        <is>
          <t>Other</t>
        </is>
      </c>
      <c r="I442" t="inlineStr">
        <is>
          <t>Bizagi_Team</t>
        </is>
      </c>
      <c r="J442" t="inlineStr">
        <is>
          <t>SAJAK</t>
        </is>
      </c>
      <c r="K442" t="inlineStr">
        <is>
          <t>Estate_Sprint 44</t>
        </is>
      </c>
      <c r="M442" t="inlineStr">
        <is>
          <t>Tedadi Abbas</t>
        </is>
      </c>
      <c r="N442" t="inlineStr">
        <is>
          <t>Erfani Alireza</t>
        </is>
      </c>
      <c r="O442" s="42" t="n">
        <v>45997.64707175926</v>
      </c>
      <c r="Q442" s="42" t="n">
        <v>45997.64707175926</v>
      </c>
      <c r="S442" t="n">
        <v>0</v>
      </c>
      <c r="T442" s="42" t="n">
        <v>45997.64707175926</v>
      </c>
      <c r="Z442" s="42" t="n">
        <v>45997.64707175926</v>
      </c>
      <c r="AA442" t="n">
        <v>0</v>
      </c>
      <c r="AD442" t="n">
        <v>2</v>
      </c>
      <c r="AE442" t="n">
        <v>2</v>
      </c>
      <c r="AF442" t="n">
        <v>0</v>
      </c>
      <c r="AI442" t="n">
        <v>0</v>
      </c>
      <c r="AJ442" t="n">
        <v>0</v>
      </c>
      <c r="AK442" t="n">
        <v>0</v>
      </c>
      <c r="AL442" t="n">
        <v>0</v>
      </c>
      <c r="AN442" t="n">
        <v>0</v>
      </c>
      <c r="AO442" t="n">
        <v>0</v>
      </c>
      <c r="AP442" t="n">
        <v>0</v>
      </c>
      <c r="AQ442" t="n">
        <v>24</v>
      </c>
      <c r="AR442" t="n">
        <v>0</v>
      </c>
    </row>
    <row r="443">
      <c r="A443" t="n">
        <v>197306</v>
      </c>
      <c r="B443" t="inlineStr">
        <is>
          <t xml:space="preserve">عدم نمایش درخواست مصوب شده ، در فرم انتخاب پیشنهاد جهت اصلاح درخواست غیر تسهیلاتی </t>
        </is>
      </c>
      <c r="D443" t="inlineStr">
        <is>
          <t>Medium</t>
        </is>
      </c>
      <c r="E443" t="n">
        <v>1</v>
      </c>
      <c r="F443" t="inlineStr">
        <is>
          <t>Closed</t>
        </is>
      </c>
      <c r="G443" t="inlineStr">
        <is>
          <t>Other</t>
        </is>
      </c>
      <c r="J443" t="inlineStr">
        <is>
          <t>Dem</t>
        </is>
      </c>
      <c r="K443" t="inlineStr">
        <is>
          <t>DemBiz</t>
        </is>
      </c>
      <c r="M443" t="inlineStr">
        <is>
          <t>Arshi Mahmood</t>
        </is>
      </c>
      <c r="N443" t="inlineStr">
        <is>
          <t>Mohseni Hadise</t>
        </is>
      </c>
      <c r="O443" s="42" t="n">
        <v>45991.57476851852</v>
      </c>
      <c r="Q443" s="42" t="n">
        <v>45991.57476851852</v>
      </c>
      <c r="S443" t="n">
        <v>0</v>
      </c>
      <c r="T443" s="42" t="n">
        <v>45991.57476851852</v>
      </c>
      <c r="Z443" s="42" t="n">
        <v>45991.57476851852</v>
      </c>
      <c r="AA443" t="n">
        <v>0</v>
      </c>
      <c r="AD443" t="n">
        <v>2</v>
      </c>
      <c r="AE443" t="n">
        <v>2</v>
      </c>
      <c r="AF443" t="n">
        <v>0</v>
      </c>
      <c r="AI443" t="n">
        <v>0</v>
      </c>
      <c r="AJ443" t="n">
        <v>0</v>
      </c>
      <c r="AK443" t="n">
        <v>0</v>
      </c>
      <c r="AL443" t="n">
        <v>0</v>
      </c>
      <c r="AN443" t="n">
        <v>0</v>
      </c>
      <c r="AO443" t="n">
        <v>0</v>
      </c>
      <c r="AP443" t="n">
        <v>0</v>
      </c>
      <c r="AQ443" t="n">
        <v>24</v>
      </c>
      <c r="AR443" t="n">
        <v>0</v>
      </c>
    </row>
    <row r="444">
      <c r="A444" t="n">
        <v>197307</v>
      </c>
      <c r="B444" t="inlineStr">
        <is>
          <t>باگ ظاهری کارتابل خانم نسترن یزدانیان</t>
        </is>
      </c>
      <c r="D444" t="inlineStr">
        <is>
          <t>Medium</t>
        </is>
      </c>
      <c r="E444" t="n">
        <v>2</v>
      </c>
      <c r="F444" t="inlineStr">
        <is>
          <t>Closed</t>
        </is>
      </c>
      <c r="G444" t="inlineStr">
        <is>
          <t>Other</t>
        </is>
      </c>
      <c r="J444" t="inlineStr">
        <is>
          <t>Post Bank</t>
        </is>
      </c>
      <c r="K444" t="inlineStr">
        <is>
          <t>Sprint 20</t>
        </is>
      </c>
      <c r="M444" t="inlineStr">
        <is>
          <t>Hoseini Fatemeh</t>
        </is>
      </c>
      <c r="N444" t="inlineStr">
        <is>
          <t>Mohseni Hadise</t>
        </is>
      </c>
      <c r="O444" s="42" t="n">
        <v>45994.59138888889</v>
      </c>
      <c r="Q444" s="42" t="n">
        <v>45994.59138888889</v>
      </c>
      <c r="S444" t="n">
        <v>0</v>
      </c>
      <c r="T444" s="42" t="n">
        <v>45994.59138888889</v>
      </c>
      <c r="Z444" s="42" t="n">
        <v>45994.59138888889</v>
      </c>
      <c r="AA444" t="n">
        <v>0</v>
      </c>
      <c r="AD444" t="n">
        <v>2</v>
      </c>
      <c r="AE444" t="n">
        <v>2</v>
      </c>
      <c r="AF444" t="n">
        <v>0</v>
      </c>
      <c r="AI444" t="n">
        <v>0</v>
      </c>
      <c r="AJ444" t="n">
        <v>0</v>
      </c>
      <c r="AK444" t="n">
        <v>0</v>
      </c>
      <c r="AL444" t="n">
        <v>0</v>
      </c>
      <c r="AN444" t="n">
        <v>0</v>
      </c>
      <c r="AO444" t="n">
        <v>0</v>
      </c>
      <c r="AP444" t="n">
        <v>0</v>
      </c>
      <c r="AQ444" t="n">
        <v>24</v>
      </c>
      <c r="AR444" t="n">
        <v>0</v>
      </c>
    </row>
    <row r="445">
      <c r="A445" t="n">
        <v>197310</v>
      </c>
      <c r="B445" t="inlineStr">
        <is>
          <t>دکمه اتمام در فرم ثبت درخواست ضمانت نامه ریالی ،  پیغام مدت می دهد</t>
        </is>
      </c>
      <c r="D445" t="inlineStr">
        <is>
          <t>Medium</t>
        </is>
      </c>
      <c r="E445" t="n">
        <v>2</v>
      </c>
      <c r="F445" t="inlineStr">
        <is>
          <t>Closed</t>
        </is>
      </c>
      <c r="G445" t="inlineStr">
        <is>
          <t>Other</t>
        </is>
      </c>
      <c r="J445" t="inlineStr">
        <is>
          <t>Dem</t>
        </is>
      </c>
      <c r="K445" t="inlineStr">
        <is>
          <t>DemBiz</t>
        </is>
      </c>
      <c r="M445" t="inlineStr">
        <is>
          <t>Hoseini Fatemeh</t>
        </is>
      </c>
      <c r="N445" t="inlineStr">
        <is>
          <t>Mohseni Hadise</t>
        </is>
      </c>
      <c r="O445" s="42" t="n">
        <v>45987.445</v>
      </c>
      <c r="Q445" s="42" t="n">
        <v>45987.445</v>
      </c>
      <c r="S445" t="n">
        <v>0</v>
      </c>
      <c r="T445" s="42" t="n">
        <v>45987.445</v>
      </c>
      <c r="Z445" s="42" t="n">
        <v>45987.445</v>
      </c>
      <c r="AA445" t="n">
        <v>0</v>
      </c>
      <c r="AD445" t="n">
        <v>2</v>
      </c>
      <c r="AE445" t="n">
        <v>2</v>
      </c>
      <c r="AF445" t="n">
        <v>0</v>
      </c>
      <c r="AI445" t="n">
        <v>0</v>
      </c>
      <c r="AJ445" t="n">
        <v>0</v>
      </c>
      <c r="AK445" t="n">
        <v>0</v>
      </c>
      <c r="AL445" t="n">
        <v>0</v>
      </c>
      <c r="AN445" t="n">
        <v>0</v>
      </c>
      <c r="AO445" t="n">
        <v>0</v>
      </c>
      <c r="AP445" t="n">
        <v>0</v>
      </c>
      <c r="AQ445" t="n">
        <v>24</v>
      </c>
      <c r="AR445" t="n">
        <v>0</v>
      </c>
    </row>
    <row r="446">
      <c r="A446" t="n">
        <v>197328</v>
      </c>
      <c r="B446" t="inlineStr">
        <is>
          <t>مواجهه با خطا هنگام ارجاع بعد ار تعیین وضعیت ثبتی پلاک‌</t>
        </is>
      </c>
      <c r="D446" t="inlineStr">
        <is>
          <t>Medium</t>
        </is>
      </c>
      <c r="E446" t="n">
        <v>3</v>
      </c>
      <c r="F446" t="inlineStr">
        <is>
          <t>Closed</t>
        </is>
      </c>
      <c r="G446" t="inlineStr">
        <is>
          <t>Other</t>
        </is>
      </c>
      <c r="I446" t="inlineStr">
        <is>
          <t>Bizagi_Team</t>
        </is>
      </c>
      <c r="J446" t="inlineStr">
        <is>
          <t>SAJAK</t>
        </is>
      </c>
      <c r="K446" t="inlineStr">
        <is>
          <t>Estate_Sprint 44</t>
        </is>
      </c>
      <c r="L446" t="inlineStr">
        <is>
          <t>Completed</t>
        </is>
      </c>
      <c r="M446" t="inlineStr">
        <is>
          <t>Tedadi Abbas</t>
        </is>
      </c>
      <c r="N446" t="inlineStr">
        <is>
          <t>Moradnoori Parinaz</t>
        </is>
      </c>
      <c r="O446" s="42" t="n">
        <v>46001.46288194445</v>
      </c>
      <c r="Q446" s="42" t="n">
        <v>46001.46288194445</v>
      </c>
      <c r="S446" t="n">
        <v>0</v>
      </c>
      <c r="T446" s="42" t="n">
        <v>46001.46288194445</v>
      </c>
      <c r="Z446" s="42" t="n">
        <v>46001.46288194445</v>
      </c>
      <c r="AA446" t="n">
        <v>0</v>
      </c>
      <c r="AD446" t="n">
        <v>2</v>
      </c>
      <c r="AE446" t="n">
        <v>2</v>
      </c>
      <c r="AF446" t="n">
        <v>0</v>
      </c>
      <c r="AI446" t="n">
        <v>0</v>
      </c>
      <c r="AJ446" t="n">
        <v>0</v>
      </c>
      <c r="AK446" t="n">
        <v>0</v>
      </c>
      <c r="AL446" t="n">
        <v>0</v>
      </c>
      <c r="AN446" t="n">
        <v>0</v>
      </c>
      <c r="AO446" t="n">
        <v>0</v>
      </c>
      <c r="AP446" t="n">
        <v>0</v>
      </c>
      <c r="AQ446" t="n">
        <v>24</v>
      </c>
      <c r="AR446" t="n">
        <v>0</v>
      </c>
    </row>
    <row r="447">
      <c r="A447" t="n">
        <v>197330</v>
      </c>
      <c r="B447" t="inlineStr">
        <is>
          <t xml:space="preserve"> Rem13 در متن پیغام خطا باید اصلاحی صورت پذیرد</t>
        </is>
      </c>
      <c r="D447" t="inlineStr">
        <is>
          <t>Medium</t>
        </is>
      </c>
      <c r="E447" t="n">
        <v>4</v>
      </c>
      <c r="F447" t="inlineStr">
        <is>
          <t>Ready for Retest</t>
        </is>
      </c>
      <c r="G447" t="inlineStr">
        <is>
          <t>Other</t>
        </is>
      </c>
      <c r="I447" t="inlineStr">
        <is>
          <t>Bizagi_Team</t>
        </is>
      </c>
      <c r="J447" t="inlineStr">
        <is>
          <t>SAJAK</t>
        </is>
      </c>
      <c r="K447" t="inlineStr">
        <is>
          <t>Estate_Sprint 44</t>
        </is>
      </c>
      <c r="M447" t="inlineStr">
        <is>
          <t>Jafari Saeed</t>
        </is>
      </c>
      <c r="Q447" s="42" t="n">
        <v>46012.55108796297</v>
      </c>
      <c r="S447" t="n">
        <v>0</v>
      </c>
      <c r="T447" s="42" t="n">
        <v>46012.55108796297</v>
      </c>
      <c r="AA447" t="n">
        <v>0</v>
      </c>
      <c r="AD447" t="n">
        <v>2</v>
      </c>
      <c r="AE447" t="n">
        <v>2</v>
      </c>
      <c r="AF447" t="n">
        <v>0</v>
      </c>
      <c r="AI447" t="n">
        <v>0</v>
      </c>
      <c r="AJ447" t="n">
        <v>0</v>
      </c>
      <c r="AN447" t="n">
        <v>0</v>
      </c>
      <c r="AO447" t="n">
        <v>0</v>
      </c>
      <c r="AP447" t="n">
        <v>0</v>
      </c>
      <c r="AQ447" t="n">
        <v>24</v>
      </c>
      <c r="AR447" t="n">
        <v>0</v>
      </c>
    </row>
    <row r="448">
      <c r="A448" t="n">
        <v>197399</v>
      </c>
      <c r="B448" t="inlineStr">
        <is>
          <t>داپلیکیت شدن رهگیری 26/08</t>
        </is>
      </c>
      <c r="D448" t="inlineStr">
        <is>
          <t>Medium</t>
        </is>
      </c>
      <c r="E448" t="n">
        <v>2</v>
      </c>
      <c r="F448" t="inlineStr">
        <is>
          <t>Closed</t>
        </is>
      </c>
      <c r="G448" t="inlineStr">
        <is>
          <t>Other</t>
        </is>
      </c>
      <c r="J448" t="inlineStr">
        <is>
          <t>Dem</t>
        </is>
      </c>
      <c r="K448" t="inlineStr">
        <is>
          <t>DemBiz</t>
        </is>
      </c>
      <c r="L448" t="inlineStr">
        <is>
          <t>Duplicate</t>
        </is>
      </c>
      <c r="M448" t="inlineStr">
        <is>
          <t>Hoseini Fatemeh</t>
        </is>
      </c>
      <c r="N448" t="inlineStr">
        <is>
          <t>Hoseini Fatemeh</t>
        </is>
      </c>
      <c r="O448" s="42" t="n">
        <v>46013.49945601852</v>
      </c>
      <c r="Q448" s="42" t="n">
        <v>46013.49945601852</v>
      </c>
      <c r="S448" t="n">
        <v>0</v>
      </c>
      <c r="T448" s="42" t="n">
        <v>46013.49945601852</v>
      </c>
      <c r="Z448" s="42" t="n">
        <v>46013.49945601852</v>
      </c>
      <c r="AA448" t="n">
        <v>0</v>
      </c>
      <c r="AD448" t="n">
        <v>2</v>
      </c>
      <c r="AE448" t="n">
        <v>2</v>
      </c>
      <c r="AF448" t="n">
        <v>0</v>
      </c>
      <c r="AI448" t="n">
        <v>1</v>
      </c>
      <c r="AJ448" t="n">
        <v>0</v>
      </c>
      <c r="AK448" t="n">
        <v>0</v>
      </c>
      <c r="AL448" t="n">
        <v>0</v>
      </c>
      <c r="AN448" t="n">
        <v>0</v>
      </c>
      <c r="AO448" t="n">
        <v>0</v>
      </c>
      <c r="AP448" t="n">
        <v>0</v>
      </c>
      <c r="AQ448" t="n">
        <v>24</v>
      </c>
      <c r="AR448" t="n">
        <v>0</v>
      </c>
    </row>
    <row r="449">
      <c r="A449" t="n">
        <v>197487</v>
      </c>
      <c r="B449" t="inlineStr">
        <is>
          <t>MOM01-برگزاری جلسه-خطای 500 در درج پرونده</t>
        </is>
      </c>
      <c r="D449" t="inlineStr">
        <is>
          <t>Medium</t>
        </is>
      </c>
      <c r="E449" t="n">
        <v>1</v>
      </c>
      <c r="F449" t="inlineStr">
        <is>
          <t>Active</t>
        </is>
      </c>
      <c r="G449" t="inlineStr">
        <is>
          <t>Other</t>
        </is>
      </c>
      <c r="I449" t="inlineStr">
        <is>
          <t>Bizagi_Team; infra_Team</t>
        </is>
      </c>
      <c r="J449" t="inlineStr">
        <is>
          <t>SAJAK</t>
        </is>
      </c>
      <c r="K449" t="inlineStr">
        <is>
          <t>Estate_Sprint 44</t>
        </is>
      </c>
      <c r="M449" t="inlineStr">
        <is>
          <t>Tedadi Abbas</t>
        </is>
      </c>
      <c r="Q449" s="42" t="n">
        <v>46006.68582175926</v>
      </c>
      <c r="S449" t="n">
        <v>0</v>
      </c>
      <c r="T449" s="42" t="n">
        <v>46006.68582175926</v>
      </c>
      <c r="AA449" t="n">
        <v>0</v>
      </c>
      <c r="AD449" t="n">
        <v>2</v>
      </c>
      <c r="AE449" t="n">
        <v>2</v>
      </c>
      <c r="AF449" t="n">
        <v>0</v>
      </c>
      <c r="AI449" t="n">
        <v>0</v>
      </c>
      <c r="AJ449" t="n">
        <v>0</v>
      </c>
      <c r="AM449" t="n">
        <v>11</v>
      </c>
      <c r="AN449" t="n">
        <v>0</v>
      </c>
      <c r="AO449" t="n">
        <v>0</v>
      </c>
      <c r="AP449" t="n">
        <v>0</v>
      </c>
      <c r="AQ449" t="n">
        <v>24</v>
      </c>
      <c r="AR449" t="n">
        <v>0</v>
      </c>
    </row>
    <row r="450">
      <c r="A450" t="n">
        <v>197521</v>
      </c>
      <c r="B450" t="inlineStr">
        <is>
          <t>ایجاد کالا/عدم اعمال کنترل ها در فرم ویرایش   //   s.kh</t>
        </is>
      </c>
      <c r="D450" t="inlineStr">
        <is>
          <t>Medium</t>
        </is>
      </c>
      <c r="E450" t="n">
        <v>2</v>
      </c>
      <c r="F450" t="inlineStr">
        <is>
          <t>Ready for Retest</t>
        </is>
      </c>
      <c r="G450" t="inlineStr">
        <is>
          <t>Other</t>
        </is>
      </c>
      <c r="J450" t="inlineStr">
        <is>
          <t>Integrated Warehouse</t>
        </is>
      </c>
      <c r="K450" t="inlineStr">
        <is>
          <t>Sprint 32</t>
        </is>
      </c>
      <c r="M450" t="inlineStr">
        <is>
          <t>Khedmati Aylin</t>
        </is>
      </c>
      <c r="Q450" s="42" t="n">
        <v>46015.68054398148</v>
      </c>
      <c r="S450" t="n">
        <v>0</v>
      </c>
      <c r="T450" s="42" t="n">
        <v>46015.68054398148</v>
      </c>
      <c r="AA450" t="n">
        <v>0</v>
      </c>
      <c r="AD450" t="n">
        <v>2</v>
      </c>
      <c r="AE450" t="n">
        <v>2</v>
      </c>
      <c r="AF450" t="n">
        <v>0</v>
      </c>
      <c r="AI450" t="n">
        <v>0</v>
      </c>
      <c r="AJ450" t="n">
        <v>0</v>
      </c>
      <c r="AN450" t="n">
        <v>0</v>
      </c>
      <c r="AO450" t="n">
        <v>0</v>
      </c>
      <c r="AP450" t="n">
        <v>0</v>
      </c>
      <c r="AQ450" t="n">
        <v>24</v>
      </c>
      <c r="AR450" t="n">
        <v>0</v>
      </c>
    </row>
    <row r="451">
      <c r="A451" t="n">
        <v>197522</v>
      </c>
      <c r="B451" t="inlineStr">
        <is>
          <t>عودت /پاراف</t>
        </is>
      </c>
      <c r="D451" t="inlineStr">
        <is>
          <t>Medium</t>
        </is>
      </c>
      <c r="E451" t="n">
        <v>2</v>
      </c>
      <c r="F451" t="inlineStr">
        <is>
          <t>Closed</t>
        </is>
      </c>
      <c r="G451" t="inlineStr">
        <is>
          <t>Other</t>
        </is>
      </c>
      <c r="J451" t="inlineStr">
        <is>
          <t>Stagnant Archive</t>
        </is>
      </c>
      <c r="K451" t="inlineStr">
        <is>
          <t>Sp_22</t>
        </is>
      </c>
      <c r="M451" t="inlineStr">
        <is>
          <t>Homayoun Mohammad</t>
        </is>
      </c>
      <c r="N451" t="inlineStr">
        <is>
          <t>Khodabakhsh Sadaf</t>
        </is>
      </c>
      <c r="O451" s="42" t="n">
        <v>45992.45880787037</v>
      </c>
      <c r="Q451" s="42" t="n">
        <v>45992.45880787037</v>
      </c>
      <c r="S451" t="n">
        <v>0</v>
      </c>
      <c r="T451" s="42" t="n">
        <v>45992.45880787037</v>
      </c>
      <c r="Z451" s="42" t="n">
        <v>45992.45880787037</v>
      </c>
      <c r="AA451" t="n">
        <v>0</v>
      </c>
      <c r="AD451" t="n">
        <v>2</v>
      </c>
      <c r="AE451" t="n">
        <v>2</v>
      </c>
      <c r="AF451" t="n">
        <v>0</v>
      </c>
      <c r="AI451" t="n">
        <v>0</v>
      </c>
      <c r="AJ451" t="n">
        <v>0</v>
      </c>
      <c r="AK451" t="n">
        <v>0</v>
      </c>
      <c r="AL451" t="n">
        <v>0</v>
      </c>
      <c r="AN451" t="n">
        <v>0</v>
      </c>
      <c r="AO451" t="n">
        <v>0</v>
      </c>
      <c r="AP451" t="n">
        <v>0</v>
      </c>
      <c r="AQ451" t="n">
        <v>24</v>
      </c>
      <c r="AR451" t="n">
        <v>0</v>
      </c>
    </row>
    <row r="452">
      <c r="A452" t="n">
        <v>195228</v>
      </c>
      <c r="B452" t="inlineStr">
        <is>
          <t>دکمه تایید و ادامه در فرم ورود اطلاعات پیشنهاد شعبه پیغام خطا می دهد/1377/NFWDem</t>
        </is>
      </c>
      <c r="D452" t="inlineStr">
        <is>
          <t>Medium</t>
        </is>
      </c>
      <c r="E452" t="n">
        <v>1</v>
      </c>
      <c r="F452" t="inlineStr">
        <is>
          <t>Closed</t>
        </is>
      </c>
      <c r="G452" t="inlineStr">
        <is>
          <t>Other</t>
        </is>
      </c>
      <c r="J452" t="inlineStr">
        <is>
          <t>Dem</t>
        </is>
      </c>
      <c r="K452" t="inlineStr">
        <is>
          <t>DemBiz</t>
        </is>
      </c>
      <c r="M452" t="inlineStr">
        <is>
          <t>Hoseini Fatemeh</t>
        </is>
      </c>
      <c r="N452" t="inlineStr">
        <is>
          <t>Hajizadeh Elnaz</t>
        </is>
      </c>
      <c r="O452" s="42" t="n">
        <v>45979.70881944444</v>
      </c>
      <c r="Q452" s="42" t="n">
        <v>45979.70881944444</v>
      </c>
      <c r="S452" t="n">
        <v>0</v>
      </c>
      <c r="T452" s="42" t="n">
        <v>45979.70881944444</v>
      </c>
      <c r="Z452" s="42" t="n">
        <v>45979.70881944444</v>
      </c>
      <c r="AA452" t="n">
        <v>0</v>
      </c>
      <c r="AD452" t="n">
        <v>2</v>
      </c>
      <c r="AE452" t="n">
        <v>2</v>
      </c>
      <c r="AF452" t="n">
        <v>0</v>
      </c>
      <c r="AI452" t="n">
        <v>0</v>
      </c>
      <c r="AJ452" t="n">
        <v>0</v>
      </c>
      <c r="AK452" t="n">
        <v>0</v>
      </c>
      <c r="AL452" t="n">
        <v>0</v>
      </c>
      <c r="AN452" t="n">
        <v>0</v>
      </c>
      <c r="AO452" t="n">
        <v>0</v>
      </c>
      <c r="AP452" t="n">
        <v>0</v>
      </c>
      <c r="AQ452" t="n">
        <v>24</v>
      </c>
      <c r="AR452" t="n">
        <v>0</v>
      </c>
    </row>
    <row r="453">
      <c r="A453" t="n">
        <v>195231</v>
      </c>
      <c r="B453" t="inlineStr">
        <is>
          <t xml:space="preserve">1377/داپلیکیت شدن وثائق در جزییات عقود، عقد فروش اقساطی/NFWDem </t>
        </is>
      </c>
      <c r="D453" t="inlineStr">
        <is>
          <t>Medium</t>
        </is>
      </c>
      <c r="E453" t="n">
        <v>1</v>
      </c>
      <c r="F453" t="inlineStr">
        <is>
          <t>Closed</t>
        </is>
      </c>
      <c r="G453" t="inlineStr">
        <is>
          <t>Other</t>
        </is>
      </c>
      <c r="J453" t="inlineStr">
        <is>
          <t>Infrastructure Bizagi Extension</t>
        </is>
      </c>
      <c r="K453" t="inlineStr">
        <is>
          <t>SP-87</t>
        </is>
      </c>
      <c r="M453" t="inlineStr">
        <is>
          <t>Rezaee Reza</t>
        </is>
      </c>
      <c r="N453" t="inlineStr">
        <is>
          <t>Hajizadeh Elnaz</t>
        </is>
      </c>
      <c r="O453" s="42" t="n">
        <v>45978.42627314815</v>
      </c>
      <c r="Q453" s="42" t="n">
        <v>45978.42627314815</v>
      </c>
      <c r="S453" t="n">
        <v>0</v>
      </c>
      <c r="T453" s="42" t="n">
        <v>45978.42627314815</v>
      </c>
      <c r="Z453" s="42" t="n">
        <v>45978.42627314815</v>
      </c>
      <c r="AA453" t="n">
        <v>0</v>
      </c>
      <c r="AD453" t="n">
        <v>2</v>
      </c>
      <c r="AE453" t="n">
        <v>2</v>
      </c>
      <c r="AF453" t="n">
        <v>0</v>
      </c>
      <c r="AI453" t="n">
        <v>0</v>
      </c>
      <c r="AJ453" t="n">
        <v>0</v>
      </c>
      <c r="AK453" t="n">
        <v>0</v>
      </c>
      <c r="AL453" t="n">
        <v>0</v>
      </c>
      <c r="AN453" t="n">
        <v>0</v>
      </c>
      <c r="AO453" t="n">
        <v>0</v>
      </c>
      <c r="AP453" t="n">
        <v>0</v>
      </c>
      <c r="AQ453" t="n">
        <v>24</v>
      </c>
      <c r="AR453" t="n">
        <v>0</v>
      </c>
    </row>
    <row r="454">
      <c r="A454" t="n">
        <v>195232</v>
      </c>
      <c r="B454" t="inlineStr">
        <is>
          <t xml:space="preserve"> با تغییر سرمایه اولیه درتغییرات شرکت ، تغییرات اعمال نشده و نمایش داده نمی شود / 1377</t>
        </is>
      </c>
      <c r="D454" t="inlineStr">
        <is>
          <t>Medium</t>
        </is>
      </c>
      <c r="E454" t="n">
        <v>1</v>
      </c>
      <c r="F454" t="inlineStr">
        <is>
          <t>Closed</t>
        </is>
      </c>
      <c r="G454" t="inlineStr">
        <is>
          <t>Other</t>
        </is>
      </c>
      <c r="J454" t="inlineStr">
        <is>
          <t>Dem</t>
        </is>
      </c>
      <c r="K454" t="inlineStr">
        <is>
          <t>DemBiz</t>
        </is>
      </c>
      <c r="M454" t="inlineStr">
        <is>
          <t>Hoseini Fatemeh</t>
        </is>
      </c>
      <c r="N454" t="inlineStr">
        <is>
          <t>Hajizadeh Elnaz</t>
        </is>
      </c>
      <c r="O454" s="42" t="n">
        <v>45977.61931712963</v>
      </c>
      <c r="Q454" s="42" t="n">
        <v>45977.61931712963</v>
      </c>
      <c r="S454" t="n">
        <v>0</v>
      </c>
      <c r="T454" s="42" t="n">
        <v>45977.61931712963</v>
      </c>
      <c r="Z454" s="42" t="n">
        <v>45977.61931712963</v>
      </c>
      <c r="AA454" t="n">
        <v>0</v>
      </c>
      <c r="AD454" t="n">
        <v>2</v>
      </c>
      <c r="AE454" t="n">
        <v>2</v>
      </c>
      <c r="AF454" t="n">
        <v>0</v>
      </c>
      <c r="AI454" t="n">
        <v>0</v>
      </c>
      <c r="AJ454" t="n">
        <v>0</v>
      </c>
      <c r="AK454" t="n">
        <v>0</v>
      </c>
      <c r="AL454" t="n">
        <v>0</v>
      </c>
      <c r="AN454" t="n">
        <v>0</v>
      </c>
      <c r="AO454" t="n">
        <v>0</v>
      </c>
      <c r="AP454" t="n">
        <v>0</v>
      </c>
      <c r="AQ454" t="n">
        <v>24</v>
      </c>
      <c r="AR454" t="n">
        <v>0</v>
      </c>
    </row>
    <row r="455">
      <c r="A455" t="n">
        <v>195235</v>
      </c>
      <c r="B455" t="inlineStr">
        <is>
          <t>ثبت پاراف برای بازگشت به رئیس واحد در استپ مشاهده نتیجه کمیته ارور میدهد//1377/1365</t>
        </is>
      </c>
      <c r="D455" t="inlineStr">
        <is>
          <t>Medium</t>
        </is>
      </c>
      <c r="E455" t="n">
        <v>2</v>
      </c>
      <c r="F455" t="inlineStr">
        <is>
          <t>Closed</t>
        </is>
      </c>
      <c r="G455" t="inlineStr">
        <is>
          <t>Other</t>
        </is>
      </c>
      <c r="J455" t="inlineStr">
        <is>
          <t>Dem</t>
        </is>
      </c>
      <c r="K455" t="inlineStr">
        <is>
          <t>DemBiz</t>
        </is>
      </c>
      <c r="M455" t="inlineStr">
        <is>
          <t>Arshi Mahmood</t>
        </is>
      </c>
      <c r="N455" t="inlineStr">
        <is>
          <t>Baniamer Shaghayegh</t>
        </is>
      </c>
      <c r="O455" s="42" t="n">
        <v>45977.81836805555</v>
      </c>
      <c r="Q455" s="42" t="n">
        <v>45977.81836805555</v>
      </c>
      <c r="S455" t="n">
        <v>0</v>
      </c>
      <c r="T455" s="42" t="n">
        <v>45977.81836805555</v>
      </c>
      <c r="Z455" s="42" t="n">
        <v>45977.81836805555</v>
      </c>
      <c r="AA455" t="n">
        <v>0</v>
      </c>
      <c r="AD455" t="n">
        <v>2</v>
      </c>
      <c r="AE455" t="n">
        <v>2</v>
      </c>
      <c r="AF455" t="n">
        <v>0</v>
      </c>
      <c r="AI455" t="n">
        <v>0</v>
      </c>
      <c r="AJ455" t="n">
        <v>0</v>
      </c>
      <c r="AK455" t="n">
        <v>0</v>
      </c>
      <c r="AL455" t="n">
        <v>0</v>
      </c>
      <c r="AN455" t="n">
        <v>0</v>
      </c>
      <c r="AO455" t="n">
        <v>0</v>
      </c>
      <c r="AP455" t="n">
        <v>0</v>
      </c>
      <c r="AQ455" t="n">
        <v>24</v>
      </c>
      <c r="AR455" t="n">
        <v>0</v>
      </c>
    </row>
    <row r="456">
      <c r="A456" t="n">
        <v>195240</v>
      </c>
      <c r="B456" t="inlineStr">
        <is>
          <t>فرم ثبت سایر اشخاص حقیقی/حقوقی جدید ، دکمه ثبت پیغام درج نکردن کد ملی می دهد/1377/1365</t>
        </is>
      </c>
      <c r="D456" t="inlineStr">
        <is>
          <t>Medium</t>
        </is>
      </c>
      <c r="E456" t="n">
        <v>2</v>
      </c>
      <c r="F456" t="inlineStr">
        <is>
          <t>Closed</t>
        </is>
      </c>
      <c r="G456" t="inlineStr">
        <is>
          <t>Other</t>
        </is>
      </c>
      <c r="J456" t="inlineStr">
        <is>
          <t>Dem</t>
        </is>
      </c>
      <c r="K456" t="inlineStr">
        <is>
          <t>DemBiz</t>
        </is>
      </c>
      <c r="M456" t="inlineStr">
        <is>
          <t>Moradi Mohammad</t>
        </is>
      </c>
      <c r="N456" t="inlineStr">
        <is>
          <t>Baniamer Shaghayegh</t>
        </is>
      </c>
      <c r="O456" s="42" t="n">
        <v>45977.81767361111</v>
      </c>
      <c r="Q456" s="42" t="n">
        <v>45977.81767361111</v>
      </c>
      <c r="S456" t="n">
        <v>0</v>
      </c>
      <c r="T456" s="42" t="n">
        <v>45977.81767361111</v>
      </c>
      <c r="Z456" s="42" t="n">
        <v>45977.81767361111</v>
      </c>
      <c r="AA456" t="n">
        <v>0</v>
      </c>
      <c r="AD456" t="n">
        <v>2</v>
      </c>
      <c r="AE456" t="n">
        <v>2</v>
      </c>
      <c r="AF456" t="n">
        <v>0</v>
      </c>
      <c r="AI456" t="n">
        <v>0</v>
      </c>
      <c r="AJ456" t="n">
        <v>0</v>
      </c>
      <c r="AK456" t="n">
        <v>0</v>
      </c>
      <c r="AL456" t="n">
        <v>0</v>
      </c>
      <c r="AN456" t="n">
        <v>0</v>
      </c>
      <c r="AO456" t="n">
        <v>0</v>
      </c>
      <c r="AP456" t="n">
        <v>0</v>
      </c>
      <c r="AQ456" t="n">
        <v>24</v>
      </c>
      <c r="AR456" t="n">
        <v>0</v>
      </c>
    </row>
    <row r="457">
      <c r="A457" t="n">
        <v>195254</v>
      </c>
      <c r="B457" t="inlineStr">
        <is>
          <t xml:space="preserve">مجموع ها در سهامدار ، بعداز نکست از فرم ویرایش به فرم نمایش ، 0 می شود/1365/1377 </t>
        </is>
      </c>
      <c r="D457" t="inlineStr">
        <is>
          <t>Medium</t>
        </is>
      </c>
      <c r="E457" t="n">
        <v>1</v>
      </c>
      <c r="F457" t="inlineStr">
        <is>
          <t>Closed</t>
        </is>
      </c>
      <c r="G457" t="inlineStr">
        <is>
          <t>Other</t>
        </is>
      </c>
      <c r="J457" t="inlineStr">
        <is>
          <t>Dem</t>
        </is>
      </c>
      <c r="K457" t="inlineStr">
        <is>
          <t>DemBiz</t>
        </is>
      </c>
      <c r="M457" t="inlineStr">
        <is>
          <t>Hoseini Fatemeh</t>
        </is>
      </c>
      <c r="N457" t="inlineStr">
        <is>
          <t>Hoseini Fatemeh</t>
        </is>
      </c>
      <c r="O457" s="42" t="n">
        <v>45978.48342592592</v>
      </c>
      <c r="Q457" s="42" t="n">
        <v>45978.48342592592</v>
      </c>
      <c r="S457" t="n">
        <v>0</v>
      </c>
      <c r="T457" s="42" t="n">
        <v>45978.48342592592</v>
      </c>
      <c r="Z457" s="42" t="n">
        <v>45978.48342592592</v>
      </c>
      <c r="AA457" t="n">
        <v>0</v>
      </c>
      <c r="AD457" t="n">
        <v>2</v>
      </c>
      <c r="AE457" t="n">
        <v>2</v>
      </c>
      <c r="AF457" t="n">
        <v>0</v>
      </c>
      <c r="AI457" t="n">
        <v>0</v>
      </c>
      <c r="AJ457" t="n">
        <v>0</v>
      </c>
      <c r="AK457" t="n">
        <v>0</v>
      </c>
      <c r="AL457" t="n">
        <v>0</v>
      </c>
      <c r="AN457" t="n">
        <v>0</v>
      </c>
      <c r="AO457" t="n">
        <v>0</v>
      </c>
      <c r="AP457" t="n">
        <v>0</v>
      </c>
      <c r="AQ457" t="n">
        <v>24</v>
      </c>
      <c r="AR457" t="n">
        <v>0</v>
      </c>
    </row>
    <row r="458">
      <c r="A458" t="n">
        <v>195271</v>
      </c>
      <c r="B458" t="inlineStr">
        <is>
          <t xml:space="preserve">REM13عدم امکام حذف یا ویرایش پی نوشت در فرم های دارای پی نوشت </t>
        </is>
      </c>
      <c r="D458" t="inlineStr">
        <is>
          <t>Medium</t>
        </is>
      </c>
      <c r="E458" t="n">
        <v>1</v>
      </c>
      <c r="F458" t="inlineStr">
        <is>
          <t>Active</t>
        </is>
      </c>
      <c r="G458" t="inlineStr">
        <is>
          <t>Other</t>
        </is>
      </c>
      <c r="I458" t="inlineStr">
        <is>
          <t>Bizagi_Team</t>
        </is>
      </c>
      <c r="J458" t="inlineStr">
        <is>
          <t>SAJAK</t>
        </is>
      </c>
      <c r="K458" t="inlineStr">
        <is>
          <t>Estate_Sprint 44</t>
        </is>
      </c>
      <c r="M458" t="inlineStr">
        <is>
          <t>Kalaei Saman</t>
        </is>
      </c>
      <c r="Q458" s="42" t="n">
        <v>46004.68295138889</v>
      </c>
      <c r="S458" t="n">
        <v>0</v>
      </c>
      <c r="T458" s="42" t="n">
        <v>46004.68295138889</v>
      </c>
      <c r="AA458" t="n">
        <v>0</v>
      </c>
      <c r="AD458" t="n">
        <v>2</v>
      </c>
      <c r="AE458" t="n">
        <v>2</v>
      </c>
      <c r="AF458" t="n">
        <v>0</v>
      </c>
      <c r="AI458" t="n">
        <v>0</v>
      </c>
      <c r="AJ458" t="n">
        <v>0</v>
      </c>
      <c r="AM458" t="n">
        <v>13</v>
      </c>
      <c r="AN458" t="n">
        <v>0</v>
      </c>
      <c r="AO458" t="n">
        <v>0</v>
      </c>
      <c r="AP458" t="n">
        <v>0</v>
      </c>
      <c r="AQ458" t="n">
        <v>24</v>
      </c>
      <c r="AR458" t="n">
        <v>0</v>
      </c>
    </row>
    <row r="459">
      <c r="A459" t="n">
        <v>195298</v>
      </c>
      <c r="B459" t="inlineStr">
        <is>
          <t>تکرار موضوع سند در پیریویو اسناد انتخاب شده/1365</t>
        </is>
      </c>
      <c r="D459" t="inlineStr">
        <is>
          <t>Medium</t>
        </is>
      </c>
      <c r="E459" t="n">
        <v>2</v>
      </c>
      <c r="F459" t="inlineStr">
        <is>
          <t>Closed</t>
        </is>
      </c>
      <c r="G459" t="inlineStr">
        <is>
          <t>Other</t>
        </is>
      </c>
      <c r="J459" t="inlineStr">
        <is>
          <t>Dem</t>
        </is>
      </c>
      <c r="K459" t="inlineStr">
        <is>
          <t>DemBiz</t>
        </is>
      </c>
      <c r="M459" t="inlineStr">
        <is>
          <t>Hoseini Fatemeh</t>
        </is>
      </c>
      <c r="N459" t="inlineStr">
        <is>
          <t>Hajizadeh Elnaz</t>
        </is>
      </c>
      <c r="O459" s="42" t="n">
        <v>45976.71399305556</v>
      </c>
      <c r="Q459" s="42" t="n">
        <v>45976.71399305556</v>
      </c>
      <c r="S459" t="n">
        <v>0</v>
      </c>
      <c r="T459" s="42" t="n">
        <v>45976.71399305556</v>
      </c>
      <c r="Z459" s="42" t="n">
        <v>45976.71399305556</v>
      </c>
      <c r="AA459" t="n">
        <v>0</v>
      </c>
      <c r="AD459" t="n">
        <v>2</v>
      </c>
      <c r="AE459" t="n">
        <v>2</v>
      </c>
      <c r="AF459" t="n">
        <v>0</v>
      </c>
      <c r="AI459" t="n">
        <v>0</v>
      </c>
      <c r="AJ459" t="n">
        <v>0</v>
      </c>
      <c r="AK459" t="n">
        <v>0</v>
      </c>
      <c r="AL459" t="n">
        <v>0</v>
      </c>
      <c r="AN459" t="n">
        <v>0</v>
      </c>
      <c r="AO459" t="n">
        <v>0</v>
      </c>
      <c r="AP459" t="n">
        <v>0</v>
      </c>
      <c r="AQ459" t="n">
        <v>24</v>
      </c>
      <c r="AR459" t="n">
        <v>0</v>
      </c>
    </row>
    <row r="460">
      <c r="A460" t="n">
        <v>195367</v>
      </c>
      <c r="B460" t="inlineStr">
        <is>
          <t>دکمه ثبت در اسناد مربوط به پیشنهاد ( لینک اسناد در تکمیل ) پیغام اشتباه می دهد 1377/1365</t>
        </is>
      </c>
      <c r="D460" t="inlineStr">
        <is>
          <t>Medium</t>
        </is>
      </c>
      <c r="E460" t="n">
        <v>1</v>
      </c>
      <c r="F460" t="inlineStr">
        <is>
          <t>Closed</t>
        </is>
      </c>
      <c r="G460" t="inlineStr">
        <is>
          <t>Other</t>
        </is>
      </c>
      <c r="J460" t="inlineStr">
        <is>
          <t>Dem</t>
        </is>
      </c>
      <c r="K460" t="inlineStr">
        <is>
          <t>DemBiz</t>
        </is>
      </c>
      <c r="M460" t="inlineStr">
        <is>
          <t>Arshi Mahmood</t>
        </is>
      </c>
      <c r="N460" t="inlineStr">
        <is>
          <t>Baniamer Shaghayegh</t>
        </is>
      </c>
      <c r="O460" s="42" t="n">
        <v>45977.81625</v>
      </c>
      <c r="Q460" s="42" t="n">
        <v>45977.81625</v>
      </c>
      <c r="S460" t="n">
        <v>0</v>
      </c>
      <c r="T460" s="42" t="n">
        <v>45977.81625</v>
      </c>
      <c r="Z460" s="42" t="n">
        <v>45977.81625</v>
      </c>
      <c r="AA460" t="n">
        <v>0</v>
      </c>
      <c r="AD460" t="n">
        <v>2</v>
      </c>
      <c r="AE460" t="n">
        <v>2</v>
      </c>
      <c r="AF460" t="n">
        <v>0</v>
      </c>
      <c r="AI460" t="n">
        <v>0</v>
      </c>
      <c r="AJ460" t="n">
        <v>0</v>
      </c>
      <c r="AK460" t="n">
        <v>0</v>
      </c>
      <c r="AL460" t="n">
        <v>0</v>
      </c>
      <c r="AN460" t="n">
        <v>0</v>
      </c>
      <c r="AO460" t="n">
        <v>0</v>
      </c>
      <c r="AP460" t="n">
        <v>0</v>
      </c>
      <c r="AQ460" t="n">
        <v>24</v>
      </c>
      <c r="AR460" t="n">
        <v>0</v>
      </c>
    </row>
    <row r="461">
      <c r="A461" t="n">
        <v>195377</v>
      </c>
      <c r="B461" t="inlineStr">
        <is>
          <t>بدون در نظر گرفتن نظریه کارشناسی  ، سند نکست شد  / 1365</t>
        </is>
      </c>
      <c r="D461" t="inlineStr">
        <is>
          <t>Medium</t>
        </is>
      </c>
      <c r="E461" t="n">
        <v>1</v>
      </c>
      <c r="F461" t="inlineStr">
        <is>
          <t>Closed</t>
        </is>
      </c>
      <c r="G461" t="inlineStr">
        <is>
          <t>Other</t>
        </is>
      </c>
      <c r="J461" t="inlineStr">
        <is>
          <t>Dem</t>
        </is>
      </c>
      <c r="K461" t="inlineStr">
        <is>
          <t>DemBiz</t>
        </is>
      </c>
      <c r="M461" t="inlineStr">
        <is>
          <t>Hoseini Fatemeh</t>
        </is>
      </c>
      <c r="N461" t="inlineStr">
        <is>
          <t>Hajizadeh Elnaz</t>
        </is>
      </c>
      <c r="O461" s="42" t="n">
        <v>45977.56224537037</v>
      </c>
      <c r="Q461" s="42" t="n">
        <v>45977.56224537037</v>
      </c>
      <c r="S461" t="n">
        <v>0</v>
      </c>
      <c r="T461" s="42" t="n">
        <v>45977.56224537037</v>
      </c>
      <c r="Z461" s="42" t="n">
        <v>45977.56224537037</v>
      </c>
      <c r="AA461" t="n">
        <v>0</v>
      </c>
      <c r="AD461" t="n">
        <v>2</v>
      </c>
      <c r="AE461" t="n">
        <v>2</v>
      </c>
      <c r="AF461" t="n">
        <v>0</v>
      </c>
      <c r="AI461" t="n">
        <v>0</v>
      </c>
      <c r="AJ461" t="n">
        <v>0</v>
      </c>
      <c r="AK461" t="n">
        <v>0</v>
      </c>
      <c r="AL461" t="n">
        <v>0</v>
      </c>
      <c r="AN461" t="n">
        <v>0</v>
      </c>
      <c r="AO461" t="n">
        <v>0</v>
      </c>
      <c r="AP461" t="n">
        <v>0</v>
      </c>
      <c r="AQ461" t="n">
        <v>24</v>
      </c>
      <c r="AR461" t="n">
        <v>0</v>
      </c>
    </row>
    <row r="462">
      <c r="A462" t="n">
        <v>195378</v>
      </c>
      <c r="B462" t="inlineStr">
        <is>
          <t>درخواست بایگانی - تعیین مسئول صرتجلسه - ایراد در متن خطا</t>
        </is>
      </c>
      <c r="D462" t="inlineStr">
        <is>
          <t>Medium</t>
        </is>
      </c>
      <c r="E462" t="n">
        <v>2</v>
      </c>
      <c r="F462" t="inlineStr">
        <is>
          <t>Closed</t>
        </is>
      </c>
      <c r="G462" t="inlineStr">
        <is>
          <t>Other</t>
        </is>
      </c>
      <c r="J462" t="inlineStr">
        <is>
          <t>Stagnant Archive</t>
        </is>
      </c>
      <c r="K462" t="inlineStr">
        <is>
          <t>Sp_22</t>
        </is>
      </c>
      <c r="M462" t="inlineStr">
        <is>
          <t>Homayoun Mohammad</t>
        </is>
      </c>
      <c r="N462" t="inlineStr">
        <is>
          <t>Monfared Mobina</t>
        </is>
      </c>
      <c r="O462" s="42" t="n">
        <v>45998.54708333333</v>
      </c>
      <c r="Q462" s="42" t="n">
        <v>45998.54708333333</v>
      </c>
      <c r="S462" t="n">
        <v>0</v>
      </c>
      <c r="T462" s="42" t="n">
        <v>45998.54708333333</v>
      </c>
      <c r="Z462" s="42" t="n">
        <v>45998.54708333333</v>
      </c>
      <c r="AA462" t="n">
        <v>0</v>
      </c>
      <c r="AD462" t="n">
        <v>2</v>
      </c>
      <c r="AE462" t="n">
        <v>2</v>
      </c>
      <c r="AF462" t="n">
        <v>0</v>
      </c>
      <c r="AI462" t="n">
        <v>0</v>
      </c>
      <c r="AJ462" t="n">
        <v>0</v>
      </c>
      <c r="AK462" t="n">
        <v>0</v>
      </c>
      <c r="AL462" t="n">
        <v>0</v>
      </c>
      <c r="AN462" t="n">
        <v>0</v>
      </c>
      <c r="AO462" t="n">
        <v>0</v>
      </c>
      <c r="AP462" t="n">
        <v>0</v>
      </c>
      <c r="AQ462" t="n">
        <v>24</v>
      </c>
      <c r="AR462" t="n">
        <v>0</v>
      </c>
    </row>
    <row r="463">
      <c r="A463" t="n">
        <v>195379</v>
      </c>
      <c r="B463" t="inlineStr">
        <is>
          <t>درخواست بایگانی - ثبت صورتجلسه - اشتباه بودن دیتا تعیین مسئول</t>
        </is>
      </c>
      <c r="D463" t="inlineStr">
        <is>
          <t>Medium</t>
        </is>
      </c>
      <c r="E463" t="n">
        <v>2</v>
      </c>
      <c r="F463" t="inlineStr">
        <is>
          <t>Closed</t>
        </is>
      </c>
      <c r="G463" t="inlineStr">
        <is>
          <t>Other</t>
        </is>
      </c>
      <c r="J463" t="inlineStr">
        <is>
          <t>Stagnant Archive</t>
        </is>
      </c>
      <c r="K463" t="inlineStr">
        <is>
          <t>Sp_22</t>
        </is>
      </c>
      <c r="M463" t="inlineStr">
        <is>
          <t>Homayoun Mohammad</t>
        </is>
      </c>
      <c r="N463" t="inlineStr">
        <is>
          <t>Monfared Mobina</t>
        </is>
      </c>
      <c r="O463" s="42" t="n">
        <v>45994.54782407408</v>
      </c>
      <c r="Q463" s="42" t="n">
        <v>45994.54782407408</v>
      </c>
      <c r="S463" t="n">
        <v>0</v>
      </c>
      <c r="T463" s="42" t="n">
        <v>45994.54782407408</v>
      </c>
      <c r="Z463" s="42" t="n">
        <v>45994.54782407408</v>
      </c>
      <c r="AA463" t="n">
        <v>0</v>
      </c>
      <c r="AD463" t="n">
        <v>2</v>
      </c>
      <c r="AE463" t="n">
        <v>2</v>
      </c>
      <c r="AF463" t="n">
        <v>0</v>
      </c>
      <c r="AI463" t="n">
        <v>0</v>
      </c>
      <c r="AJ463" t="n">
        <v>0</v>
      </c>
      <c r="AK463" t="n">
        <v>0</v>
      </c>
      <c r="AL463" t="n">
        <v>0</v>
      </c>
      <c r="AN463" t="n">
        <v>0</v>
      </c>
      <c r="AO463" t="n">
        <v>0</v>
      </c>
      <c r="AP463" t="n">
        <v>0</v>
      </c>
      <c r="AQ463" t="n">
        <v>24</v>
      </c>
      <c r="AR463" t="n">
        <v>0</v>
      </c>
    </row>
    <row r="464">
      <c r="A464" t="n">
        <v>195380</v>
      </c>
      <c r="B464" t="inlineStr">
        <is>
          <t xml:space="preserve">خطای دریل دان گزارش کلی نامه کار </t>
        </is>
      </c>
      <c r="D464" t="inlineStr">
        <is>
          <t>Medium</t>
        </is>
      </c>
      <c r="E464" t="n">
        <v>2</v>
      </c>
      <c r="F464" t="inlineStr">
        <is>
          <t>Closed</t>
        </is>
      </c>
      <c r="G464" t="inlineStr">
        <is>
          <t>Other</t>
        </is>
      </c>
      <c r="J464" t="inlineStr">
        <is>
          <t>Transportation</t>
        </is>
      </c>
      <c r="K464" t="inlineStr">
        <is>
          <t>Sp_24</t>
        </is>
      </c>
      <c r="M464" t="inlineStr">
        <is>
          <t>Navab Erfan</t>
        </is>
      </c>
      <c r="N464" t="inlineStr">
        <is>
          <t>Ghafarian Ghazaleh</t>
        </is>
      </c>
      <c r="O464" s="42" t="n">
        <v>45994.44188657407</v>
      </c>
      <c r="Q464" s="42" t="n">
        <v>45994.44188657407</v>
      </c>
      <c r="S464" t="n">
        <v>0</v>
      </c>
      <c r="T464" s="42" t="n">
        <v>45994.44188657407</v>
      </c>
      <c r="Z464" s="42" t="n">
        <v>45994.44188657407</v>
      </c>
      <c r="AA464" t="n">
        <v>0</v>
      </c>
      <c r="AD464" t="n">
        <v>2</v>
      </c>
      <c r="AE464" t="n">
        <v>2</v>
      </c>
      <c r="AF464" t="n">
        <v>0</v>
      </c>
      <c r="AI464" t="n">
        <v>0</v>
      </c>
      <c r="AJ464" t="n">
        <v>0</v>
      </c>
      <c r="AK464" t="n">
        <v>0</v>
      </c>
      <c r="AL464" t="n">
        <v>0</v>
      </c>
      <c r="AN464" t="n">
        <v>0</v>
      </c>
      <c r="AO464" t="n">
        <v>0</v>
      </c>
      <c r="AP464" t="n">
        <v>0</v>
      </c>
      <c r="AQ464" t="n">
        <v>24</v>
      </c>
      <c r="AR464" t="n">
        <v>0</v>
      </c>
    </row>
    <row r="465">
      <c r="A465" t="n">
        <v>195401</v>
      </c>
      <c r="B465" t="inlineStr">
        <is>
          <t>دکمه دریافت گزارشات ، در فرم تکمیل پیغام خطا در فرایند می دهد/1377</t>
        </is>
      </c>
      <c r="D465" t="inlineStr">
        <is>
          <t>Medium</t>
        </is>
      </c>
      <c r="E465" t="n">
        <v>1</v>
      </c>
      <c r="F465" t="inlineStr">
        <is>
          <t>Closed</t>
        </is>
      </c>
      <c r="G465" t="inlineStr">
        <is>
          <t>Other</t>
        </is>
      </c>
      <c r="J465" t="inlineStr">
        <is>
          <t>Dem</t>
        </is>
      </c>
      <c r="K465" t="inlineStr">
        <is>
          <t>DemBiz</t>
        </is>
      </c>
      <c r="M465" t="inlineStr">
        <is>
          <t>Hoseini Fatemeh</t>
        </is>
      </c>
      <c r="N465" t="inlineStr">
        <is>
          <t>Baniamer Shaghayegh</t>
        </is>
      </c>
      <c r="O465" s="42" t="n">
        <v>45976.7422337963</v>
      </c>
      <c r="Q465" s="42" t="n">
        <v>45976.7422337963</v>
      </c>
      <c r="S465" t="n">
        <v>0</v>
      </c>
      <c r="T465" s="42" t="n">
        <v>45976.7422337963</v>
      </c>
      <c r="Z465" s="42" t="n">
        <v>45976.7422337963</v>
      </c>
      <c r="AA465" t="n">
        <v>0</v>
      </c>
      <c r="AD465" t="n">
        <v>2</v>
      </c>
      <c r="AE465" t="n">
        <v>2</v>
      </c>
      <c r="AF465" t="n">
        <v>0</v>
      </c>
      <c r="AI465" t="n">
        <v>0</v>
      </c>
      <c r="AJ465" t="n">
        <v>0</v>
      </c>
      <c r="AK465" t="n">
        <v>0</v>
      </c>
      <c r="AL465" t="n">
        <v>0</v>
      </c>
      <c r="AN465" t="n">
        <v>0</v>
      </c>
      <c r="AO465" t="n">
        <v>0</v>
      </c>
      <c r="AP465" t="n">
        <v>0</v>
      </c>
      <c r="AQ465" t="n">
        <v>24</v>
      </c>
      <c r="AR465" t="n">
        <v>0</v>
      </c>
    </row>
    <row r="466">
      <c r="A466" t="n">
        <v>195463</v>
      </c>
      <c r="B466" t="inlineStr">
        <is>
          <t>عدم اعمال تغییرات داده شده در لینک ویرایش ، در گیرید درخواست /1365/ 1377</t>
        </is>
      </c>
      <c r="D466" t="inlineStr">
        <is>
          <t>Medium</t>
        </is>
      </c>
      <c r="E466" t="n">
        <v>1</v>
      </c>
      <c r="F466" t="inlineStr">
        <is>
          <t>Closed</t>
        </is>
      </c>
      <c r="G466" t="inlineStr">
        <is>
          <t>Other</t>
        </is>
      </c>
      <c r="J466" t="inlineStr">
        <is>
          <t>Dem</t>
        </is>
      </c>
      <c r="K466" t="inlineStr">
        <is>
          <t>DemBiz</t>
        </is>
      </c>
      <c r="M466" t="inlineStr">
        <is>
          <t>Arshi Mahmood</t>
        </is>
      </c>
      <c r="N466" t="inlineStr">
        <is>
          <t>Baniamer Shaghayegh</t>
        </is>
      </c>
      <c r="O466" s="42" t="n">
        <v>45977.81475694444</v>
      </c>
      <c r="Q466" s="42" t="n">
        <v>45977.81475694444</v>
      </c>
      <c r="S466" t="n">
        <v>0</v>
      </c>
      <c r="T466" s="42" t="n">
        <v>45977.81475694444</v>
      </c>
      <c r="Z466" s="42" t="n">
        <v>45977.81475694444</v>
      </c>
      <c r="AA466" t="n">
        <v>0</v>
      </c>
      <c r="AD466" t="n">
        <v>2</v>
      </c>
      <c r="AE466" t="n">
        <v>2</v>
      </c>
      <c r="AF466" t="n">
        <v>0</v>
      </c>
      <c r="AI466" t="n">
        <v>0</v>
      </c>
      <c r="AJ466" t="n">
        <v>0</v>
      </c>
      <c r="AK466" t="n">
        <v>0</v>
      </c>
      <c r="AL466" t="n">
        <v>0</v>
      </c>
      <c r="AN466" t="n">
        <v>0</v>
      </c>
      <c r="AO466" t="n">
        <v>0</v>
      </c>
      <c r="AP466" t="n">
        <v>0</v>
      </c>
      <c r="AQ466" t="n">
        <v>24</v>
      </c>
      <c r="AR466" t="n">
        <v>0</v>
      </c>
    </row>
    <row r="467">
      <c r="A467" t="n">
        <v>195471</v>
      </c>
      <c r="B467" t="inlineStr">
        <is>
          <t xml:space="preserve"> Rem13_خطا در فراخوانی سرویس سوم ساماندهی در محیط قرمز</t>
        </is>
      </c>
      <c r="D467" t="inlineStr">
        <is>
          <t>Medium</t>
        </is>
      </c>
      <c r="E467" t="n">
        <v>1</v>
      </c>
      <c r="F467" t="inlineStr">
        <is>
          <t>Closed</t>
        </is>
      </c>
      <c r="G467" t="inlineStr">
        <is>
          <t>Other</t>
        </is>
      </c>
      <c r="I467" t="inlineStr">
        <is>
          <t>Kadastr_Team</t>
        </is>
      </c>
      <c r="J467" t="inlineStr">
        <is>
          <t>SAJAK</t>
        </is>
      </c>
      <c r="K467" t="inlineStr">
        <is>
          <t>GIS_Sprint 44</t>
        </is>
      </c>
      <c r="M467" t="inlineStr">
        <is>
          <t>GanjiRad Mohammad</t>
        </is>
      </c>
      <c r="N467" t="inlineStr">
        <is>
          <t>GanjiRad Mohammad</t>
        </is>
      </c>
      <c r="O467" s="42" t="n">
        <v>45986.33576388889</v>
      </c>
      <c r="Q467" s="42" t="n">
        <v>45986.33576388889</v>
      </c>
      <c r="S467" t="n">
        <v>0</v>
      </c>
      <c r="T467" s="42" t="n">
        <v>45986.33576388889</v>
      </c>
      <c r="Z467" s="42" t="n">
        <v>45986.33576388889</v>
      </c>
      <c r="AA467" t="n">
        <v>0</v>
      </c>
      <c r="AD467" t="n">
        <v>2</v>
      </c>
      <c r="AE467" t="n">
        <v>2</v>
      </c>
      <c r="AF467" t="n">
        <v>0</v>
      </c>
      <c r="AI467" t="n">
        <v>0</v>
      </c>
      <c r="AJ467" t="n">
        <v>0</v>
      </c>
      <c r="AK467" t="n">
        <v>0</v>
      </c>
      <c r="AL467" t="n">
        <v>0</v>
      </c>
      <c r="AN467" t="n">
        <v>0</v>
      </c>
      <c r="AO467" t="n">
        <v>0</v>
      </c>
      <c r="AP467" t="n">
        <v>0</v>
      </c>
      <c r="AQ467" t="n">
        <v>24</v>
      </c>
      <c r="AR467" t="n">
        <v>0</v>
      </c>
    </row>
    <row r="468">
      <c r="A468" t="n">
        <v>195475</v>
      </c>
      <c r="B468" t="inlineStr">
        <is>
          <t>انتخاب نماینده بنیاد مسکن اجباری شود</t>
        </is>
      </c>
      <c r="D468" t="inlineStr">
        <is>
          <t>Medium</t>
        </is>
      </c>
      <c r="E468" t="n">
        <v>1</v>
      </c>
      <c r="F468" t="inlineStr">
        <is>
          <t>Closed</t>
        </is>
      </c>
      <c r="G468" t="inlineStr">
        <is>
          <t>Other</t>
        </is>
      </c>
      <c r="I468" t="inlineStr">
        <is>
          <t>Bizagi_Team</t>
        </is>
      </c>
      <c r="J468" t="inlineStr">
        <is>
          <t>SAJAK</t>
        </is>
      </c>
      <c r="K468" t="inlineStr">
        <is>
          <t>Bizagi_Sprint 44</t>
        </is>
      </c>
      <c r="M468" t="inlineStr">
        <is>
          <t>Shamsfard Ahmad</t>
        </is>
      </c>
      <c r="N468" t="inlineStr">
        <is>
          <t>Moradnoori Parinaz</t>
        </is>
      </c>
      <c r="O468" s="42" t="n">
        <v>45977.6625</v>
      </c>
      <c r="Q468" s="42" t="n">
        <v>45977.6625</v>
      </c>
      <c r="S468" t="n">
        <v>0</v>
      </c>
      <c r="T468" s="42" t="n">
        <v>45977.6625</v>
      </c>
      <c r="Z468" s="42" t="n">
        <v>45977.6625</v>
      </c>
      <c r="AA468" t="n">
        <v>0</v>
      </c>
      <c r="AD468" t="n">
        <v>2</v>
      </c>
      <c r="AE468" t="n">
        <v>2</v>
      </c>
      <c r="AF468" t="n">
        <v>0</v>
      </c>
      <c r="AI468" t="n">
        <v>0</v>
      </c>
      <c r="AJ468" t="n">
        <v>0</v>
      </c>
      <c r="AK468" t="n">
        <v>0</v>
      </c>
      <c r="AL468" t="n">
        <v>0</v>
      </c>
      <c r="AN468" t="n">
        <v>0</v>
      </c>
      <c r="AO468" t="n">
        <v>0</v>
      </c>
      <c r="AP468" t="n">
        <v>0</v>
      </c>
      <c r="AQ468" t="n">
        <v>24</v>
      </c>
      <c r="AR468" t="n">
        <v>0</v>
      </c>
    </row>
    <row r="469">
      <c r="A469" t="n">
        <v>195549</v>
      </c>
      <c r="B469" t="inlineStr">
        <is>
          <t>حذف نظریه کارشناسی درفرم تکمیل اطلاعات  پیغام خطا می دهد /1377</t>
        </is>
      </c>
      <c r="D469" t="inlineStr">
        <is>
          <t>Medium</t>
        </is>
      </c>
      <c r="E469" t="n">
        <v>1</v>
      </c>
      <c r="F469" t="inlineStr">
        <is>
          <t>Closed</t>
        </is>
      </c>
      <c r="G469" t="inlineStr">
        <is>
          <t>Other</t>
        </is>
      </c>
      <c r="J469" t="inlineStr">
        <is>
          <t>Dem</t>
        </is>
      </c>
      <c r="K469" t="inlineStr">
        <is>
          <t>DemBiz</t>
        </is>
      </c>
      <c r="M469" t="inlineStr">
        <is>
          <t>Arshi Mahmood</t>
        </is>
      </c>
      <c r="N469" t="inlineStr">
        <is>
          <t>Hajizadeh Elnaz</t>
        </is>
      </c>
      <c r="O469" s="42" t="n">
        <v>45977.69662037037</v>
      </c>
      <c r="Q469" s="42" t="n">
        <v>45977.69662037037</v>
      </c>
      <c r="S469" t="n">
        <v>0</v>
      </c>
      <c r="T469" s="42" t="n">
        <v>45977.69662037037</v>
      </c>
      <c r="Z469" s="42" t="n">
        <v>45977.69662037037</v>
      </c>
      <c r="AA469" t="n">
        <v>0</v>
      </c>
      <c r="AD469" t="n">
        <v>2</v>
      </c>
      <c r="AE469" t="n">
        <v>2</v>
      </c>
      <c r="AF469" t="n">
        <v>0</v>
      </c>
      <c r="AI469" t="n">
        <v>0</v>
      </c>
      <c r="AJ469" t="n">
        <v>0</v>
      </c>
      <c r="AK469" t="n">
        <v>0</v>
      </c>
      <c r="AL469" t="n">
        <v>0</v>
      </c>
      <c r="AN469" t="n">
        <v>0</v>
      </c>
      <c r="AO469" t="n">
        <v>0</v>
      </c>
      <c r="AP469" t="n">
        <v>0</v>
      </c>
      <c r="AQ469" t="n">
        <v>24</v>
      </c>
      <c r="AR469" t="n">
        <v>0</v>
      </c>
    </row>
    <row r="470">
      <c r="A470" t="n">
        <v>195552</v>
      </c>
      <c r="B470" t="inlineStr">
        <is>
          <t xml:space="preserve">عدم شناسایی  و فراخوانی  مشتری  با انتخاب مشتری از کمبو مشتری / 1377 </t>
        </is>
      </c>
      <c r="D470" t="inlineStr">
        <is>
          <t>Medium</t>
        </is>
      </c>
      <c r="E470" t="n">
        <v>1</v>
      </c>
      <c r="F470" t="inlineStr">
        <is>
          <t>Closed</t>
        </is>
      </c>
      <c r="G470" t="inlineStr">
        <is>
          <t>Other</t>
        </is>
      </c>
      <c r="J470" t="inlineStr">
        <is>
          <t>Dem</t>
        </is>
      </c>
      <c r="K470" t="inlineStr">
        <is>
          <t>DemBiz</t>
        </is>
      </c>
      <c r="M470" t="inlineStr">
        <is>
          <t>Hoseini Fatemeh</t>
        </is>
      </c>
      <c r="N470" t="inlineStr">
        <is>
          <t>Hajizadeh Elnaz</t>
        </is>
      </c>
      <c r="O470" s="42" t="n">
        <v>45977.49758101852</v>
      </c>
      <c r="Q470" s="42" t="n">
        <v>45977.49758101852</v>
      </c>
      <c r="S470" t="n">
        <v>0</v>
      </c>
      <c r="T470" s="42" t="n">
        <v>45977.49758101852</v>
      </c>
      <c r="Z470" s="42" t="n">
        <v>45977.49758101852</v>
      </c>
      <c r="AA470" t="n">
        <v>0</v>
      </c>
      <c r="AD470" t="n">
        <v>2</v>
      </c>
      <c r="AE470" t="n">
        <v>2</v>
      </c>
      <c r="AF470" t="n">
        <v>0</v>
      </c>
      <c r="AI470" t="n">
        <v>0</v>
      </c>
      <c r="AJ470" t="n">
        <v>0</v>
      </c>
      <c r="AK470" t="n">
        <v>0</v>
      </c>
      <c r="AL470" t="n">
        <v>0</v>
      </c>
      <c r="AN470" t="n">
        <v>0</v>
      </c>
      <c r="AO470" t="n">
        <v>0</v>
      </c>
      <c r="AP470" t="n">
        <v>0</v>
      </c>
      <c r="AQ470" t="n">
        <v>24</v>
      </c>
      <c r="AR470" t="n">
        <v>0</v>
      </c>
    </row>
    <row r="471">
      <c r="A471" t="n">
        <v>195557</v>
      </c>
      <c r="B471" t="inlineStr">
        <is>
          <t>گزارش گردش پلاک/   s.kh</t>
        </is>
      </c>
      <c r="D471" t="inlineStr">
        <is>
          <t>Medium</t>
        </is>
      </c>
      <c r="E471" t="n">
        <v>2</v>
      </c>
      <c r="F471" t="inlineStr">
        <is>
          <t>Closed</t>
        </is>
      </c>
      <c r="G471" t="inlineStr">
        <is>
          <t>Other</t>
        </is>
      </c>
      <c r="J471" t="inlineStr">
        <is>
          <t>Integrated Warehouse</t>
        </is>
      </c>
      <c r="K471" t="inlineStr">
        <is>
          <t>Sprint 30</t>
        </is>
      </c>
      <c r="M471" t="inlineStr">
        <is>
          <t>Khedmati Aylin</t>
        </is>
      </c>
      <c r="N471" t="inlineStr">
        <is>
          <t>Khodabakhsh Sadaf</t>
        </is>
      </c>
      <c r="O471" s="42" t="n">
        <v>45978.7849537037</v>
      </c>
      <c r="Q471" s="42" t="n">
        <v>45978.7849537037</v>
      </c>
      <c r="S471" t="n">
        <v>0</v>
      </c>
      <c r="T471" s="42" t="n">
        <v>45978.7849537037</v>
      </c>
      <c r="Z471" s="42" t="n">
        <v>45978.7849537037</v>
      </c>
      <c r="AA471" t="n">
        <v>0</v>
      </c>
      <c r="AD471" t="n">
        <v>2</v>
      </c>
      <c r="AE471" t="n">
        <v>2</v>
      </c>
      <c r="AF471" t="n">
        <v>0</v>
      </c>
      <c r="AI471" t="n">
        <v>0</v>
      </c>
      <c r="AJ471" t="n">
        <v>0</v>
      </c>
      <c r="AK471" t="n">
        <v>0</v>
      </c>
      <c r="AL471" t="n">
        <v>0</v>
      </c>
      <c r="AN471" t="n">
        <v>0</v>
      </c>
      <c r="AO471" t="n">
        <v>0</v>
      </c>
      <c r="AP471" t="n">
        <v>0</v>
      </c>
      <c r="AQ471" t="n">
        <v>24</v>
      </c>
      <c r="AR471" t="n">
        <v>0</v>
      </c>
    </row>
    <row r="472">
      <c r="A472" t="n">
        <v>195571</v>
      </c>
      <c r="B472" t="inlineStr">
        <is>
          <t xml:space="preserve">Rem13 مواجهه با خطای تصویر ارسالی در هنگام ارجاع درخواست به نقشه بردار و نماینده ثبتی </t>
        </is>
      </c>
      <c r="D472" t="inlineStr">
        <is>
          <t>Medium</t>
        </is>
      </c>
      <c r="E472" t="n">
        <v>1</v>
      </c>
      <c r="F472" t="inlineStr">
        <is>
          <t>Closed</t>
        </is>
      </c>
      <c r="G472" t="inlineStr">
        <is>
          <t>Other</t>
        </is>
      </c>
      <c r="I472" t="inlineStr">
        <is>
          <t>Bizagi_Team</t>
        </is>
      </c>
      <c r="J472" t="inlineStr">
        <is>
          <t>SAJAK</t>
        </is>
      </c>
      <c r="K472" t="inlineStr">
        <is>
          <t>Estate_Sprint 44</t>
        </is>
      </c>
      <c r="M472" t="inlineStr">
        <is>
          <t>Khatami Mojtaba</t>
        </is>
      </c>
      <c r="N472" t="inlineStr">
        <is>
          <t>Moradnoori Parinaz</t>
        </is>
      </c>
      <c r="O472" s="42" t="n">
        <v>45978.62805555556</v>
      </c>
      <c r="Q472" s="42" t="n">
        <v>45978.62805555556</v>
      </c>
      <c r="S472" t="n">
        <v>0</v>
      </c>
      <c r="T472" s="42" t="n">
        <v>45978.62805555556</v>
      </c>
      <c r="Z472" s="42" t="n">
        <v>45978.62805555556</v>
      </c>
      <c r="AA472" t="n">
        <v>0</v>
      </c>
      <c r="AD472" t="n">
        <v>2</v>
      </c>
      <c r="AE472" t="n">
        <v>2</v>
      </c>
      <c r="AF472" t="n">
        <v>0</v>
      </c>
      <c r="AI472" t="n">
        <v>0</v>
      </c>
      <c r="AJ472" t="n">
        <v>0</v>
      </c>
      <c r="AK472" t="n">
        <v>0</v>
      </c>
      <c r="AL472" t="n">
        <v>0</v>
      </c>
      <c r="AN472" t="n">
        <v>0</v>
      </c>
      <c r="AO472" t="n">
        <v>0</v>
      </c>
      <c r="AP472" t="n">
        <v>0</v>
      </c>
      <c r="AQ472" t="n">
        <v>24</v>
      </c>
      <c r="AR472" t="n">
        <v>0</v>
      </c>
    </row>
    <row r="473">
      <c r="A473" t="n">
        <v>195583</v>
      </c>
      <c r="B473" t="inlineStr">
        <is>
          <t xml:space="preserve">1377/دکمه ذخیره در فرم  ویرایش اشخاص حقیقی/حقوقی پیغام خطا می دهد </t>
        </is>
      </c>
      <c r="D473" t="inlineStr">
        <is>
          <t>Medium</t>
        </is>
      </c>
      <c r="E473" t="n">
        <v>1</v>
      </c>
      <c r="F473" t="inlineStr">
        <is>
          <t>Closed</t>
        </is>
      </c>
      <c r="G473" t="inlineStr">
        <is>
          <t>Other</t>
        </is>
      </c>
      <c r="J473" t="inlineStr">
        <is>
          <t>Dem</t>
        </is>
      </c>
      <c r="K473" t="inlineStr">
        <is>
          <t>DemBiz</t>
        </is>
      </c>
      <c r="M473" t="inlineStr">
        <is>
          <t>Moradi Mohammad</t>
        </is>
      </c>
      <c r="N473" t="inlineStr">
        <is>
          <t>Baniamer Shaghayegh</t>
        </is>
      </c>
      <c r="O473" s="42" t="n">
        <v>45977.62796296296</v>
      </c>
      <c r="Q473" s="42" t="n">
        <v>45977.62796296296</v>
      </c>
      <c r="S473" t="n">
        <v>0</v>
      </c>
      <c r="T473" s="42" t="n">
        <v>45977.62796296296</v>
      </c>
      <c r="Z473" s="42" t="n">
        <v>45977.62796296296</v>
      </c>
      <c r="AA473" t="n">
        <v>0</v>
      </c>
      <c r="AD473" t="n">
        <v>2</v>
      </c>
      <c r="AE473" t="n">
        <v>2</v>
      </c>
      <c r="AF473" t="n">
        <v>0</v>
      </c>
      <c r="AI473" t="n">
        <v>0</v>
      </c>
      <c r="AJ473" t="n">
        <v>0</v>
      </c>
      <c r="AK473" t="n">
        <v>0</v>
      </c>
      <c r="AL473" t="n">
        <v>0</v>
      </c>
      <c r="AN473" t="n">
        <v>0</v>
      </c>
      <c r="AO473" t="n">
        <v>0</v>
      </c>
      <c r="AP473" t="n">
        <v>0</v>
      </c>
      <c r="AQ473" t="n">
        <v>24</v>
      </c>
      <c r="AR473" t="n">
        <v>0</v>
      </c>
    </row>
    <row r="474">
      <c r="A474" t="n">
        <v>195585</v>
      </c>
      <c r="B474" t="inlineStr">
        <is>
          <t>1377/دکمه تایید و ادامه در فرم ویرایش پیغام شناسه ملی می دهد</t>
        </is>
      </c>
      <c r="D474" t="inlineStr">
        <is>
          <t>Medium</t>
        </is>
      </c>
      <c r="E474" t="n">
        <v>1</v>
      </c>
      <c r="F474" t="inlineStr">
        <is>
          <t>Closed</t>
        </is>
      </c>
      <c r="G474" t="inlineStr">
        <is>
          <t>Other</t>
        </is>
      </c>
      <c r="J474" t="inlineStr">
        <is>
          <t>Dem</t>
        </is>
      </c>
      <c r="K474" t="inlineStr">
        <is>
          <t>DemBiz</t>
        </is>
      </c>
      <c r="M474" t="inlineStr">
        <is>
          <t>Hoseini Fatemeh</t>
        </is>
      </c>
      <c r="N474" t="inlineStr">
        <is>
          <t>Hajizadeh Elnaz</t>
        </is>
      </c>
      <c r="O474" s="42" t="n">
        <v>45984.57554398148</v>
      </c>
      <c r="Q474" s="42" t="n">
        <v>45984.57554398148</v>
      </c>
      <c r="S474" t="n">
        <v>0</v>
      </c>
      <c r="T474" s="42" t="n">
        <v>45984.57554398148</v>
      </c>
      <c r="Z474" s="42" t="n">
        <v>45984.57554398148</v>
      </c>
      <c r="AA474" t="n">
        <v>0</v>
      </c>
      <c r="AD474" t="n">
        <v>2</v>
      </c>
      <c r="AE474" t="n">
        <v>2</v>
      </c>
      <c r="AF474" t="n">
        <v>0</v>
      </c>
      <c r="AI474" t="n">
        <v>0</v>
      </c>
      <c r="AJ474" t="n">
        <v>0</v>
      </c>
      <c r="AK474" t="n">
        <v>0</v>
      </c>
      <c r="AL474" t="n">
        <v>0</v>
      </c>
      <c r="AN474" t="n">
        <v>0</v>
      </c>
      <c r="AO474" t="n">
        <v>0</v>
      </c>
      <c r="AP474" t="n">
        <v>0</v>
      </c>
      <c r="AQ474" t="n">
        <v>24</v>
      </c>
      <c r="AR474" t="n">
        <v>0</v>
      </c>
    </row>
    <row r="475">
      <c r="A475" t="n">
        <v>195593</v>
      </c>
      <c r="B475" t="inlineStr">
        <is>
          <t>پر شدن خودکار نرخ جریمه و نوع استفاده از سرمایه در فرم ثبت عقد مشارکتی–مضاربه/1365/1377</t>
        </is>
      </c>
      <c r="D475" t="inlineStr">
        <is>
          <t>Medium</t>
        </is>
      </c>
      <c r="E475" t="n">
        <v>3</v>
      </c>
      <c r="F475" t="inlineStr">
        <is>
          <t>Closed</t>
        </is>
      </c>
      <c r="G475" t="inlineStr">
        <is>
          <t>Other</t>
        </is>
      </c>
      <c r="J475" t="inlineStr">
        <is>
          <t>Dem</t>
        </is>
      </c>
      <c r="K475" t="inlineStr">
        <is>
          <t>DemBiz</t>
        </is>
      </c>
      <c r="M475" t="inlineStr">
        <is>
          <t>Hoseini Fatemeh</t>
        </is>
      </c>
      <c r="N475" t="inlineStr">
        <is>
          <t>Mohseni Hadise</t>
        </is>
      </c>
      <c r="O475" s="42" t="n">
        <v>45977.60929398148</v>
      </c>
      <c r="Q475" s="42" t="n">
        <v>45977.60929398148</v>
      </c>
      <c r="S475" t="n">
        <v>0</v>
      </c>
      <c r="T475" s="42" t="n">
        <v>45977.60929398148</v>
      </c>
      <c r="Z475" s="42" t="n">
        <v>45977.60929398148</v>
      </c>
      <c r="AA475" t="n">
        <v>0</v>
      </c>
      <c r="AD475" t="n">
        <v>2</v>
      </c>
      <c r="AE475" t="n">
        <v>2</v>
      </c>
      <c r="AF475" t="n">
        <v>0</v>
      </c>
      <c r="AI475" t="n">
        <v>0</v>
      </c>
      <c r="AJ475" t="n">
        <v>0</v>
      </c>
      <c r="AK475" t="n">
        <v>0</v>
      </c>
      <c r="AL475" t="n">
        <v>0</v>
      </c>
      <c r="AN475" t="n">
        <v>0</v>
      </c>
      <c r="AO475" t="n">
        <v>0</v>
      </c>
      <c r="AP475" t="n">
        <v>0</v>
      </c>
      <c r="AQ475" t="n">
        <v>24</v>
      </c>
      <c r="AR475" t="n">
        <v>0</v>
      </c>
    </row>
    <row r="476">
      <c r="A476" t="n">
        <v>195604</v>
      </c>
      <c r="B476" t="inlineStr">
        <is>
          <t xml:space="preserve">AE_SAJA\\مواجهه با خطای اطلاعات فیلد پر نشده است در حین کلیک بر دکمه تایید و ادامه در حالی که اطلاعاتی وجود ندارد که پر نشده باشد </t>
        </is>
      </c>
      <c r="D476" t="inlineStr">
        <is>
          <t>Medium</t>
        </is>
      </c>
      <c r="E476" t="n">
        <v>1</v>
      </c>
      <c r="F476" t="inlineStr">
        <is>
          <t>Closed</t>
        </is>
      </c>
      <c r="G476" t="inlineStr">
        <is>
          <t>Other</t>
        </is>
      </c>
      <c r="J476" t="inlineStr">
        <is>
          <t>Infrastructure Bizagi Extension</t>
        </is>
      </c>
      <c r="K476" t="inlineStr">
        <is>
          <t>SP-87</t>
        </is>
      </c>
      <c r="M476" t="inlineStr">
        <is>
          <t>Jafari Saeed</t>
        </is>
      </c>
      <c r="N476" t="inlineStr">
        <is>
          <t>Kalaei Saman</t>
        </is>
      </c>
      <c r="O476" s="42" t="n">
        <v>45998.57773148148</v>
      </c>
      <c r="Q476" s="42" t="n">
        <v>45998.57773148148</v>
      </c>
      <c r="S476" t="n">
        <v>0</v>
      </c>
      <c r="T476" s="42" t="n">
        <v>45998.57773148148</v>
      </c>
      <c r="Z476" s="42" t="n">
        <v>45998.57773148148</v>
      </c>
      <c r="AA476" t="n">
        <v>0</v>
      </c>
      <c r="AD476" t="n">
        <v>2</v>
      </c>
      <c r="AE476" t="n">
        <v>2</v>
      </c>
      <c r="AF476" t="n">
        <v>0</v>
      </c>
      <c r="AI476" t="n">
        <v>0</v>
      </c>
      <c r="AJ476" t="n">
        <v>0</v>
      </c>
      <c r="AK476" t="n">
        <v>0</v>
      </c>
      <c r="AL476" t="n">
        <v>0</v>
      </c>
      <c r="AN476" t="n">
        <v>0</v>
      </c>
      <c r="AO476" t="n">
        <v>0</v>
      </c>
      <c r="AP476" t="n">
        <v>0</v>
      </c>
      <c r="AQ476" t="n">
        <v>24</v>
      </c>
      <c r="AR476" t="n">
        <v>0</v>
      </c>
    </row>
    <row r="477">
      <c r="A477" t="n">
        <v>195645</v>
      </c>
      <c r="B477" t="inlineStr">
        <is>
          <t>تغییر خودکار مقدار فیلد تعداد مراحل تحیول کالا پس از ویرایش عقد مبادله ای سلف به مقدار یک/1377</t>
        </is>
      </c>
      <c r="D477" t="inlineStr">
        <is>
          <t>Medium</t>
        </is>
      </c>
      <c r="E477" t="n">
        <v>3</v>
      </c>
      <c r="F477" t="inlineStr">
        <is>
          <t>Closed</t>
        </is>
      </c>
      <c r="G477" t="inlineStr">
        <is>
          <t>Other</t>
        </is>
      </c>
      <c r="J477" t="inlineStr">
        <is>
          <t>Dem</t>
        </is>
      </c>
      <c r="K477" t="inlineStr">
        <is>
          <t>DemBiz</t>
        </is>
      </c>
      <c r="M477" t="inlineStr">
        <is>
          <t>Moradi Mohammad</t>
        </is>
      </c>
      <c r="N477" t="inlineStr">
        <is>
          <t>Hajizadeh Elnaz</t>
        </is>
      </c>
      <c r="O477" s="42" t="n">
        <v>45978.49489583333</v>
      </c>
      <c r="Q477" s="42" t="n">
        <v>45978.49489583333</v>
      </c>
      <c r="S477" t="n">
        <v>0</v>
      </c>
      <c r="T477" s="42" t="n">
        <v>45978.49489583333</v>
      </c>
      <c r="Z477" s="42" t="n">
        <v>45978.49489583333</v>
      </c>
      <c r="AA477" t="n">
        <v>0</v>
      </c>
      <c r="AD477" t="n">
        <v>2</v>
      </c>
      <c r="AE477" t="n">
        <v>2</v>
      </c>
      <c r="AF477" t="n">
        <v>0</v>
      </c>
      <c r="AI477" t="n">
        <v>0</v>
      </c>
      <c r="AJ477" t="n">
        <v>0</v>
      </c>
      <c r="AK477" t="n">
        <v>0</v>
      </c>
      <c r="AL477" t="n">
        <v>0</v>
      </c>
      <c r="AN477" t="n">
        <v>0</v>
      </c>
      <c r="AO477" t="n">
        <v>0</v>
      </c>
      <c r="AP477" t="n">
        <v>0</v>
      </c>
      <c r="AQ477" t="n">
        <v>24</v>
      </c>
      <c r="AR477" t="n">
        <v>0</v>
      </c>
    </row>
    <row r="478">
      <c r="A478" t="n">
        <v>195648</v>
      </c>
      <c r="B478" t="inlineStr">
        <is>
          <t>حذف شدن دیتای مشتری بعداز کلیک بر دکمه ذخیره و ادامه ویرایش در فرم ثبت گزارش نویسی 1365/1377</t>
        </is>
      </c>
      <c r="D478" t="inlineStr">
        <is>
          <t>Medium</t>
        </is>
      </c>
      <c r="E478" t="n">
        <v>1</v>
      </c>
      <c r="F478" t="inlineStr">
        <is>
          <t>Closed</t>
        </is>
      </c>
      <c r="G478" t="inlineStr">
        <is>
          <t>Other</t>
        </is>
      </c>
      <c r="J478" t="inlineStr">
        <is>
          <t>Dem</t>
        </is>
      </c>
      <c r="K478" t="inlineStr">
        <is>
          <t>DemBiz</t>
        </is>
      </c>
      <c r="M478" t="inlineStr">
        <is>
          <t>Hoseini Fatemeh</t>
        </is>
      </c>
      <c r="N478" t="inlineStr">
        <is>
          <t>Baniamer Shaghayegh</t>
        </is>
      </c>
      <c r="O478" s="42" t="n">
        <v>45979.86204861111</v>
      </c>
      <c r="Q478" s="42" t="n">
        <v>45979.86204861111</v>
      </c>
      <c r="S478" t="n">
        <v>0</v>
      </c>
      <c r="T478" s="42" t="n">
        <v>45979.86204861111</v>
      </c>
      <c r="Z478" s="42" t="n">
        <v>45979.86204861111</v>
      </c>
      <c r="AA478" t="n">
        <v>0</v>
      </c>
      <c r="AD478" t="n">
        <v>2</v>
      </c>
      <c r="AE478" t="n">
        <v>2</v>
      </c>
      <c r="AF478" t="n">
        <v>0</v>
      </c>
      <c r="AI478" t="n">
        <v>0</v>
      </c>
      <c r="AJ478" t="n">
        <v>0</v>
      </c>
      <c r="AK478" t="n">
        <v>0</v>
      </c>
      <c r="AL478" t="n">
        <v>0</v>
      </c>
      <c r="AN478" t="n">
        <v>0</v>
      </c>
      <c r="AO478" t="n">
        <v>0</v>
      </c>
      <c r="AP478" t="n">
        <v>0</v>
      </c>
      <c r="AQ478" t="n">
        <v>24</v>
      </c>
      <c r="AR478" t="n">
        <v>0</v>
      </c>
    </row>
    <row r="479">
      <c r="A479" t="n">
        <v>195651</v>
      </c>
      <c r="B479" t="inlineStr">
        <is>
          <t>MOM01-ثبت هیات/ اجباری بودن شهرستان در هیات نظارت</t>
        </is>
      </c>
      <c r="D479" t="inlineStr">
        <is>
          <t>Medium</t>
        </is>
      </c>
      <c r="E479" t="n">
        <v>2</v>
      </c>
      <c r="F479" t="inlineStr">
        <is>
          <t>Active</t>
        </is>
      </c>
      <c r="G479" t="inlineStr">
        <is>
          <t>Other</t>
        </is>
      </c>
      <c r="I479" t="inlineStr">
        <is>
          <t>Bizagi_Team</t>
        </is>
      </c>
      <c r="J479" t="inlineStr">
        <is>
          <t>SAJAK</t>
        </is>
      </c>
      <c r="K479" t="inlineStr">
        <is>
          <t>Estate_Sprint 44</t>
        </is>
      </c>
      <c r="M479" t="inlineStr">
        <is>
          <t>Kalaei Saman</t>
        </is>
      </c>
      <c r="Q479" s="42" t="n">
        <v>46011.62780092593</v>
      </c>
      <c r="S479" t="n">
        <v>0</v>
      </c>
      <c r="T479" s="42" t="n">
        <v>46011.62780092593</v>
      </c>
      <c r="AA479" t="n">
        <v>0</v>
      </c>
      <c r="AD479" t="n">
        <v>2</v>
      </c>
      <c r="AE479" t="n">
        <v>2</v>
      </c>
      <c r="AF479" t="n">
        <v>0</v>
      </c>
      <c r="AI479" t="n">
        <v>0</v>
      </c>
      <c r="AJ479" t="n">
        <v>0</v>
      </c>
      <c r="AM479" t="n">
        <v>6</v>
      </c>
      <c r="AN479" t="n">
        <v>0</v>
      </c>
      <c r="AO479" t="n">
        <v>0</v>
      </c>
      <c r="AP479" t="n">
        <v>0</v>
      </c>
      <c r="AQ479" t="n">
        <v>24</v>
      </c>
      <c r="AR479" t="n">
        <v>0</v>
      </c>
    </row>
    <row r="480">
      <c r="A480" t="n">
        <v>195652</v>
      </c>
      <c r="B480" t="inlineStr">
        <is>
          <t>در محیط قرمز برای وارد شدن به اپلیکیشن ساماندهی پروسه احراز هویت و دریافت کد تایید دو بار صورت می گیرد</t>
        </is>
      </c>
      <c r="D480" t="inlineStr">
        <is>
          <t>Medium</t>
        </is>
      </c>
      <c r="E480" t="n">
        <v>1</v>
      </c>
      <c r="F480" t="inlineStr">
        <is>
          <t>New</t>
        </is>
      </c>
      <c r="G480" t="inlineStr">
        <is>
          <t>Other</t>
        </is>
      </c>
      <c r="I480" t="inlineStr">
        <is>
          <t>Bizagi_Team</t>
        </is>
      </c>
      <c r="J480" t="inlineStr">
        <is>
          <t>SAJAK</t>
        </is>
      </c>
      <c r="K480" t="inlineStr">
        <is>
          <t>Estate_Sprint 44</t>
        </is>
      </c>
      <c r="M480" t="inlineStr">
        <is>
          <t>Taleb Amirreza</t>
        </is>
      </c>
      <c r="Q480" s="42" t="n">
        <v>45977.56486111111</v>
      </c>
      <c r="S480" t="n">
        <v>0</v>
      </c>
      <c r="T480" s="42" t="n">
        <v>45977.56486111111</v>
      </c>
      <c r="AA480" t="n">
        <v>0</v>
      </c>
      <c r="AD480" t="n">
        <v>2</v>
      </c>
      <c r="AE480" t="n">
        <v>2</v>
      </c>
      <c r="AF480" t="n">
        <v>0</v>
      </c>
      <c r="AI480" t="n">
        <v>0</v>
      </c>
      <c r="AJ480" t="n">
        <v>0</v>
      </c>
      <c r="AM480" t="n">
        <v>40</v>
      </c>
      <c r="AN480" t="n">
        <v>0</v>
      </c>
      <c r="AO480" t="n">
        <v>0</v>
      </c>
      <c r="AP480" t="n">
        <v>0</v>
      </c>
      <c r="AQ480" t="n">
        <v>24</v>
      </c>
      <c r="AR480" t="n">
        <v>0</v>
      </c>
    </row>
    <row r="481">
      <c r="A481" t="n">
        <v>195655</v>
      </c>
      <c r="B481" t="inlineStr">
        <is>
          <t>Mom01_ثبت جلسه هیات -در ویرایش فیلدخپحق رای قابل ویرایش باشد</t>
        </is>
      </c>
      <c r="D481" t="inlineStr">
        <is>
          <t>Medium</t>
        </is>
      </c>
      <c r="E481" t="n">
        <v>2</v>
      </c>
      <c r="F481" t="inlineStr">
        <is>
          <t>Closed</t>
        </is>
      </c>
      <c r="G481" t="inlineStr">
        <is>
          <t>Other</t>
        </is>
      </c>
      <c r="I481" t="inlineStr">
        <is>
          <t>Bizagi_Team</t>
        </is>
      </c>
      <c r="J481" t="inlineStr">
        <is>
          <t>SAJAK</t>
        </is>
      </c>
      <c r="K481" t="inlineStr">
        <is>
          <t>Estate_Sprint 44</t>
        </is>
      </c>
      <c r="M481" t="inlineStr">
        <is>
          <t>Kalaei Saman</t>
        </is>
      </c>
      <c r="N481" t="inlineStr">
        <is>
          <t>Moradnoori Parinaz</t>
        </is>
      </c>
      <c r="O481" s="42" t="n">
        <v>46000.51167824074</v>
      </c>
      <c r="Q481" s="42" t="n">
        <v>46000.51167824074</v>
      </c>
      <c r="S481" t="n">
        <v>0</v>
      </c>
      <c r="T481" s="42" t="n">
        <v>46000.51167824074</v>
      </c>
      <c r="Z481" s="42" t="n">
        <v>46000.51167824074</v>
      </c>
      <c r="AA481" t="n">
        <v>0</v>
      </c>
      <c r="AD481" t="n">
        <v>2</v>
      </c>
      <c r="AE481" t="n">
        <v>2</v>
      </c>
      <c r="AF481" t="n">
        <v>0</v>
      </c>
      <c r="AI481" t="n">
        <v>0</v>
      </c>
      <c r="AJ481" t="n">
        <v>0</v>
      </c>
      <c r="AK481" t="n">
        <v>0</v>
      </c>
      <c r="AL481" t="n">
        <v>0</v>
      </c>
      <c r="AN481" t="n">
        <v>0</v>
      </c>
      <c r="AO481" t="n">
        <v>0</v>
      </c>
      <c r="AP481" t="n">
        <v>0</v>
      </c>
      <c r="AQ481" t="n">
        <v>24</v>
      </c>
      <c r="AR481" t="n">
        <v>0</v>
      </c>
    </row>
    <row r="482">
      <c r="A482" t="n">
        <v>195656</v>
      </c>
      <c r="B482" t="inlineStr">
        <is>
          <t>Mom01_ثبت جلسه هیات -لیست جلسات</t>
        </is>
      </c>
      <c r="D482" t="inlineStr">
        <is>
          <t>Medium</t>
        </is>
      </c>
      <c r="E482" t="n">
        <v>2</v>
      </c>
      <c r="F482" t="inlineStr">
        <is>
          <t>Closed</t>
        </is>
      </c>
      <c r="G482" t="inlineStr">
        <is>
          <t>Other</t>
        </is>
      </c>
      <c r="I482" t="inlineStr">
        <is>
          <t>Bizagi_Team</t>
        </is>
      </c>
      <c r="J482" t="inlineStr">
        <is>
          <t>SAJAK</t>
        </is>
      </c>
      <c r="K482" t="inlineStr">
        <is>
          <t>Estate_Sprint 44</t>
        </is>
      </c>
      <c r="M482" t="inlineStr">
        <is>
          <t>Shamsfard Ahmad</t>
        </is>
      </c>
      <c r="N482" t="inlineStr">
        <is>
          <t>Mousavi Azadeh</t>
        </is>
      </c>
      <c r="O482" s="42" t="n">
        <v>45980.34993055555</v>
      </c>
      <c r="Q482" s="42" t="n">
        <v>45980.34993055555</v>
      </c>
      <c r="S482" t="n">
        <v>0</v>
      </c>
      <c r="T482" s="42" t="n">
        <v>45980.34993055555</v>
      </c>
      <c r="Z482" s="42" t="n">
        <v>45980.34993055555</v>
      </c>
      <c r="AA482" t="n">
        <v>0</v>
      </c>
      <c r="AD482" t="n">
        <v>2</v>
      </c>
      <c r="AE482" t="n">
        <v>2</v>
      </c>
      <c r="AF482" t="n">
        <v>0</v>
      </c>
      <c r="AI482" t="n">
        <v>0</v>
      </c>
      <c r="AJ482" t="n">
        <v>0</v>
      </c>
      <c r="AK482" t="n">
        <v>0</v>
      </c>
      <c r="AL482" t="n">
        <v>0</v>
      </c>
      <c r="AN482" t="n">
        <v>0</v>
      </c>
      <c r="AO482" t="n">
        <v>0</v>
      </c>
      <c r="AP482" t="n">
        <v>0</v>
      </c>
      <c r="AQ482" t="n">
        <v>24</v>
      </c>
      <c r="AR482" t="n">
        <v>0</v>
      </c>
    </row>
    <row r="483">
      <c r="A483" t="n">
        <v>195660</v>
      </c>
      <c r="B483" t="inlineStr">
        <is>
          <t>حذف شدن اطلاعات ارکان پیشنهاد بعد از ویرایش درخواست/1377</t>
        </is>
      </c>
      <c r="D483" t="inlineStr">
        <is>
          <t>Medium</t>
        </is>
      </c>
      <c r="E483" t="n">
        <v>2</v>
      </c>
      <c r="F483" t="inlineStr">
        <is>
          <t>Closed</t>
        </is>
      </c>
      <c r="G483" t="inlineStr">
        <is>
          <t>Other</t>
        </is>
      </c>
      <c r="J483" t="inlineStr">
        <is>
          <t>Dem</t>
        </is>
      </c>
      <c r="K483" t="inlineStr">
        <is>
          <t>DemBiz</t>
        </is>
      </c>
      <c r="M483" t="inlineStr">
        <is>
          <t>Moradi Mohammad</t>
        </is>
      </c>
      <c r="N483" t="inlineStr">
        <is>
          <t>Hajizadeh Elnaz</t>
        </is>
      </c>
      <c r="O483" s="42" t="n">
        <v>45979.72200231482</v>
      </c>
      <c r="Q483" s="42" t="n">
        <v>45979.72200231482</v>
      </c>
      <c r="S483" t="n">
        <v>0</v>
      </c>
      <c r="T483" s="42" t="n">
        <v>45979.72200231482</v>
      </c>
      <c r="Z483" s="42" t="n">
        <v>45979.72200231482</v>
      </c>
      <c r="AA483" t="n">
        <v>0</v>
      </c>
      <c r="AD483" t="n">
        <v>2</v>
      </c>
      <c r="AE483" t="n">
        <v>2</v>
      </c>
      <c r="AF483" t="n">
        <v>0</v>
      </c>
      <c r="AI483" t="n">
        <v>0</v>
      </c>
      <c r="AJ483" t="n">
        <v>0</v>
      </c>
      <c r="AK483" t="n">
        <v>0</v>
      </c>
      <c r="AL483" t="n">
        <v>0</v>
      </c>
      <c r="AN483" t="n">
        <v>0</v>
      </c>
      <c r="AO483" t="n">
        <v>0</v>
      </c>
      <c r="AP483" t="n">
        <v>0</v>
      </c>
      <c r="AQ483" t="n">
        <v>24</v>
      </c>
      <c r="AR483" t="n">
        <v>0</v>
      </c>
    </row>
    <row r="484">
      <c r="A484" t="n">
        <v>195661</v>
      </c>
      <c r="B484" t="inlineStr">
        <is>
          <t xml:space="preserve">1377/در فرم تاریخچه ، پنل نظریه نام کارشناس  اشتباه نمایش داده می شود </t>
        </is>
      </c>
      <c r="D484" t="inlineStr">
        <is>
          <t>Medium</t>
        </is>
      </c>
      <c r="E484" t="n">
        <v>2</v>
      </c>
      <c r="F484" t="inlineStr">
        <is>
          <t>Closed</t>
        </is>
      </c>
      <c r="G484" t="inlineStr">
        <is>
          <t>Other</t>
        </is>
      </c>
      <c r="J484" t="inlineStr">
        <is>
          <t>Dem</t>
        </is>
      </c>
      <c r="K484" t="inlineStr">
        <is>
          <t>DemBiz</t>
        </is>
      </c>
      <c r="M484" t="inlineStr">
        <is>
          <t>Javanmardi Mojan</t>
        </is>
      </c>
      <c r="N484" t="inlineStr">
        <is>
          <t>Baniamer Shaghayegh</t>
        </is>
      </c>
      <c r="O484" s="42" t="n">
        <v>45977.81451388889</v>
      </c>
      <c r="Q484" s="42" t="n">
        <v>45977.81451388889</v>
      </c>
      <c r="S484" t="n">
        <v>0</v>
      </c>
      <c r="T484" s="42" t="n">
        <v>45977.81451388889</v>
      </c>
      <c r="Z484" s="42" t="n">
        <v>45977.81451388889</v>
      </c>
      <c r="AA484" t="n">
        <v>0</v>
      </c>
      <c r="AD484" t="n">
        <v>2</v>
      </c>
      <c r="AE484" t="n">
        <v>2</v>
      </c>
      <c r="AF484" t="n">
        <v>0</v>
      </c>
      <c r="AI484" t="n">
        <v>0</v>
      </c>
      <c r="AJ484" t="n">
        <v>0</v>
      </c>
      <c r="AK484" t="n">
        <v>0</v>
      </c>
      <c r="AL484" t="n">
        <v>0</v>
      </c>
      <c r="AN484" t="n">
        <v>0</v>
      </c>
      <c r="AO484" t="n">
        <v>0</v>
      </c>
      <c r="AP484" t="n">
        <v>0</v>
      </c>
      <c r="AQ484" t="n">
        <v>24</v>
      </c>
      <c r="AR484" t="n">
        <v>0</v>
      </c>
    </row>
    <row r="485">
      <c r="A485" t="n">
        <v>195666</v>
      </c>
      <c r="B485" t="inlineStr">
        <is>
          <t>دکمه تایید و ادامه  در فرم ثبت مهلت مصوبه پیغام خطا می دهد 1377/</t>
        </is>
      </c>
      <c r="D485" t="inlineStr">
        <is>
          <t>Medium</t>
        </is>
      </c>
      <c r="E485" t="n">
        <v>1</v>
      </c>
      <c r="F485" t="inlineStr">
        <is>
          <t>Closed</t>
        </is>
      </c>
      <c r="G485" t="inlineStr">
        <is>
          <t>Other</t>
        </is>
      </c>
      <c r="J485" t="inlineStr">
        <is>
          <t>Dem</t>
        </is>
      </c>
      <c r="K485" t="inlineStr">
        <is>
          <t>DemBiz</t>
        </is>
      </c>
      <c r="M485" t="inlineStr">
        <is>
          <t>Moradi Mohammad</t>
        </is>
      </c>
      <c r="N485" t="inlineStr">
        <is>
          <t>Baniamer Shaghayegh</t>
        </is>
      </c>
      <c r="O485" s="42" t="n">
        <v>45977.67097222222</v>
      </c>
      <c r="Q485" s="42" t="n">
        <v>45977.67097222222</v>
      </c>
      <c r="S485" t="n">
        <v>0</v>
      </c>
      <c r="T485" s="42" t="n">
        <v>45977.67097222222</v>
      </c>
      <c r="Z485" s="42" t="n">
        <v>45977.67097222222</v>
      </c>
      <c r="AA485" t="n">
        <v>0</v>
      </c>
      <c r="AD485" t="n">
        <v>2</v>
      </c>
      <c r="AE485" t="n">
        <v>2</v>
      </c>
      <c r="AF485" t="n">
        <v>0</v>
      </c>
      <c r="AI485" t="n">
        <v>0</v>
      </c>
      <c r="AJ485" t="n">
        <v>0</v>
      </c>
      <c r="AK485" t="n">
        <v>0</v>
      </c>
      <c r="AL485" t="n">
        <v>0</v>
      </c>
      <c r="AN485" t="n">
        <v>0</v>
      </c>
      <c r="AO485" t="n">
        <v>0</v>
      </c>
      <c r="AP485" t="n">
        <v>0</v>
      </c>
      <c r="AQ485" t="n">
        <v>24</v>
      </c>
      <c r="AR485" t="n">
        <v>0</v>
      </c>
    </row>
    <row r="486">
      <c r="A486" t="n">
        <v>195669</v>
      </c>
      <c r="B486" t="inlineStr">
        <is>
          <t xml:space="preserve">Rem13 - افزودن یک نقطه دیگر به ی در کلمه بازدید </t>
        </is>
      </c>
      <c r="D486" t="inlineStr">
        <is>
          <t>Medium</t>
        </is>
      </c>
      <c r="E486" t="n">
        <v>4</v>
      </c>
      <c r="F486" t="inlineStr">
        <is>
          <t>Closed</t>
        </is>
      </c>
      <c r="G486" t="inlineStr">
        <is>
          <t>Other</t>
        </is>
      </c>
      <c r="I486" t="inlineStr">
        <is>
          <t>Bizagi_Team</t>
        </is>
      </c>
      <c r="J486" t="inlineStr">
        <is>
          <t>SAJAK</t>
        </is>
      </c>
      <c r="K486" t="inlineStr">
        <is>
          <t>Estate_Sprint 44</t>
        </is>
      </c>
      <c r="M486" t="inlineStr">
        <is>
          <t>Kalaei Saman</t>
        </is>
      </c>
      <c r="N486" t="inlineStr">
        <is>
          <t>Moradnoori Parinaz</t>
        </is>
      </c>
      <c r="O486" s="42" t="n">
        <v>45986.59259259259</v>
      </c>
      <c r="Q486" s="42" t="n">
        <v>45986.59259259259</v>
      </c>
      <c r="S486" t="n">
        <v>0</v>
      </c>
      <c r="T486" s="42" t="n">
        <v>45986.59259259259</v>
      </c>
      <c r="Z486" s="42" t="n">
        <v>45986.59259259259</v>
      </c>
      <c r="AA486" t="n">
        <v>0</v>
      </c>
      <c r="AD486" t="n">
        <v>2</v>
      </c>
      <c r="AE486" t="n">
        <v>2</v>
      </c>
      <c r="AF486" t="n">
        <v>0</v>
      </c>
      <c r="AI486" t="n">
        <v>0</v>
      </c>
      <c r="AJ486" t="n">
        <v>0</v>
      </c>
      <c r="AK486" t="n">
        <v>0</v>
      </c>
      <c r="AL486" t="n">
        <v>0</v>
      </c>
      <c r="AN486" t="n">
        <v>0</v>
      </c>
      <c r="AO486" t="n">
        <v>0</v>
      </c>
      <c r="AP486" t="n">
        <v>0</v>
      </c>
      <c r="AQ486" t="n">
        <v>24</v>
      </c>
      <c r="AR486" t="n">
        <v>0</v>
      </c>
    </row>
    <row r="487">
      <c r="A487" t="n">
        <v>195671</v>
      </c>
      <c r="B487" t="inlineStr">
        <is>
          <t>اطلاعات تماس ، بعداز رفتن به تغییرات شرکت و باز گشت به نمایش حذف میشود1377</t>
        </is>
      </c>
      <c r="D487" t="inlineStr">
        <is>
          <t>Medium</t>
        </is>
      </c>
      <c r="E487" t="n">
        <v>1</v>
      </c>
      <c r="F487" t="inlineStr">
        <is>
          <t>Closed</t>
        </is>
      </c>
      <c r="G487" t="inlineStr">
        <is>
          <t>Other</t>
        </is>
      </c>
      <c r="J487" t="inlineStr">
        <is>
          <t>Dem</t>
        </is>
      </c>
      <c r="K487" t="inlineStr">
        <is>
          <t>DemBiz</t>
        </is>
      </c>
      <c r="M487" t="inlineStr">
        <is>
          <t>Hoseini Fatemeh</t>
        </is>
      </c>
      <c r="N487" t="inlineStr">
        <is>
          <t>Hajizadeh Elnaz</t>
        </is>
      </c>
      <c r="O487" s="42" t="n">
        <v>45978.51377314814</v>
      </c>
      <c r="Q487" s="42" t="n">
        <v>45978.51377314814</v>
      </c>
      <c r="S487" t="n">
        <v>0</v>
      </c>
      <c r="T487" s="42" t="n">
        <v>45978.51377314814</v>
      </c>
      <c r="Z487" s="42" t="n">
        <v>45978.51377314814</v>
      </c>
      <c r="AA487" t="n">
        <v>0</v>
      </c>
      <c r="AD487" t="n">
        <v>2</v>
      </c>
      <c r="AE487" t="n">
        <v>2</v>
      </c>
      <c r="AF487" t="n">
        <v>0</v>
      </c>
      <c r="AI487" t="n">
        <v>0</v>
      </c>
      <c r="AJ487" t="n">
        <v>0</v>
      </c>
      <c r="AK487" t="n">
        <v>0</v>
      </c>
      <c r="AL487" t="n">
        <v>0</v>
      </c>
      <c r="AN487" t="n">
        <v>0</v>
      </c>
      <c r="AO487" t="n">
        <v>0</v>
      </c>
      <c r="AP487" t="n">
        <v>0</v>
      </c>
      <c r="AQ487" t="n">
        <v>24</v>
      </c>
      <c r="AR487" t="n">
        <v>0</v>
      </c>
    </row>
    <row r="488">
      <c r="A488" t="n">
        <v>195683</v>
      </c>
      <c r="B488" t="inlineStr">
        <is>
          <t>Rem13 وجود دایره اضافه در دور دایره پلاس در کادر نماینده مسکن</t>
        </is>
      </c>
      <c r="D488" t="inlineStr">
        <is>
          <t>Medium</t>
        </is>
      </c>
      <c r="E488" t="n">
        <v>4</v>
      </c>
      <c r="F488" t="inlineStr">
        <is>
          <t>Approved</t>
        </is>
      </c>
      <c r="G488" t="inlineStr">
        <is>
          <t>Other</t>
        </is>
      </c>
      <c r="I488" t="inlineStr">
        <is>
          <t>Bizagi_Team</t>
        </is>
      </c>
      <c r="J488" t="inlineStr">
        <is>
          <t>SAJAK</t>
        </is>
      </c>
      <c r="K488" t="inlineStr">
        <is>
          <t>Estate_Sprint 44</t>
        </is>
      </c>
      <c r="M488" t="inlineStr">
        <is>
          <t>Jafari Saeed</t>
        </is>
      </c>
      <c r="Q488" s="42" t="n">
        <v>45990.66469907408</v>
      </c>
      <c r="S488" t="n">
        <v>0</v>
      </c>
      <c r="T488" s="42" t="n">
        <v>45990.66469907408</v>
      </c>
      <c r="AA488" t="n">
        <v>0</v>
      </c>
      <c r="AD488" t="n">
        <v>2</v>
      </c>
      <c r="AE488" t="n">
        <v>2</v>
      </c>
      <c r="AF488" t="n">
        <v>0</v>
      </c>
      <c r="AI488" t="n">
        <v>0</v>
      </c>
      <c r="AJ488" t="n">
        <v>0</v>
      </c>
      <c r="AN488" t="n">
        <v>0</v>
      </c>
      <c r="AO488" t="n">
        <v>0</v>
      </c>
      <c r="AP488" t="n">
        <v>0</v>
      </c>
      <c r="AQ488" t="n">
        <v>24</v>
      </c>
      <c r="AR488" t="n">
        <v>0</v>
      </c>
    </row>
    <row r="489">
      <c r="A489" t="n">
        <v>195698</v>
      </c>
      <c r="B489" t="inlineStr">
        <is>
          <t>باگ فیلد های درصد در جدول ارزی/1377</t>
        </is>
      </c>
      <c r="D489" t="inlineStr">
        <is>
          <t>Medium</t>
        </is>
      </c>
      <c r="E489" t="n">
        <v>3</v>
      </c>
      <c r="F489" t="inlineStr">
        <is>
          <t>Closed</t>
        </is>
      </c>
      <c r="G489" t="inlineStr">
        <is>
          <t>Other</t>
        </is>
      </c>
      <c r="J489" t="inlineStr">
        <is>
          <t>Dem</t>
        </is>
      </c>
      <c r="K489" t="inlineStr">
        <is>
          <t>DemBiz</t>
        </is>
      </c>
      <c r="M489" t="inlineStr">
        <is>
          <t>Moradi Mohammad</t>
        </is>
      </c>
      <c r="N489" t="inlineStr">
        <is>
          <t>Moradi Mohammad</t>
        </is>
      </c>
      <c r="O489" s="42" t="n">
        <v>45977.735</v>
      </c>
      <c r="Q489" s="42" t="n">
        <v>45977.735</v>
      </c>
      <c r="S489" t="n">
        <v>0</v>
      </c>
      <c r="T489" s="42" t="n">
        <v>45977.735</v>
      </c>
      <c r="Z489" s="42" t="n">
        <v>45977.735</v>
      </c>
      <c r="AA489" t="n">
        <v>0</v>
      </c>
      <c r="AD489" t="n">
        <v>2</v>
      </c>
      <c r="AE489" t="n">
        <v>2</v>
      </c>
      <c r="AF489" t="n">
        <v>0</v>
      </c>
      <c r="AI489" t="n">
        <v>0</v>
      </c>
      <c r="AJ489" t="n">
        <v>0</v>
      </c>
      <c r="AK489" t="n">
        <v>0</v>
      </c>
      <c r="AL489" t="n">
        <v>0</v>
      </c>
      <c r="AN489" t="n">
        <v>0</v>
      </c>
      <c r="AO489" t="n">
        <v>0</v>
      </c>
      <c r="AP489" t="n">
        <v>0</v>
      </c>
      <c r="AQ489" t="n">
        <v>24</v>
      </c>
      <c r="AR489" t="n">
        <v>0</v>
      </c>
    </row>
    <row r="490">
      <c r="A490" t="n">
        <v>195705</v>
      </c>
      <c r="B490" t="inlineStr">
        <is>
          <t>AE_SAJA\\ مشکل اجرای اکشن اشتباه</t>
        </is>
      </c>
      <c r="D490" t="inlineStr">
        <is>
          <t>Medium</t>
        </is>
      </c>
      <c r="E490" t="n">
        <v>2</v>
      </c>
      <c r="F490" t="inlineStr">
        <is>
          <t>Closed</t>
        </is>
      </c>
      <c r="G490" t="inlineStr">
        <is>
          <t>Other</t>
        </is>
      </c>
      <c r="J490" t="inlineStr">
        <is>
          <t>Infrastructure Bizagi Extension</t>
        </is>
      </c>
      <c r="K490" t="inlineStr">
        <is>
          <t>SP-87</t>
        </is>
      </c>
      <c r="M490" t="inlineStr">
        <is>
          <t>Faraji Reza</t>
        </is>
      </c>
      <c r="N490" t="inlineStr">
        <is>
          <t>Tedadi Abbas</t>
        </is>
      </c>
      <c r="O490" s="42" t="n">
        <v>45998.62008101852</v>
      </c>
      <c r="Q490" s="42" t="n">
        <v>45998.62008101852</v>
      </c>
      <c r="S490" t="n">
        <v>0</v>
      </c>
      <c r="T490" s="42" t="n">
        <v>45998.62008101852</v>
      </c>
      <c r="Z490" s="42" t="n">
        <v>45998.62008101852</v>
      </c>
      <c r="AA490" t="n">
        <v>0</v>
      </c>
      <c r="AD490" t="n">
        <v>2</v>
      </c>
      <c r="AE490" t="n">
        <v>2</v>
      </c>
      <c r="AF490" t="n">
        <v>0</v>
      </c>
      <c r="AI490" t="n">
        <v>0</v>
      </c>
      <c r="AJ490" t="n">
        <v>0</v>
      </c>
      <c r="AK490" t="n">
        <v>0</v>
      </c>
      <c r="AL490" t="n">
        <v>0</v>
      </c>
      <c r="AN490" t="n">
        <v>0</v>
      </c>
      <c r="AO490" t="n">
        <v>0</v>
      </c>
      <c r="AP490" t="n">
        <v>0</v>
      </c>
      <c r="AQ490" t="n">
        <v>24</v>
      </c>
      <c r="AR490" t="n">
        <v>0</v>
      </c>
    </row>
    <row r="491">
      <c r="A491" t="n">
        <v>195735</v>
      </c>
      <c r="B491" t="inlineStr">
        <is>
          <t xml:space="preserve">درخواست بازیابی - نتایج جست و جو اسناد - خطا هنگان بازکردن فرم و خالی بودن دیتا فرم </t>
        </is>
      </c>
      <c r="D491" t="inlineStr">
        <is>
          <t>Medium</t>
        </is>
      </c>
      <c r="E491" t="n">
        <v>1</v>
      </c>
      <c r="F491" t="inlineStr">
        <is>
          <t>Closed</t>
        </is>
      </c>
      <c r="G491" t="inlineStr">
        <is>
          <t>Other</t>
        </is>
      </c>
      <c r="J491" t="inlineStr">
        <is>
          <t>Stagnant Archive</t>
        </is>
      </c>
      <c r="K491" t="inlineStr">
        <is>
          <t>Sp_22</t>
        </is>
      </c>
      <c r="M491" t="inlineStr">
        <is>
          <t>Homayoun Mohammad</t>
        </is>
      </c>
      <c r="N491" t="inlineStr">
        <is>
          <t>Monfared Mobina</t>
        </is>
      </c>
      <c r="O491" s="42" t="n">
        <v>45998.65797453704</v>
      </c>
      <c r="Q491" s="42" t="n">
        <v>45998.65797453704</v>
      </c>
      <c r="S491" t="n">
        <v>0</v>
      </c>
      <c r="T491" s="42" t="n">
        <v>45998.65797453704</v>
      </c>
      <c r="Z491" s="42" t="n">
        <v>45998.65797453704</v>
      </c>
      <c r="AA491" t="n">
        <v>0</v>
      </c>
      <c r="AD491" t="n">
        <v>2</v>
      </c>
      <c r="AE491" t="n">
        <v>2</v>
      </c>
      <c r="AF491" t="n">
        <v>0</v>
      </c>
      <c r="AI491" t="n">
        <v>0</v>
      </c>
      <c r="AJ491" t="n">
        <v>0</v>
      </c>
      <c r="AK491" t="n">
        <v>0</v>
      </c>
      <c r="AL491" t="n">
        <v>0</v>
      </c>
      <c r="AN491" t="n">
        <v>0</v>
      </c>
      <c r="AO491" t="n">
        <v>0</v>
      </c>
      <c r="AP491" t="n">
        <v>0</v>
      </c>
      <c r="AQ491" t="n">
        <v>24</v>
      </c>
      <c r="AR491" t="n">
        <v>0</v>
      </c>
    </row>
    <row r="492">
      <c r="A492" t="n">
        <v>195753</v>
      </c>
      <c r="B492" t="inlineStr">
        <is>
          <t>باگ دکمه امروز تقویم/NFWDem</t>
        </is>
      </c>
      <c r="D492" t="inlineStr">
        <is>
          <t>Medium</t>
        </is>
      </c>
      <c r="E492" t="n">
        <v>3</v>
      </c>
      <c r="F492" t="inlineStr">
        <is>
          <t>Closed</t>
        </is>
      </c>
      <c r="G492" t="inlineStr">
        <is>
          <t>Other</t>
        </is>
      </c>
      <c r="J492" t="inlineStr">
        <is>
          <t>Infrastructure Bizagi Extension</t>
        </is>
      </c>
      <c r="K492" t="inlineStr">
        <is>
          <t>SP-87</t>
        </is>
      </c>
      <c r="L492" t="inlineStr">
        <is>
          <t>Completed</t>
        </is>
      </c>
      <c r="M492" t="inlineStr">
        <is>
          <t>Parvaz Maryam</t>
        </is>
      </c>
      <c r="N492" t="inlineStr">
        <is>
          <t>Hajizadeh Elnaz</t>
        </is>
      </c>
      <c r="O492" s="42" t="n">
        <v>46005.37173611111</v>
      </c>
      <c r="Q492" s="42" t="n">
        <v>46005.37173611111</v>
      </c>
      <c r="S492" t="n">
        <v>0</v>
      </c>
      <c r="T492" s="42" t="n">
        <v>46005.37173611111</v>
      </c>
      <c r="Z492" s="42" t="n">
        <v>46005.37173611111</v>
      </c>
      <c r="AA492" t="n">
        <v>0</v>
      </c>
      <c r="AD492" t="n">
        <v>2</v>
      </c>
      <c r="AE492" t="n">
        <v>2</v>
      </c>
      <c r="AF492" t="n">
        <v>0</v>
      </c>
      <c r="AI492" t="n">
        <v>0</v>
      </c>
      <c r="AJ492" t="n">
        <v>0</v>
      </c>
      <c r="AK492" t="n">
        <v>0</v>
      </c>
      <c r="AL492" t="n">
        <v>0</v>
      </c>
      <c r="AN492" t="n">
        <v>0</v>
      </c>
      <c r="AO492" t="n">
        <v>0</v>
      </c>
      <c r="AP492" t="n">
        <v>0</v>
      </c>
      <c r="AQ492" t="n">
        <v>24</v>
      </c>
      <c r="AR492" t="n">
        <v>0</v>
      </c>
    </row>
    <row r="493">
      <c r="A493" t="n">
        <v>195764</v>
      </c>
      <c r="B493" t="inlineStr">
        <is>
          <t xml:space="preserve">امکان زدن کلید اینتر در فیلد متن در پی نوشت </t>
        </is>
      </c>
      <c r="D493" t="inlineStr">
        <is>
          <t>Medium</t>
        </is>
      </c>
      <c r="E493" t="n">
        <v>4</v>
      </c>
      <c r="F493" t="inlineStr">
        <is>
          <t>Approved</t>
        </is>
      </c>
      <c r="G493" t="inlineStr">
        <is>
          <t>Other</t>
        </is>
      </c>
      <c r="I493" t="inlineStr">
        <is>
          <t>Bizagi_Team</t>
        </is>
      </c>
      <c r="J493" t="inlineStr">
        <is>
          <t>SAJAK</t>
        </is>
      </c>
      <c r="K493" t="inlineStr">
        <is>
          <t>Estate_Sprint 44</t>
        </is>
      </c>
      <c r="M493" t="inlineStr">
        <is>
          <t>Kalaei Saman</t>
        </is>
      </c>
      <c r="Q493" s="42" t="n">
        <v>45987.56712962963</v>
      </c>
      <c r="S493" t="n">
        <v>0</v>
      </c>
      <c r="T493" s="42" t="n">
        <v>45987.56712962963</v>
      </c>
      <c r="AA493" t="n">
        <v>0</v>
      </c>
      <c r="AD493" t="n">
        <v>2</v>
      </c>
      <c r="AE493" t="n">
        <v>2</v>
      </c>
      <c r="AF493" t="n">
        <v>0</v>
      </c>
      <c r="AI493" t="n">
        <v>0</v>
      </c>
      <c r="AJ493" t="n">
        <v>0</v>
      </c>
      <c r="AN493" t="n">
        <v>0</v>
      </c>
      <c r="AO493" t="n">
        <v>0</v>
      </c>
      <c r="AP493" t="n">
        <v>0</v>
      </c>
      <c r="AQ493" t="n">
        <v>24</v>
      </c>
      <c r="AR493" t="n">
        <v>0</v>
      </c>
    </row>
    <row r="494">
      <c r="A494" t="n">
        <v>195808</v>
      </c>
      <c r="B494" t="inlineStr">
        <is>
          <t>خطا در ماژول نمایش نقشه در محیط قرمز</t>
        </is>
      </c>
      <c r="D494" t="inlineStr">
        <is>
          <t>Medium</t>
        </is>
      </c>
      <c r="E494" t="n">
        <v>1</v>
      </c>
      <c r="F494" t="inlineStr">
        <is>
          <t>Approved</t>
        </is>
      </c>
      <c r="G494" t="inlineStr">
        <is>
          <t>Other</t>
        </is>
      </c>
      <c r="I494" t="inlineStr">
        <is>
          <t>Kadastr_Team</t>
        </is>
      </c>
      <c r="J494" t="inlineStr">
        <is>
          <t>SAJAK</t>
        </is>
      </c>
      <c r="K494" t="inlineStr">
        <is>
          <t>GIS_Sprint 43</t>
        </is>
      </c>
      <c r="M494" t="inlineStr">
        <is>
          <t>GanjiRad Mohammad</t>
        </is>
      </c>
      <c r="Q494" s="42" t="n">
        <v>45978.38974537037</v>
      </c>
      <c r="S494" t="n">
        <v>0</v>
      </c>
      <c r="T494" s="42" t="n">
        <v>45978.38974537037</v>
      </c>
      <c r="AA494" t="n">
        <v>0</v>
      </c>
      <c r="AD494" t="n">
        <v>2</v>
      </c>
      <c r="AE494" t="n">
        <v>2</v>
      </c>
      <c r="AF494" t="n">
        <v>0</v>
      </c>
      <c r="AI494" t="n">
        <v>0</v>
      </c>
      <c r="AJ494" t="n">
        <v>0</v>
      </c>
      <c r="AN494" t="n">
        <v>0</v>
      </c>
      <c r="AO494" t="n">
        <v>0</v>
      </c>
      <c r="AP494" t="n">
        <v>0</v>
      </c>
      <c r="AQ494" t="n">
        <v>24</v>
      </c>
      <c r="AR494" t="n">
        <v>0</v>
      </c>
    </row>
    <row r="495">
      <c r="A495" t="n">
        <v>195811</v>
      </c>
      <c r="B495" t="inlineStr">
        <is>
          <t>AE_SAJA\\ مشکل لود دیتیا کمبو</t>
        </is>
      </c>
      <c r="D495" t="inlineStr">
        <is>
          <t>Medium</t>
        </is>
      </c>
      <c r="E495" t="n">
        <v>3</v>
      </c>
      <c r="F495" t="inlineStr">
        <is>
          <t>Closed</t>
        </is>
      </c>
      <c r="G495" t="inlineStr">
        <is>
          <t>Other</t>
        </is>
      </c>
      <c r="J495" t="inlineStr">
        <is>
          <t>Infrastructure Bizagi Extension</t>
        </is>
      </c>
      <c r="K495" t="inlineStr">
        <is>
          <t>SP-87</t>
        </is>
      </c>
      <c r="M495" t="inlineStr">
        <is>
          <t>Jafari Saeed</t>
        </is>
      </c>
      <c r="N495" t="inlineStr">
        <is>
          <t>Tedadi Abbas</t>
        </is>
      </c>
      <c r="O495" s="42" t="n">
        <v>45998.6208912037</v>
      </c>
      <c r="Q495" s="42" t="n">
        <v>45998.6208912037</v>
      </c>
      <c r="S495" t="n">
        <v>0</v>
      </c>
      <c r="T495" s="42" t="n">
        <v>45998.6208912037</v>
      </c>
      <c r="Z495" s="42" t="n">
        <v>45998.6208912037</v>
      </c>
      <c r="AA495" t="n">
        <v>0</v>
      </c>
      <c r="AD495" t="n">
        <v>2</v>
      </c>
      <c r="AE495" t="n">
        <v>2</v>
      </c>
      <c r="AF495" t="n">
        <v>0</v>
      </c>
      <c r="AI495" t="n">
        <v>0</v>
      </c>
      <c r="AJ495" t="n">
        <v>0</v>
      </c>
      <c r="AK495" t="n">
        <v>0</v>
      </c>
      <c r="AL495" t="n">
        <v>0</v>
      </c>
      <c r="AN495" t="n">
        <v>0</v>
      </c>
      <c r="AO495" t="n">
        <v>0</v>
      </c>
      <c r="AP495" t="n">
        <v>0</v>
      </c>
      <c r="AQ495" t="n">
        <v>24</v>
      </c>
      <c r="AR495" t="n">
        <v>0</v>
      </c>
    </row>
    <row r="496">
      <c r="A496" t="n">
        <v>195821</v>
      </c>
      <c r="B496" t="inlineStr">
        <is>
          <t>باگ اطلاعات مشتری حقیقی در تاریخچه پرونده های در دست اقدام و انجام شده</t>
        </is>
      </c>
      <c r="D496" t="inlineStr">
        <is>
          <t>Medium</t>
        </is>
      </c>
      <c r="E496" t="n">
        <v>2</v>
      </c>
      <c r="F496" t="inlineStr">
        <is>
          <t>Closed</t>
        </is>
      </c>
      <c r="G496" t="inlineStr">
        <is>
          <t>Other</t>
        </is>
      </c>
      <c r="J496" t="inlineStr">
        <is>
          <t>Dem</t>
        </is>
      </c>
      <c r="K496" t="inlineStr">
        <is>
          <t>DemBiz</t>
        </is>
      </c>
      <c r="M496" t="inlineStr">
        <is>
          <t>Hoseini Fatemeh</t>
        </is>
      </c>
      <c r="N496" t="inlineStr">
        <is>
          <t>Mohseni Hadise</t>
        </is>
      </c>
      <c r="O496" s="42" t="n">
        <v>45978.7021875</v>
      </c>
      <c r="Q496" s="42" t="n">
        <v>45978.7021875</v>
      </c>
      <c r="S496" t="n">
        <v>0</v>
      </c>
      <c r="T496" s="42" t="n">
        <v>45978.7021875</v>
      </c>
      <c r="Z496" s="42" t="n">
        <v>45978.7021875</v>
      </c>
      <c r="AA496" t="n">
        <v>0</v>
      </c>
      <c r="AD496" t="n">
        <v>2</v>
      </c>
      <c r="AE496" t="n">
        <v>2</v>
      </c>
      <c r="AF496" t="n">
        <v>0</v>
      </c>
      <c r="AI496" t="n">
        <v>0</v>
      </c>
      <c r="AJ496" t="n">
        <v>0</v>
      </c>
      <c r="AK496" t="n">
        <v>0</v>
      </c>
      <c r="AL496" t="n">
        <v>0</v>
      </c>
      <c r="AN496" t="n">
        <v>0</v>
      </c>
      <c r="AO496" t="n">
        <v>0</v>
      </c>
      <c r="AP496" t="n">
        <v>0</v>
      </c>
      <c r="AQ496" t="n">
        <v>24</v>
      </c>
      <c r="AR496" t="n">
        <v>0</v>
      </c>
    </row>
    <row r="497">
      <c r="A497" t="n">
        <v>195827</v>
      </c>
      <c r="B497" t="inlineStr">
        <is>
          <t>دکمه درج تغییرات شرکت در فرم نمایش پیغام خطا در فرایند می دهد</t>
        </is>
      </c>
      <c r="D497" t="inlineStr">
        <is>
          <t>Medium</t>
        </is>
      </c>
      <c r="E497" t="n">
        <v>1</v>
      </c>
      <c r="F497" t="inlineStr">
        <is>
          <t>Closed</t>
        </is>
      </c>
      <c r="G497" t="inlineStr">
        <is>
          <t>Other</t>
        </is>
      </c>
      <c r="J497" t="inlineStr">
        <is>
          <t>Dem</t>
        </is>
      </c>
      <c r="K497" t="inlineStr">
        <is>
          <t>DemBiz</t>
        </is>
      </c>
      <c r="M497" t="inlineStr">
        <is>
          <t>Hoseini Fatemeh</t>
        </is>
      </c>
      <c r="N497" t="inlineStr">
        <is>
          <t>Hajizadeh Elnaz</t>
        </is>
      </c>
      <c r="O497" s="42" t="n">
        <v>45978.47387731481</v>
      </c>
      <c r="Q497" s="42" t="n">
        <v>45978.47387731481</v>
      </c>
      <c r="S497" t="n">
        <v>0</v>
      </c>
      <c r="T497" s="42" t="n">
        <v>45978.47387731481</v>
      </c>
      <c r="Z497" s="42" t="n">
        <v>45978.47387731481</v>
      </c>
      <c r="AA497" t="n">
        <v>0</v>
      </c>
      <c r="AD497" t="n">
        <v>2</v>
      </c>
      <c r="AE497" t="n">
        <v>2</v>
      </c>
      <c r="AF497" t="n">
        <v>0</v>
      </c>
      <c r="AI497" t="n">
        <v>0</v>
      </c>
      <c r="AJ497" t="n">
        <v>0</v>
      </c>
      <c r="AK497" t="n">
        <v>0</v>
      </c>
      <c r="AL497" t="n">
        <v>0</v>
      </c>
      <c r="AN497" t="n">
        <v>0</v>
      </c>
      <c r="AO497" t="n">
        <v>0</v>
      </c>
      <c r="AP497" t="n">
        <v>0</v>
      </c>
      <c r="AQ497" t="n">
        <v>24</v>
      </c>
      <c r="AR497" t="n">
        <v>0</v>
      </c>
    </row>
    <row r="498">
      <c r="A498" t="n">
        <v>195836</v>
      </c>
      <c r="B498" t="inlineStr">
        <is>
          <t>کمبو اشخاص درتماس ، بعداز رفتن به تغییرات شرکت و باز گشت به نمایش حذف میشود1377</t>
        </is>
      </c>
      <c r="D498" t="inlineStr">
        <is>
          <t>Medium</t>
        </is>
      </c>
      <c r="E498" t="n">
        <v>2</v>
      </c>
      <c r="F498" t="inlineStr">
        <is>
          <t>Closed</t>
        </is>
      </c>
      <c r="G498" t="inlineStr">
        <is>
          <t>Other</t>
        </is>
      </c>
      <c r="J498" t="inlineStr">
        <is>
          <t>Dem</t>
        </is>
      </c>
      <c r="K498" t="inlineStr">
        <is>
          <t>DemBiz</t>
        </is>
      </c>
      <c r="M498" t="inlineStr">
        <is>
          <t>Moradi Mohammad</t>
        </is>
      </c>
      <c r="N498" t="inlineStr">
        <is>
          <t>Hajizadeh Elnaz</t>
        </is>
      </c>
      <c r="O498" s="42" t="n">
        <v>45978.71204861111</v>
      </c>
      <c r="Q498" s="42" t="n">
        <v>45978.71204861111</v>
      </c>
      <c r="S498" t="n">
        <v>0</v>
      </c>
      <c r="T498" s="42" t="n">
        <v>45978.71204861111</v>
      </c>
      <c r="Z498" s="42" t="n">
        <v>45978.71204861111</v>
      </c>
      <c r="AA498" t="n">
        <v>0</v>
      </c>
      <c r="AD498" t="n">
        <v>2</v>
      </c>
      <c r="AE498" t="n">
        <v>2</v>
      </c>
      <c r="AF498" t="n">
        <v>0</v>
      </c>
      <c r="AI498" t="n">
        <v>0</v>
      </c>
      <c r="AJ498" t="n">
        <v>0</v>
      </c>
      <c r="AK498" t="n">
        <v>0</v>
      </c>
      <c r="AL498" t="n">
        <v>0</v>
      </c>
      <c r="AN498" t="n">
        <v>0</v>
      </c>
      <c r="AO498" t="n">
        <v>0</v>
      </c>
      <c r="AP498" t="n">
        <v>0</v>
      </c>
      <c r="AQ498" t="n">
        <v>24</v>
      </c>
      <c r="AR498" t="n">
        <v>0</v>
      </c>
    </row>
    <row r="499">
      <c r="A499" t="n">
        <v>195837</v>
      </c>
      <c r="B499" t="inlineStr">
        <is>
          <t xml:space="preserve">دکمه ارسال به رییس در فرم تکمیل ( طرح موردی ) پیغام جدول ارزی می دهد </t>
        </is>
      </c>
      <c r="D499" t="inlineStr">
        <is>
          <t>Medium</t>
        </is>
      </c>
      <c r="E499" t="n">
        <v>2</v>
      </c>
      <c r="F499" t="inlineStr">
        <is>
          <t>Closed</t>
        </is>
      </c>
      <c r="G499" t="inlineStr">
        <is>
          <t>Other</t>
        </is>
      </c>
      <c r="J499" t="inlineStr">
        <is>
          <t>Dem</t>
        </is>
      </c>
      <c r="K499" t="inlineStr">
        <is>
          <t>DemBiz</t>
        </is>
      </c>
      <c r="M499" t="inlineStr">
        <is>
          <t>Moradi Mohammad</t>
        </is>
      </c>
      <c r="N499" t="inlineStr">
        <is>
          <t>Hajizadeh Elnaz</t>
        </is>
      </c>
      <c r="O499" s="42" t="n">
        <v>45978.57496527778</v>
      </c>
      <c r="Q499" s="42" t="n">
        <v>45978.57496527778</v>
      </c>
      <c r="S499" t="n">
        <v>0</v>
      </c>
      <c r="T499" s="42" t="n">
        <v>45978.57496527778</v>
      </c>
      <c r="Z499" s="42" t="n">
        <v>45978.57496527778</v>
      </c>
      <c r="AA499" t="n">
        <v>0</v>
      </c>
      <c r="AD499" t="n">
        <v>2</v>
      </c>
      <c r="AE499" t="n">
        <v>2</v>
      </c>
      <c r="AF499" t="n">
        <v>0</v>
      </c>
      <c r="AI499" t="n">
        <v>0</v>
      </c>
      <c r="AJ499" t="n">
        <v>0</v>
      </c>
      <c r="AK499" t="n">
        <v>0</v>
      </c>
      <c r="AL499" t="n">
        <v>0</v>
      </c>
      <c r="AN499" t="n">
        <v>0</v>
      </c>
      <c r="AO499" t="n">
        <v>0</v>
      </c>
      <c r="AP499" t="n">
        <v>0</v>
      </c>
      <c r="AQ499" t="n">
        <v>24</v>
      </c>
      <c r="AR499" t="n">
        <v>0</v>
      </c>
    </row>
    <row r="500">
      <c r="A500" t="n">
        <v>195838</v>
      </c>
      <c r="B500" t="inlineStr">
        <is>
          <t xml:space="preserve">خطا در ثبت خودرو </t>
        </is>
      </c>
      <c r="D500" t="inlineStr">
        <is>
          <t>Medium</t>
        </is>
      </c>
      <c r="E500" t="n">
        <v>2</v>
      </c>
      <c r="F500" t="inlineStr">
        <is>
          <t>Ready for Retest</t>
        </is>
      </c>
      <c r="G500" t="inlineStr">
        <is>
          <t>Other</t>
        </is>
      </c>
      <c r="J500" t="inlineStr">
        <is>
          <t>Transportation</t>
        </is>
      </c>
      <c r="K500" t="inlineStr">
        <is>
          <t>Sp_25</t>
        </is>
      </c>
      <c r="M500" t="inlineStr">
        <is>
          <t>Homayoun Mohammad</t>
        </is>
      </c>
      <c r="Q500" s="42" t="n">
        <v>46015.6599537037</v>
      </c>
      <c r="S500" t="n">
        <v>0</v>
      </c>
      <c r="T500" s="42" t="n">
        <v>46015.6599537037</v>
      </c>
      <c r="AA500" t="n">
        <v>0</v>
      </c>
      <c r="AD500" t="n">
        <v>2</v>
      </c>
      <c r="AE500" t="n">
        <v>2</v>
      </c>
      <c r="AF500" t="n">
        <v>0</v>
      </c>
      <c r="AI500" t="n">
        <v>0</v>
      </c>
      <c r="AJ500" t="n">
        <v>0</v>
      </c>
      <c r="AN500" t="n">
        <v>0</v>
      </c>
      <c r="AO500" t="n">
        <v>0</v>
      </c>
      <c r="AP500" t="n">
        <v>0</v>
      </c>
      <c r="AQ500" t="n">
        <v>24</v>
      </c>
      <c r="AR500" t="n">
        <v>0</v>
      </c>
    </row>
    <row r="501">
      <c r="A501" t="n">
        <v>195839</v>
      </c>
      <c r="B501" t="inlineStr">
        <is>
          <t>بعداز کلیک بر برگشت به رییس در استپ مشاهده نتیجه کمیته ، سند نکست و به استپ انتخاب کارشناس می رود</t>
        </is>
      </c>
      <c r="D501" t="inlineStr">
        <is>
          <t>Medium</t>
        </is>
      </c>
      <c r="E501" t="n">
        <v>1</v>
      </c>
      <c r="F501" t="inlineStr">
        <is>
          <t>Closed</t>
        </is>
      </c>
      <c r="G501" t="inlineStr">
        <is>
          <t>Other</t>
        </is>
      </c>
      <c r="J501" t="inlineStr">
        <is>
          <t>Dem</t>
        </is>
      </c>
      <c r="K501" t="inlineStr">
        <is>
          <t>DemBiz</t>
        </is>
      </c>
      <c r="M501" t="inlineStr">
        <is>
          <t>Hoseini Fatemeh</t>
        </is>
      </c>
      <c r="N501" t="inlineStr">
        <is>
          <t>Hajizadeh Elnaz</t>
        </is>
      </c>
      <c r="O501" s="42" t="n">
        <v>45978.71887731482</v>
      </c>
      <c r="Q501" s="42" t="n">
        <v>45978.71887731482</v>
      </c>
      <c r="S501" t="n">
        <v>0</v>
      </c>
      <c r="T501" s="42" t="n">
        <v>45978.71887731482</v>
      </c>
      <c r="Z501" s="42" t="n">
        <v>45978.71887731482</v>
      </c>
      <c r="AA501" t="n">
        <v>0</v>
      </c>
      <c r="AD501" t="n">
        <v>2</v>
      </c>
      <c r="AE501" t="n">
        <v>2</v>
      </c>
      <c r="AF501" t="n">
        <v>0</v>
      </c>
      <c r="AI501" t="n">
        <v>0</v>
      </c>
      <c r="AJ501" t="n">
        <v>0</v>
      </c>
      <c r="AK501" t="n">
        <v>0</v>
      </c>
      <c r="AL501" t="n">
        <v>0</v>
      </c>
      <c r="AN501" t="n">
        <v>0</v>
      </c>
      <c r="AO501" t="n">
        <v>0</v>
      </c>
      <c r="AP501" t="n">
        <v>0</v>
      </c>
      <c r="AQ501" t="n">
        <v>24</v>
      </c>
      <c r="AR501" t="n">
        <v>0</v>
      </c>
    </row>
    <row r="502">
      <c r="A502" t="n">
        <v>195846</v>
      </c>
      <c r="B502" t="inlineStr">
        <is>
          <t>ظفر&gt;امضای نفر سوم کمیته ارور میده/1377</t>
        </is>
      </c>
      <c r="D502" t="inlineStr">
        <is>
          <t>Medium</t>
        </is>
      </c>
      <c r="E502" t="n">
        <v>2</v>
      </c>
      <c r="F502" t="inlineStr">
        <is>
          <t>Closed</t>
        </is>
      </c>
      <c r="G502" t="inlineStr">
        <is>
          <t>Other</t>
        </is>
      </c>
      <c r="J502" t="inlineStr">
        <is>
          <t>Dem</t>
        </is>
      </c>
      <c r="K502" t="inlineStr">
        <is>
          <t>DemBiz</t>
        </is>
      </c>
      <c r="M502" t="inlineStr">
        <is>
          <t>Hoseini Fatemeh</t>
        </is>
      </c>
      <c r="N502" t="inlineStr">
        <is>
          <t>Mohseni Hadise</t>
        </is>
      </c>
      <c r="O502" s="42" t="n">
        <v>45978.68192129629</v>
      </c>
      <c r="Q502" s="42" t="n">
        <v>45978.68192129629</v>
      </c>
      <c r="S502" t="n">
        <v>0</v>
      </c>
      <c r="T502" s="42" t="n">
        <v>45978.68192129629</v>
      </c>
      <c r="Z502" s="42" t="n">
        <v>45978.68192129629</v>
      </c>
      <c r="AA502" t="n">
        <v>0</v>
      </c>
      <c r="AD502" t="n">
        <v>2</v>
      </c>
      <c r="AE502" t="n">
        <v>2</v>
      </c>
      <c r="AF502" t="n">
        <v>0</v>
      </c>
      <c r="AI502" t="n">
        <v>0</v>
      </c>
      <c r="AJ502" t="n">
        <v>0</v>
      </c>
      <c r="AK502" t="n">
        <v>0</v>
      </c>
      <c r="AL502" t="n">
        <v>0</v>
      </c>
      <c r="AN502" t="n">
        <v>0</v>
      </c>
      <c r="AO502" t="n">
        <v>0</v>
      </c>
      <c r="AP502" t="n">
        <v>0</v>
      </c>
      <c r="AQ502" t="n">
        <v>24</v>
      </c>
      <c r="AR502" t="n">
        <v>0</v>
      </c>
    </row>
    <row r="503">
      <c r="A503" t="n">
        <v>195847</v>
      </c>
      <c r="B503" t="inlineStr">
        <is>
          <t>AE_SAJA\\گرید مالتی سلکت ارور 500</t>
        </is>
      </c>
      <c r="D503" t="inlineStr">
        <is>
          <t>Medium</t>
        </is>
      </c>
      <c r="E503" t="n">
        <v>1</v>
      </c>
      <c r="F503" t="inlineStr">
        <is>
          <t>Closed</t>
        </is>
      </c>
      <c r="G503" t="inlineStr">
        <is>
          <t>Other</t>
        </is>
      </c>
      <c r="J503" t="inlineStr">
        <is>
          <t>Infrastructure Bizagi Extension</t>
        </is>
      </c>
      <c r="K503" t="inlineStr">
        <is>
          <t>SP-87</t>
        </is>
      </c>
      <c r="M503" t="inlineStr">
        <is>
          <t>Faraji Reza</t>
        </is>
      </c>
      <c r="N503" t="inlineStr">
        <is>
          <t>Tedadi Abbas</t>
        </is>
      </c>
      <c r="O503" s="42" t="n">
        <v>45998.63762731481</v>
      </c>
      <c r="Q503" s="42" t="n">
        <v>45998.63762731481</v>
      </c>
      <c r="S503" t="n">
        <v>0</v>
      </c>
      <c r="T503" s="42" t="n">
        <v>45998.63762731481</v>
      </c>
      <c r="Z503" s="42" t="n">
        <v>45998.63762731481</v>
      </c>
      <c r="AA503" t="n">
        <v>0</v>
      </c>
      <c r="AD503" t="n">
        <v>2</v>
      </c>
      <c r="AE503" t="n">
        <v>2</v>
      </c>
      <c r="AF503" t="n">
        <v>0</v>
      </c>
      <c r="AI503" t="n">
        <v>0</v>
      </c>
      <c r="AJ503" t="n">
        <v>0</v>
      </c>
      <c r="AK503" t="n">
        <v>0</v>
      </c>
      <c r="AL503" t="n">
        <v>0</v>
      </c>
      <c r="AN503" t="n">
        <v>0</v>
      </c>
      <c r="AO503" t="n">
        <v>0</v>
      </c>
      <c r="AP503" t="n">
        <v>0</v>
      </c>
      <c r="AQ503" t="n">
        <v>24</v>
      </c>
      <c r="AR503" t="n">
        <v>0</v>
      </c>
    </row>
    <row r="504">
      <c r="A504" t="n">
        <v>195858</v>
      </c>
      <c r="B504" t="inlineStr">
        <is>
          <t xml:space="preserve"> Rem13 در ساماندهی محیط قرمز نقش کاربر که در بالای صفحه نمایش داده می شود لاک نمی شود و قابل نمایش نیست</t>
        </is>
      </c>
      <c r="D504" t="inlineStr">
        <is>
          <t>Medium</t>
        </is>
      </c>
      <c r="E504" t="n">
        <v>1</v>
      </c>
      <c r="F504" t="inlineStr">
        <is>
          <t>New</t>
        </is>
      </c>
      <c r="G504" t="inlineStr">
        <is>
          <t>Other</t>
        </is>
      </c>
      <c r="I504" t="inlineStr">
        <is>
          <t>Bizagi_Team</t>
        </is>
      </c>
      <c r="J504" t="inlineStr">
        <is>
          <t>SAJAK</t>
        </is>
      </c>
      <c r="K504" t="inlineStr">
        <is>
          <t>Estate_Sprint 44</t>
        </is>
      </c>
      <c r="M504" t="inlineStr">
        <is>
          <t>Taleb Amirreza</t>
        </is>
      </c>
      <c r="Q504" s="42" t="n">
        <v>45978.61910879629</v>
      </c>
      <c r="S504" t="n">
        <v>0</v>
      </c>
      <c r="T504" s="42" t="n">
        <v>45978.61910879629</v>
      </c>
      <c r="AA504" t="n">
        <v>0</v>
      </c>
      <c r="AD504" t="n">
        <v>2</v>
      </c>
      <c r="AE504" t="n">
        <v>2</v>
      </c>
      <c r="AF504" t="n">
        <v>0</v>
      </c>
      <c r="AI504" t="n">
        <v>0</v>
      </c>
      <c r="AJ504" t="n">
        <v>0</v>
      </c>
      <c r="AM504" t="n">
        <v>39</v>
      </c>
      <c r="AN504" t="n">
        <v>0</v>
      </c>
      <c r="AO504" t="n">
        <v>0</v>
      </c>
      <c r="AP504" t="n">
        <v>0</v>
      </c>
      <c r="AQ504" t="n">
        <v>24</v>
      </c>
      <c r="AR504" t="n">
        <v>0</v>
      </c>
    </row>
    <row r="505">
      <c r="A505" t="n">
        <v>195860</v>
      </c>
      <c r="B505" t="inlineStr">
        <is>
          <t>کمبو مشتری در فرم ثبت گزارش نویسی</t>
        </is>
      </c>
      <c r="D505" t="inlineStr">
        <is>
          <t>Medium</t>
        </is>
      </c>
      <c r="E505" t="n">
        <v>2</v>
      </c>
      <c r="F505" t="inlineStr">
        <is>
          <t>Closed</t>
        </is>
      </c>
      <c r="G505" t="inlineStr">
        <is>
          <t>Other</t>
        </is>
      </c>
      <c r="J505" t="inlineStr">
        <is>
          <t>Dem</t>
        </is>
      </c>
      <c r="K505" t="inlineStr">
        <is>
          <t>DemBiz</t>
        </is>
      </c>
      <c r="M505" t="inlineStr">
        <is>
          <t>Hoseini Fatemeh</t>
        </is>
      </c>
      <c r="N505" t="inlineStr">
        <is>
          <t>Hajizadeh Elnaz</t>
        </is>
      </c>
      <c r="O505" s="42" t="n">
        <v>45979.405625</v>
      </c>
      <c r="Q505" s="42" t="n">
        <v>45979.405625</v>
      </c>
      <c r="S505" t="n">
        <v>0</v>
      </c>
      <c r="T505" s="42" t="n">
        <v>45979.405625</v>
      </c>
      <c r="Z505" s="42" t="n">
        <v>45979.405625</v>
      </c>
      <c r="AA505" t="n">
        <v>0</v>
      </c>
      <c r="AD505" t="n">
        <v>2</v>
      </c>
      <c r="AE505" t="n">
        <v>2</v>
      </c>
      <c r="AF505" t="n">
        <v>0</v>
      </c>
      <c r="AI505" t="n">
        <v>0</v>
      </c>
      <c r="AJ505" t="n">
        <v>0</v>
      </c>
      <c r="AK505" t="n">
        <v>0</v>
      </c>
      <c r="AL505" t="n">
        <v>0</v>
      </c>
      <c r="AN505" t="n">
        <v>0</v>
      </c>
      <c r="AO505" t="n">
        <v>0</v>
      </c>
      <c r="AP505" t="n">
        <v>0</v>
      </c>
      <c r="AQ505" t="n">
        <v>24</v>
      </c>
      <c r="AR505" t="n">
        <v>0</v>
      </c>
    </row>
    <row r="506">
      <c r="A506" t="n">
        <v>195863</v>
      </c>
      <c r="B506" t="inlineStr">
        <is>
          <t xml:space="preserve">عدم نمایش پیغام "سند با موفقیت ارسال شد" دو بار در یک صفحه </t>
        </is>
      </c>
      <c r="D506" t="inlineStr">
        <is>
          <t>Medium</t>
        </is>
      </c>
      <c r="E506" t="n">
        <v>1</v>
      </c>
      <c r="F506" t="inlineStr">
        <is>
          <t>Closed</t>
        </is>
      </c>
      <c r="G506" t="inlineStr">
        <is>
          <t>Other</t>
        </is>
      </c>
      <c r="I506" t="inlineStr">
        <is>
          <t>Bizagi_Team</t>
        </is>
      </c>
      <c r="J506" t="inlineStr">
        <is>
          <t>SAJAK</t>
        </is>
      </c>
      <c r="K506" t="inlineStr">
        <is>
          <t>Estate_Sprint 44</t>
        </is>
      </c>
      <c r="M506" t="inlineStr">
        <is>
          <t>Taleb Amirreza</t>
        </is>
      </c>
      <c r="N506" t="inlineStr">
        <is>
          <t>Moradnoori Parinaz</t>
        </is>
      </c>
      <c r="O506" s="42" t="n">
        <v>45992.56228009259</v>
      </c>
      <c r="Q506" s="42" t="n">
        <v>45992.56228009259</v>
      </c>
      <c r="S506" t="n">
        <v>0</v>
      </c>
      <c r="T506" s="42" t="n">
        <v>45992.56228009259</v>
      </c>
      <c r="Z506" s="42" t="n">
        <v>45992.56228009259</v>
      </c>
      <c r="AA506" t="n">
        <v>0</v>
      </c>
      <c r="AD506" t="n">
        <v>2</v>
      </c>
      <c r="AE506" t="n">
        <v>2</v>
      </c>
      <c r="AF506" t="n">
        <v>0</v>
      </c>
      <c r="AI506" t="n">
        <v>0</v>
      </c>
      <c r="AJ506" t="n">
        <v>0</v>
      </c>
      <c r="AK506" t="n">
        <v>0</v>
      </c>
      <c r="AL506" t="n">
        <v>0</v>
      </c>
      <c r="AN506" t="n">
        <v>0</v>
      </c>
      <c r="AO506" t="n">
        <v>0</v>
      </c>
      <c r="AP506" t="n">
        <v>0</v>
      </c>
      <c r="AQ506" t="n">
        <v>24</v>
      </c>
      <c r="AR506" t="n">
        <v>0</v>
      </c>
    </row>
    <row r="507">
      <c r="A507" t="n">
        <v>195869</v>
      </c>
      <c r="B507" t="inlineStr">
        <is>
          <t xml:space="preserve">گزارش پایش </t>
        </is>
      </c>
      <c r="D507" t="inlineStr">
        <is>
          <t>Medium</t>
        </is>
      </c>
      <c r="E507" t="n">
        <v>1</v>
      </c>
      <c r="F507" t="inlineStr">
        <is>
          <t>Closed</t>
        </is>
      </c>
      <c r="G507" t="inlineStr">
        <is>
          <t>Other</t>
        </is>
      </c>
      <c r="J507" t="inlineStr">
        <is>
          <t>Dem</t>
        </is>
      </c>
      <c r="K507" t="inlineStr">
        <is>
          <t>DemBiz</t>
        </is>
      </c>
      <c r="M507" t="inlineStr">
        <is>
          <t>Moradi Mohammad</t>
        </is>
      </c>
      <c r="N507" t="inlineStr">
        <is>
          <t>Hajizadeh Elnaz</t>
        </is>
      </c>
      <c r="O507" s="42" t="n">
        <v>45991.67847222222</v>
      </c>
      <c r="Q507" s="42" t="n">
        <v>45991.67847222222</v>
      </c>
      <c r="S507" t="n">
        <v>0</v>
      </c>
      <c r="T507" s="42" t="n">
        <v>45991.67847222222</v>
      </c>
      <c r="Z507" s="42" t="n">
        <v>45991.67847222222</v>
      </c>
      <c r="AA507" t="n">
        <v>0</v>
      </c>
      <c r="AD507" t="n">
        <v>2</v>
      </c>
      <c r="AE507" t="n">
        <v>2</v>
      </c>
      <c r="AF507" t="n">
        <v>0</v>
      </c>
      <c r="AI507" t="n">
        <v>0</v>
      </c>
      <c r="AJ507" t="n">
        <v>0</v>
      </c>
      <c r="AK507" t="n">
        <v>0</v>
      </c>
      <c r="AL507" t="n">
        <v>0</v>
      </c>
      <c r="AN507" t="n">
        <v>0</v>
      </c>
      <c r="AO507" t="n">
        <v>0</v>
      </c>
      <c r="AP507" t="n">
        <v>0</v>
      </c>
      <c r="AQ507" t="n">
        <v>24</v>
      </c>
      <c r="AR507" t="n">
        <v>0</v>
      </c>
    </row>
    <row r="508">
      <c r="A508" t="n">
        <v>195889</v>
      </c>
      <c r="B508" t="inlineStr">
        <is>
          <t>ظفر&gt;سند تو فرایند بازگشت جهت تغییر ارکان عقود توی لوپ بین رییس واحد و رییس اعتبارات کلان گیر میکنه/1377</t>
        </is>
      </c>
      <c r="D508" t="inlineStr">
        <is>
          <t>Medium</t>
        </is>
      </c>
      <c r="E508" t="n">
        <v>2</v>
      </c>
      <c r="F508" t="inlineStr">
        <is>
          <t>Closed</t>
        </is>
      </c>
      <c r="G508" t="inlineStr">
        <is>
          <t>Other</t>
        </is>
      </c>
      <c r="J508" t="inlineStr">
        <is>
          <t>Dem</t>
        </is>
      </c>
      <c r="K508" t="inlineStr">
        <is>
          <t>DemBiz</t>
        </is>
      </c>
      <c r="M508" t="inlineStr">
        <is>
          <t>Hoseini Fatemeh</t>
        </is>
      </c>
      <c r="N508" t="inlineStr">
        <is>
          <t>Mohseni Hadise</t>
        </is>
      </c>
      <c r="O508" s="42" t="n">
        <v>45979.41570601852</v>
      </c>
      <c r="Q508" s="42" t="n">
        <v>45979.41570601852</v>
      </c>
      <c r="S508" t="n">
        <v>0</v>
      </c>
      <c r="T508" s="42" t="n">
        <v>45979.41570601852</v>
      </c>
      <c r="Z508" s="42" t="n">
        <v>45979.41570601852</v>
      </c>
      <c r="AA508" t="n">
        <v>0</v>
      </c>
      <c r="AD508" t="n">
        <v>2</v>
      </c>
      <c r="AE508" t="n">
        <v>2</v>
      </c>
      <c r="AF508" t="n">
        <v>0</v>
      </c>
      <c r="AI508" t="n">
        <v>0</v>
      </c>
      <c r="AJ508" t="n">
        <v>0</v>
      </c>
      <c r="AK508" t="n">
        <v>0</v>
      </c>
      <c r="AL508" t="n">
        <v>0</v>
      </c>
      <c r="AN508" t="n">
        <v>0</v>
      </c>
      <c r="AO508" t="n">
        <v>0</v>
      </c>
      <c r="AP508" t="n">
        <v>0</v>
      </c>
      <c r="AQ508" t="n">
        <v>24</v>
      </c>
      <c r="AR508" t="n">
        <v>0</v>
      </c>
    </row>
    <row r="509">
      <c r="A509" t="n">
        <v>195890</v>
      </c>
      <c r="B509" t="inlineStr">
        <is>
          <t xml:space="preserve">سرچ در اسناد پیشنهاد/NFWDem </t>
        </is>
      </c>
      <c r="D509" t="inlineStr">
        <is>
          <t>Medium</t>
        </is>
      </c>
      <c r="E509" t="n">
        <v>2</v>
      </c>
      <c r="F509" t="inlineStr">
        <is>
          <t>Closed</t>
        </is>
      </c>
      <c r="G509" t="inlineStr">
        <is>
          <t>Other</t>
        </is>
      </c>
      <c r="J509" t="inlineStr">
        <is>
          <t>Infrastructure Bizagi Extension</t>
        </is>
      </c>
      <c r="K509" t="inlineStr">
        <is>
          <t>SP-87</t>
        </is>
      </c>
      <c r="L509" t="inlineStr">
        <is>
          <t>Completed</t>
        </is>
      </c>
      <c r="M509" t="inlineStr">
        <is>
          <t>Parvaz Maryam</t>
        </is>
      </c>
      <c r="N509" t="inlineStr">
        <is>
          <t>Hajizadeh Elnaz</t>
        </is>
      </c>
      <c r="O509" s="42" t="n">
        <v>46005.3696412037</v>
      </c>
      <c r="Q509" s="42" t="n">
        <v>46005.3696412037</v>
      </c>
      <c r="S509" t="n">
        <v>0</v>
      </c>
      <c r="T509" s="42" t="n">
        <v>46005.3696412037</v>
      </c>
      <c r="Z509" s="42" t="n">
        <v>46005.3696412037</v>
      </c>
      <c r="AA509" t="n">
        <v>0</v>
      </c>
      <c r="AD509" t="n">
        <v>2</v>
      </c>
      <c r="AE509" t="n">
        <v>2</v>
      </c>
      <c r="AF509" t="n">
        <v>0</v>
      </c>
      <c r="AI509" t="n">
        <v>0</v>
      </c>
      <c r="AJ509" t="n">
        <v>0</v>
      </c>
      <c r="AK509" t="n">
        <v>0</v>
      </c>
      <c r="AL509" t="n">
        <v>0</v>
      </c>
      <c r="AN509" t="n">
        <v>0</v>
      </c>
      <c r="AO509" t="n">
        <v>0</v>
      </c>
      <c r="AP509" t="n">
        <v>0</v>
      </c>
      <c r="AQ509" t="n">
        <v>24</v>
      </c>
      <c r="AR509" t="n">
        <v>0</v>
      </c>
    </row>
    <row r="510">
      <c r="A510" t="n">
        <v>195895</v>
      </c>
      <c r="B510" t="inlineStr">
        <is>
          <t xml:space="preserve"> 08/26عدم دانلود پرونده ها و مستندات مشتری </t>
        </is>
      </c>
      <c r="D510" t="inlineStr">
        <is>
          <t>Medium</t>
        </is>
      </c>
      <c r="E510" t="n">
        <v>1</v>
      </c>
      <c r="F510" t="inlineStr">
        <is>
          <t>Closed</t>
        </is>
      </c>
      <c r="G510" t="inlineStr">
        <is>
          <t>Other</t>
        </is>
      </c>
      <c r="J510" t="inlineStr">
        <is>
          <t>Dem</t>
        </is>
      </c>
      <c r="K510" t="inlineStr">
        <is>
          <t>DemBiz</t>
        </is>
      </c>
      <c r="M510" t="inlineStr">
        <is>
          <t>Moradi Mohammad</t>
        </is>
      </c>
      <c r="N510" t="inlineStr">
        <is>
          <t>Baniamer Shaghayegh</t>
        </is>
      </c>
      <c r="O510" s="42" t="n">
        <v>45979.85974537037</v>
      </c>
      <c r="Q510" s="42" t="n">
        <v>45979.85974537037</v>
      </c>
      <c r="S510" t="n">
        <v>0</v>
      </c>
      <c r="T510" s="42" t="n">
        <v>45979.85974537037</v>
      </c>
      <c r="Z510" s="42" t="n">
        <v>45979.85974537037</v>
      </c>
      <c r="AA510" t="n">
        <v>0</v>
      </c>
      <c r="AD510" t="n">
        <v>2</v>
      </c>
      <c r="AE510" t="n">
        <v>2</v>
      </c>
      <c r="AF510" t="n">
        <v>0</v>
      </c>
      <c r="AI510" t="n">
        <v>0</v>
      </c>
      <c r="AJ510" t="n">
        <v>0</v>
      </c>
      <c r="AK510" t="n">
        <v>0</v>
      </c>
      <c r="AL510" t="n">
        <v>0</v>
      </c>
      <c r="AN510" t="n">
        <v>0</v>
      </c>
      <c r="AO510" t="n">
        <v>0</v>
      </c>
      <c r="AP510" t="n">
        <v>0</v>
      </c>
      <c r="AQ510" t="n">
        <v>24</v>
      </c>
      <c r="AR510" t="n">
        <v>0</v>
      </c>
    </row>
    <row r="511">
      <c r="A511" t="n">
        <v>195922</v>
      </c>
      <c r="B511" t="inlineStr">
        <is>
          <t xml:space="preserve"> تامین نیاز /مشخصات رسید خرید //   s.kh</t>
        </is>
      </c>
      <c r="D511" t="inlineStr">
        <is>
          <t>Medium</t>
        </is>
      </c>
      <c r="E511" t="n">
        <v>2</v>
      </c>
      <c r="F511" t="inlineStr">
        <is>
          <t>Ready for Retest</t>
        </is>
      </c>
      <c r="G511" t="inlineStr">
        <is>
          <t>Other</t>
        </is>
      </c>
      <c r="J511" t="inlineStr">
        <is>
          <t>Integrated Warehouse</t>
        </is>
      </c>
      <c r="K511" t="inlineStr">
        <is>
          <t>Sprint 32</t>
        </is>
      </c>
      <c r="M511" t="inlineStr">
        <is>
          <t>Khedmati Aylin</t>
        </is>
      </c>
      <c r="Q511" s="42" t="n">
        <v>46015.68054398148</v>
      </c>
      <c r="S511" t="n">
        <v>0</v>
      </c>
      <c r="T511" s="42" t="n">
        <v>46015.68054398148</v>
      </c>
      <c r="AA511" t="n">
        <v>0</v>
      </c>
      <c r="AD511" t="n">
        <v>2</v>
      </c>
      <c r="AE511" t="n">
        <v>2</v>
      </c>
      <c r="AF511" t="n">
        <v>0</v>
      </c>
      <c r="AI511" t="n">
        <v>0</v>
      </c>
      <c r="AJ511" t="n">
        <v>0</v>
      </c>
      <c r="AN511" t="n">
        <v>0</v>
      </c>
      <c r="AO511" t="n">
        <v>0</v>
      </c>
      <c r="AP511" t="n">
        <v>0</v>
      </c>
      <c r="AQ511" t="n">
        <v>24</v>
      </c>
      <c r="AR511" t="n">
        <v>0</v>
      </c>
    </row>
    <row r="512">
      <c r="A512" t="n">
        <v>195941</v>
      </c>
      <c r="B512" t="inlineStr">
        <is>
          <t>ایجاد کالا/عدم کنترل حذف کالا  //   s.kh</t>
        </is>
      </c>
      <c r="D512" t="inlineStr">
        <is>
          <t>Medium</t>
        </is>
      </c>
      <c r="E512" t="n">
        <v>2</v>
      </c>
      <c r="F512" t="inlineStr">
        <is>
          <t>Ready for Retest</t>
        </is>
      </c>
      <c r="G512" t="inlineStr">
        <is>
          <t>Other</t>
        </is>
      </c>
      <c r="J512" t="inlineStr">
        <is>
          <t>Integrated Warehouse</t>
        </is>
      </c>
      <c r="K512" t="inlineStr">
        <is>
          <t>Sprint 32</t>
        </is>
      </c>
      <c r="M512" t="inlineStr">
        <is>
          <t>Khedmati Aylin</t>
        </is>
      </c>
      <c r="Q512" s="42" t="n">
        <v>46015.68054398148</v>
      </c>
      <c r="S512" t="n">
        <v>0</v>
      </c>
      <c r="T512" s="42" t="n">
        <v>46015.68054398148</v>
      </c>
      <c r="AA512" t="n">
        <v>0</v>
      </c>
      <c r="AD512" t="n">
        <v>2</v>
      </c>
      <c r="AE512" t="n">
        <v>2</v>
      </c>
      <c r="AF512" t="n">
        <v>0</v>
      </c>
      <c r="AI512" t="n">
        <v>0</v>
      </c>
      <c r="AJ512" t="n">
        <v>0</v>
      </c>
      <c r="AN512" t="n">
        <v>0</v>
      </c>
      <c r="AO512" t="n">
        <v>0</v>
      </c>
      <c r="AP512" t="n">
        <v>0</v>
      </c>
      <c r="AQ512" t="n">
        <v>24</v>
      </c>
      <c r="AR512" t="n">
        <v>0</v>
      </c>
    </row>
    <row r="513">
      <c r="A513" t="n">
        <v>195942</v>
      </c>
      <c r="B513" t="inlineStr">
        <is>
          <t>ایجاد کالا/عدم کنترل حذف کالا  //   s.kh</t>
        </is>
      </c>
      <c r="D513" t="inlineStr">
        <is>
          <t>Medium</t>
        </is>
      </c>
      <c r="E513" t="n">
        <v>2</v>
      </c>
      <c r="F513" t="inlineStr">
        <is>
          <t>Ready for Retest</t>
        </is>
      </c>
      <c r="G513" t="inlineStr">
        <is>
          <t>Other</t>
        </is>
      </c>
      <c r="J513" t="inlineStr">
        <is>
          <t>Integrated Warehouse</t>
        </is>
      </c>
      <c r="K513" t="inlineStr">
        <is>
          <t>Sprint 32</t>
        </is>
      </c>
      <c r="M513" t="inlineStr">
        <is>
          <t>Khedmati Aylin</t>
        </is>
      </c>
      <c r="Q513" s="42" t="n">
        <v>46015.68054398148</v>
      </c>
      <c r="S513" t="n">
        <v>0</v>
      </c>
      <c r="T513" s="42" t="n">
        <v>46015.68054398148</v>
      </c>
      <c r="AA513" t="n">
        <v>0</v>
      </c>
      <c r="AD513" t="n">
        <v>2</v>
      </c>
      <c r="AE513" t="n">
        <v>2</v>
      </c>
      <c r="AF513" t="n">
        <v>0</v>
      </c>
      <c r="AI513" t="n">
        <v>0</v>
      </c>
      <c r="AJ513" t="n">
        <v>0</v>
      </c>
      <c r="AN513" t="n">
        <v>0</v>
      </c>
      <c r="AO513" t="n">
        <v>0</v>
      </c>
      <c r="AP513" t="n">
        <v>0</v>
      </c>
      <c r="AQ513" t="n">
        <v>24</v>
      </c>
      <c r="AR513" t="n">
        <v>0</v>
      </c>
    </row>
    <row r="514">
      <c r="A514" t="n">
        <v>195953</v>
      </c>
      <c r="B514" t="inlineStr">
        <is>
          <t>AE_SAJA\\عدم نمایش combo</t>
        </is>
      </c>
      <c r="D514" t="inlineStr">
        <is>
          <t>Medium</t>
        </is>
      </c>
      <c r="E514" t="n">
        <v>1</v>
      </c>
      <c r="F514" t="inlineStr">
        <is>
          <t>Closed</t>
        </is>
      </c>
      <c r="G514" t="inlineStr">
        <is>
          <t>Other</t>
        </is>
      </c>
      <c r="J514" t="inlineStr">
        <is>
          <t>Infrastructure Bizagi Extension</t>
        </is>
      </c>
      <c r="K514" t="inlineStr">
        <is>
          <t>SP-87</t>
        </is>
      </c>
      <c r="M514" t="inlineStr">
        <is>
          <t>Jafari Saeed</t>
        </is>
      </c>
      <c r="N514" t="inlineStr">
        <is>
          <t>Tedadi Abbas</t>
        </is>
      </c>
      <c r="O514" s="42" t="n">
        <v>45998.6374074074</v>
      </c>
      <c r="Q514" s="42" t="n">
        <v>45998.6374074074</v>
      </c>
      <c r="S514" t="n">
        <v>0</v>
      </c>
      <c r="T514" s="42" t="n">
        <v>45998.6374074074</v>
      </c>
      <c r="Z514" s="42" t="n">
        <v>45998.6374074074</v>
      </c>
      <c r="AA514" t="n">
        <v>0</v>
      </c>
      <c r="AD514" t="n">
        <v>2</v>
      </c>
      <c r="AE514" t="n">
        <v>2</v>
      </c>
      <c r="AF514" t="n">
        <v>0</v>
      </c>
      <c r="AI514" t="n">
        <v>0</v>
      </c>
      <c r="AJ514" t="n">
        <v>0</v>
      </c>
      <c r="AK514" t="n">
        <v>0</v>
      </c>
      <c r="AL514" t="n">
        <v>0</v>
      </c>
      <c r="AN514" t="n">
        <v>0</v>
      </c>
      <c r="AO514" t="n">
        <v>0</v>
      </c>
      <c r="AP514" t="n">
        <v>0</v>
      </c>
      <c r="AQ514" t="n">
        <v>24</v>
      </c>
      <c r="AR514" t="n">
        <v>0</v>
      </c>
    </row>
    <row r="515">
      <c r="A515" t="n">
        <v>196000</v>
      </c>
      <c r="B515" t="inlineStr">
        <is>
          <t xml:space="preserve"> در فرم اطلاعات درخواست غیرتسهیلاتی جهت ویرایش، دکمه ویرایش ، حذف شود 08/26</t>
        </is>
      </c>
      <c r="D515" t="inlineStr">
        <is>
          <t>Medium</t>
        </is>
      </c>
      <c r="E515" t="n">
        <v>1</v>
      </c>
      <c r="F515" t="inlineStr">
        <is>
          <t>Closed</t>
        </is>
      </c>
      <c r="G515" t="inlineStr">
        <is>
          <t>Other</t>
        </is>
      </c>
      <c r="J515" t="inlineStr">
        <is>
          <t>Dem</t>
        </is>
      </c>
      <c r="K515" t="inlineStr">
        <is>
          <t>DemBiz</t>
        </is>
      </c>
      <c r="M515" t="inlineStr">
        <is>
          <t>Hoseini Fatemeh</t>
        </is>
      </c>
      <c r="N515" t="inlineStr">
        <is>
          <t>Baniamer Shaghayegh</t>
        </is>
      </c>
      <c r="O515" s="42" t="n">
        <v>45979.8387962963</v>
      </c>
      <c r="Q515" s="42" t="n">
        <v>45979.8387962963</v>
      </c>
      <c r="S515" t="n">
        <v>0</v>
      </c>
      <c r="T515" s="42" t="n">
        <v>45979.8387962963</v>
      </c>
      <c r="Z515" s="42" t="n">
        <v>45979.8387962963</v>
      </c>
      <c r="AA515" t="n">
        <v>0</v>
      </c>
      <c r="AD515" t="n">
        <v>2</v>
      </c>
      <c r="AE515" t="n">
        <v>2</v>
      </c>
      <c r="AF515" t="n">
        <v>0</v>
      </c>
      <c r="AI515" t="n">
        <v>0</v>
      </c>
      <c r="AJ515" t="n">
        <v>0</v>
      </c>
      <c r="AK515" t="n">
        <v>0</v>
      </c>
      <c r="AL515" t="n">
        <v>0</v>
      </c>
      <c r="AN515" t="n">
        <v>0</v>
      </c>
      <c r="AO515" t="n">
        <v>0</v>
      </c>
      <c r="AP515" t="n">
        <v>0</v>
      </c>
      <c r="AQ515" t="n">
        <v>24</v>
      </c>
      <c r="AR515" t="n">
        <v>0</v>
      </c>
    </row>
    <row r="516">
      <c r="A516" t="n">
        <v>196001</v>
      </c>
      <c r="B516" t="inlineStr">
        <is>
          <t>"جایگزینی نادرست اطلاعات عقد ویرایش شده با آخرین عقد جدول پس از ویرایش درخواست"/26/08</t>
        </is>
      </c>
      <c r="D516" t="inlineStr">
        <is>
          <t>Medium</t>
        </is>
      </c>
      <c r="E516" t="n">
        <v>2</v>
      </c>
      <c r="F516" t="inlineStr">
        <is>
          <t>Closed</t>
        </is>
      </c>
      <c r="G516" t="inlineStr">
        <is>
          <t>Other</t>
        </is>
      </c>
      <c r="J516" t="inlineStr">
        <is>
          <t>Dem</t>
        </is>
      </c>
      <c r="K516" t="inlineStr">
        <is>
          <t>DemBiz</t>
        </is>
      </c>
      <c r="M516" t="inlineStr">
        <is>
          <t>Hoseini Fatemeh</t>
        </is>
      </c>
      <c r="N516" t="inlineStr">
        <is>
          <t>Baniamer Shaghayegh</t>
        </is>
      </c>
      <c r="O516" s="42" t="n">
        <v>45979.84076388889</v>
      </c>
      <c r="Q516" s="42" t="n">
        <v>45979.84076388889</v>
      </c>
      <c r="S516" t="n">
        <v>0</v>
      </c>
      <c r="T516" s="42" t="n">
        <v>45979.84076388889</v>
      </c>
      <c r="Z516" s="42" t="n">
        <v>45979.84076388889</v>
      </c>
      <c r="AA516" t="n">
        <v>0</v>
      </c>
      <c r="AD516" t="n">
        <v>2</v>
      </c>
      <c r="AE516" t="n">
        <v>2</v>
      </c>
      <c r="AF516" t="n">
        <v>0</v>
      </c>
      <c r="AI516" t="n">
        <v>0</v>
      </c>
      <c r="AJ516" t="n">
        <v>0</v>
      </c>
      <c r="AK516" t="n">
        <v>0</v>
      </c>
      <c r="AL516" t="n">
        <v>0</v>
      </c>
      <c r="AN516" t="n">
        <v>0</v>
      </c>
      <c r="AO516" t="n">
        <v>0</v>
      </c>
      <c r="AP516" t="n">
        <v>0</v>
      </c>
      <c r="AQ516" t="n">
        <v>24</v>
      </c>
      <c r="AR516" t="n">
        <v>0</v>
      </c>
    </row>
    <row r="517">
      <c r="A517" t="n">
        <v>196002</v>
      </c>
      <c r="B517" t="inlineStr">
        <is>
          <t xml:space="preserve">لینک ویرایش در، درخواست های مصوب شده دیتا پاک و نمایش داده نمی شود 08/26 /// NFWDem </t>
        </is>
      </c>
      <c r="D517" t="inlineStr">
        <is>
          <t>Medium</t>
        </is>
      </c>
      <c r="E517" t="n">
        <v>1</v>
      </c>
      <c r="F517" t="inlineStr">
        <is>
          <t>Open</t>
        </is>
      </c>
      <c r="G517" t="inlineStr">
        <is>
          <t>Other</t>
        </is>
      </c>
      <c r="J517" t="inlineStr">
        <is>
          <t>Infrastructure Bizagi Extension</t>
        </is>
      </c>
      <c r="K517" t="inlineStr">
        <is>
          <t>SP_88</t>
        </is>
      </c>
      <c r="M517" t="inlineStr">
        <is>
          <t>Rezaee Reza</t>
        </is>
      </c>
      <c r="Q517" s="42" t="n">
        <v>46007.52606481482</v>
      </c>
      <c r="S517" t="n">
        <v>0</v>
      </c>
      <c r="T517" s="42" t="n">
        <v>46007.52606481482</v>
      </c>
      <c r="AA517" t="n">
        <v>0</v>
      </c>
      <c r="AD517" t="n">
        <v>2</v>
      </c>
      <c r="AE517" t="n">
        <v>2</v>
      </c>
      <c r="AF517" t="n">
        <v>0</v>
      </c>
      <c r="AI517" t="n">
        <v>0</v>
      </c>
      <c r="AJ517" t="n">
        <v>0</v>
      </c>
      <c r="AM517" t="n">
        <v>10</v>
      </c>
      <c r="AN517" t="n">
        <v>0</v>
      </c>
      <c r="AO517" t="n">
        <v>0</v>
      </c>
      <c r="AP517" t="n">
        <v>0</v>
      </c>
      <c r="AQ517" t="n">
        <v>24</v>
      </c>
      <c r="AR517" t="n">
        <v>0</v>
      </c>
    </row>
    <row r="518">
      <c r="A518" t="n">
        <v>196005</v>
      </c>
      <c r="B518" t="inlineStr">
        <is>
          <t>بعداز انتخاب و تایید درخواست غیر تسهیلاتی مصوب شده، فرم ورود اطلاعات شعبه نمایش داده می شود08/26</t>
        </is>
      </c>
      <c r="D518" t="inlineStr">
        <is>
          <t>Medium</t>
        </is>
      </c>
      <c r="E518" t="n">
        <v>2</v>
      </c>
      <c r="F518" t="inlineStr">
        <is>
          <t>Closed</t>
        </is>
      </c>
      <c r="G518" t="inlineStr">
        <is>
          <t>Other</t>
        </is>
      </c>
      <c r="J518" t="inlineStr">
        <is>
          <t>Dem</t>
        </is>
      </c>
      <c r="K518" t="inlineStr">
        <is>
          <t>DemBiz</t>
        </is>
      </c>
      <c r="M518" t="inlineStr">
        <is>
          <t>Hoseini Fatemeh</t>
        </is>
      </c>
      <c r="N518" t="inlineStr">
        <is>
          <t>Hajizadeh Elnaz</t>
        </is>
      </c>
      <c r="O518" s="42" t="n">
        <v>45980.59944444444</v>
      </c>
      <c r="Q518" s="42" t="n">
        <v>45980.59944444444</v>
      </c>
      <c r="S518" t="n">
        <v>0</v>
      </c>
      <c r="T518" s="42" t="n">
        <v>45980.59944444444</v>
      </c>
      <c r="Z518" s="42" t="n">
        <v>45980.59944444444</v>
      </c>
      <c r="AA518" t="n">
        <v>0</v>
      </c>
      <c r="AD518" t="n">
        <v>2</v>
      </c>
      <c r="AE518" t="n">
        <v>2</v>
      </c>
      <c r="AF518" t="n">
        <v>0</v>
      </c>
      <c r="AI518" t="n">
        <v>0</v>
      </c>
      <c r="AJ518" t="n">
        <v>0</v>
      </c>
      <c r="AK518" t="n">
        <v>0</v>
      </c>
      <c r="AL518" t="n">
        <v>0</v>
      </c>
      <c r="AN518" t="n">
        <v>0</v>
      </c>
      <c r="AO518" t="n">
        <v>0</v>
      </c>
      <c r="AP518" t="n">
        <v>0</v>
      </c>
      <c r="AQ518" t="n">
        <v>24</v>
      </c>
      <c r="AR518" t="n">
        <v>0</v>
      </c>
    </row>
    <row r="519">
      <c r="A519" t="n">
        <v>196019</v>
      </c>
      <c r="B519" t="inlineStr">
        <is>
          <t>فرم ویرایش سریع دسترسی / گزارش نویسی/NFWDem</t>
        </is>
      </c>
      <c r="D519" t="inlineStr">
        <is>
          <t>Medium</t>
        </is>
      </c>
      <c r="E519" t="n">
        <v>1</v>
      </c>
      <c r="F519" t="inlineStr">
        <is>
          <t>Closed</t>
        </is>
      </c>
      <c r="G519" t="inlineStr">
        <is>
          <t>Other</t>
        </is>
      </c>
      <c r="J519" t="inlineStr">
        <is>
          <t>Infrastructure Bizagi Extension</t>
        </is>
      </c>
      <c r="K519" t="inlineStr">
        <is>
          <t>SP-87</t>
        </is>
      </c>
      <c r="M519" t="inlineStr">
        <is>
          <t>Jafari Saeed</t>
        </is>
      </c>
      <c r="N519" t="inlineStr">
        <is>
          <t>Hajizadeh Elnaz</t>
        </is>
      </c>
      <c r="O519" s="42" t="n">
        <v>45980.65038194445</v>
      </c>
      <c r="Q519" s="42" t="n">
        <v>45980.65038194445</v>
      </c>
      <c r="S519" t="n">
        <v>0</v>
      </c>
      <c r="T519" s="42" t="n">
        <v>45980.65038194445</v>
      </c>
      <c r="Z519" s="42" t="n">
        <v>45980.65038194445</v>
      </c>
      <c r="AA519" t="n">
        <v>0</v>
      </c>
      <c r="AD519" t="n">
        <v>2</v>
      </c>
      <c r="AE519" t="n">
        <v>2</v>
      </c>
      <c r="AF519" t="n">
        <v>0</v>
      </c>
      <c r="AI519" t="n">
        <v>0</v>
      </c>
      <c r="AJ519" t="n">
        <v>0</v>
      </c>
      <c r="AK519" t="n">
        <v>0</v>
      </c>
      <c r="AL519" t="n">
        <v>0</v>
      </c>
      <c r="AN519" t="n">
        <v>0</v>
      </c>
      <c r="AO519" t="n">
        <v>0</v>
      </c>
      <c r="AP519" t="n">
        <v>0</v>
      </c>
      <c r="AQ519" t="n">
        <v>24</v>
      </c>
      <c r="AR519" t="n">
        <v>0</v>
      </c>
    </row>
    <row r="520">
      <c r="A520" t="n">
        <v>196141</v>
      </c>
      <c r="B520" t="inlineStr">
        <is>
          <t>داپلیکیت شدن لینک ها فرم تکمیل اطلاعات26/08</t>
        </is>
      </c>
      <c r="D520" t="inlineStr">
        <is>
          <t>Medium</t>
        </is>
      </c>
      <c r="E520" t="n">
        <v>2</v>
      </c>
      <c r="F520" t="inlineStr">
        <is>
          <t>Closed</t>
        </is>
      </c>
      <c r="G520" t="inlineStr">
        <is>
          <t>Other</t>
        </is>
      </c>
      <c r="J520" t="inlineStr">
        <is>
          <t>Dem</t>
        </is>
      </c>
      <c r="K520" t="inlineStr">
        <is>
          <t>DemBiz</t>
        </is>
      </c>
      <c r="M520" t="inlineStr">
        <is>
          <t>Hoseini Fatemeh</t>
        </is>
      </c>
      <c r="N520" t="inlineStr">
        <is>
          <t>Baniamer Shaghayegh</t>
        </is>
      </c>
      <c r="O520" s="42" t="n">
        <v>45979.84877314815</v>
      </c>
      <c r="Q520" s="42" t="n">
        <v>45979.84877314815</v>
      </c>
      <c r="S520" t="n">
        <v>0</v>
      </c>
      <c r="T520" s="42" t="n">
        <v>45979.84877314815</v>
      </c>
      <c r="Z520" s="42" t="n">
        <v>45979.84877314815</v>
      </c>
      <c r="AA520" t="n">
        <v>0</v>
      </c>
      <c r="AD520" t="n">
        <v>2</v>
      </c>
      <c r="AE520" t="n">
        <v>2</v>
      </c>
      <c r="AF520" t="n">
        <v>0</v>
      </c>
      <c r="AI520" t="n">
        <v>0</v>
      </c>
      <c r="AJ520" t="n">
        <v>0</v>
      </c>
      <c r="AK520" t="n">
        <v>0</v>
      </c>
      <c r="AL520" t="n">
        <v>0</v>
      </c>
      <c r="AN520" t="n">
        <v>0</v>
      </c>
      <c r="AO520" t="n">
        <v>0</v>
      </c>
      <c r="AP520" t="n">
        <v>0</v>
      </c>
      <c r="AQ520" t="n">
        <v>24</v>
      </c>
      <c r="AR520" t="n">
        <v>0</v>
      </c>
    </row>
    <row r="521">
      <c r="A521" t="n">
        <v>196211</v>
      </c>
      <c r="B521" t="inlineStr">
        <is>
          <t xml:space="preserve">Rem13 بعد از یک مدتی که در صفحه اکشن انجام می شود، صفحه سفید می شود </t>
        </is>
      </c>
      <c r="D521" t="inlineStr">
        <is>
          <t>Medium</t>
        </is>
      </c>
      <c r="E521" t="n">
        <v>2</v>
      </c>
      <c r="F521" t="inlineStr">
        <is>
          <t>New</t>
        </is>
      </c>
      <c r="G521" t="inlineStr">
        <is>
          <t>Other</t>
        </is>
      </c>
      <c r="I521" t="inlineStr">
        <is>
          <t>Bizagi_Team</t>
        </is>
      </c>
      <c r="J521" t="inlineStr">
        <is>
          <t>SAJAK</t>
        </is>
      </c>
      <c r="K521" t="inlineStr">
        <is>
          <t>Estate_Sprint 43</t>
        </is>
      </c>
      <c r="M521" t="inlineStr">
        <is>
          <t>Taleb Amirreza</t>
        </is>
      </c>
      <c r="Q521" s="42" t="n">
        <v>45980.37747685185</v>
      </c>
      <c r="S521" t="n">
        <v>0</v>
      </c>
      <c r="T521" s="42" t="n">
        <v>45980.37747685185</v>
      </c>
      <c r="AA521" t="n">
        <v>0</v>
      </c>
      <c r="AD521" t="n">
        <v>2</v>
      </c>
      <c r="AE521" t="n">
        <v>2</v>
      </c>
      <c r="AF521" t="n">
        <v>0</v>
      </c>
      <c r="AI521" t="n">
        <v>0</v>
      </c>
      <c r="AJ521" t="n">
        <v>0</v>
      </c>
      <c r="AM521" t="n">
        <v>38</v>
      </c>
      <c r="AN521" t="n">
        <v>0</v>
      </c>
      <c r="AO521" t="n">
        <v>0</v>
      </c>
      <c r="AP521" t="n">
        <v>0</v>
      </c>
      <c r="AQ521" t="n">
        <v>24</v>
      </c>
      <c r="AR521" t="n">
        <v>0</v>
      </c>
    </row>
    <row r="522">
      <c r="A522" t="n">
        <v>196218</v>
      </c>
      <c r="B522" t="inlineStr">
        <is>
          <t>لینک جزییات عقود با لینک ویرایش  ، مغایرت دارد 08/26</t>
        </is>
      </c>
      <c r="D522" t="inlineStr">
        <is>
          <t>Medium</t>
        </is>
      </c>
      <c r="E522" t="n">
        <v>1</v>
      </c>
      <c r="F522" t="inlineStr">
        <is>
          <t>Closed</t>
        </is>
      </c>
      <c r="G522" t="inlineStr">
        <is>
          <t>Other</t>
        </is>
      </c>
      <c r="J522" t="inlineStr">
        <is>
          <t>Dem</t>
        </is>
      </c>
      <c r="K522" t="inlineStr">
        <is>
          <t>DemBiz</t>
        </is>
      </c>
      <c r="M522" t="inlineStr">
        <is>
          <t>Moradi Mohammad</t>
        </is>
      </c>
      <c r="N522" t="inlineStr">
        <is>
          <t>Hajizadeh Elnaz</t>
        </is>
      </c>
      <c r="O522" s="42" t="n">
        <v>45983.40033564815</v>
      </c>
      <c r="Q522" s="42" t="n">
        <v>45983.40033564815</v>
      </c>
      <c r="S522" t="n">
        <v>0</v>
      </c>
      <c r="T522" s="42" t="n">
        <v>45983.40033564815</v>
      </c>
      <c r="Z522" s="42" t="n">
        <v>45983.40033564815</v>
      </c>
      <c r="AA522" t="n">
        <v>0</v>
      </c>
      <c r="AD522" t="n">
        <v>2</v>
      </c>
      <c r="AE522" t="n">
        <v>2</v>
      </c>
      <c r="AF522" t="n">
        <v>0</v>
      </c>
      <c r="AI522" t="n">
        <v>0</v>
      </c>
      <c r="AJ522" t="n">
        <v>0</v>
      </c>
      <c r="AK522" t="n">
        <v>0</v>
      </c>
      <c r="AL522" t="n">
        <v>0</v>
      </c>
      <c r="AN522" t="n">
        <v>0</v>
      </c>
      <c r="AO522" t="n">
        <v>0</v>
      </c>
      <c r="AP522" t="n">
        <v>0</v>
      </c>
      <c r="AQ522" t="n">
        <v>24</v>
      </c>
      <c r="AR522" t="n">
        <v>0</v>
      </c>
    </row>
    <row r="523">
      <c r="A523" t="n">
        <v>196233</v>
      </c>
      <c r="B523" t="inlineStr">
        <is>
          <t>با سرچ در فرم ثبت گزارش نویسی ، در منو سامانه پیغام خطا می دهد/NFWDem</t>
        </is>
      </c>
      <c r="D523" t="inlineStr">
        <is>
          <t>Medium</t>
        </is>
      </c>
      <c r="E523" t="n">
        <v>1</v>
      </c>
      <c r="F523" t="inlineStr">
        <is>
          <t>Closed</t>
        </is>
      </c>
      <c r="G523" t="inlineStr">
        <is>
          <t>Other</t>
        </is>
      </c>
      <c r="J523" t="inlineStr">
        <is>
          <t>Infrastructure Bizagi Extension</t>
        </is>
      </c>
      <c r="K523" t="inlineStr">
        <is>
          <t>SP-87</t>
        </is>
      </c>
      <c r="M523" t="inlineStr">
        <is>
          <t>Rezaee Reza</t>
        </is>
      </c>
      <c r="N523" t="inlineStr">
        <is>
          <t>Hajizadeh Elnaz</t>
        </is>
      </c>
      <c r="O523" s="42" t="n">
        <v>45984.4412037037</v>
      </c>
      <c r="Q523" s="42" t="n">
        <v>45984.4412037037</v>
      </c>
      <c r="S523" t="n">
        <v>0</v>
      </c>
      <c r="T523" s="42" t="n">
        <v>45984.4412037037</v>
      </c>
      <c r="Z523" s="42" t="n">
        <v>45984.4412037037</v>
      </c>
      <c r="AA523" t="n">
        <v>0</v>
      </c>
      <c r="AD523" t="n">
        <v>2</v>
      </c>
      <c r="AE523" t="n">
        <v>2</v>
      </c>
      <c r="AF523" t="n">
        <v>0</v>
      </c>
      <c r="AI523" t="n">
        <v>0</v>
      </c>
      <c r="AJ523" t="n">
        <v>0</v>
      </c>
      <c r="AK523" t="n">
        <v>0</v>
      </c>
      <c r="AL523" t="n">
        <v>0</v>
      </c>
      <c r="AN523" t="n">
        <v>0</v>
      </c>
      <c r="AO523" t="n">
        <v>0</v>
      </c>
      <c r="AP523" t="n">
        <v>0</v>
      </c>
      <c r="AQ523" t="n">
        <v>24</v>
      </c>
      <c r="AR523" t="n">
        <v>0</v>
      </c>
    </row>
    <row r="524">
      <c r="A524" t="n">
        <v>196241</v>
      </c>
      <c r="B524" t="inlineStr">
        <is>
          <t>تغییر تایتل پیغام بیزینسی در فرم ثبت گزارش نویسی  08/26</t>
        </is>
      </c>
      <c r="D524" t="inlineStr">
        <is>
          <t>Medium</t>
        </is>
      </c>
      <c r="E524" t="n">
        <v>1</v>
      </c>
      <c r="F524" t="inlineStr">
        <is>
          <t>Closed</t>
        </is>
      </c>
      <c r="G524" t="inlineStr">
        <is>
          <t>Other</t>
        </is>
      </c>
      <c r="J524" t="inlineStr">
        <is>
          <t>Dem</t>
        </is>
      </c>
      <c r="K524" t="inlineStr">
        <is>
          <t>DemBiz</t>
        </is>
      </c>
      <c r="M524" t="inlineStr">
        <is>
          <t>Arshi Mahmood</t>
        </is>
      </c>
      <c r="N524" t="inlineStr">
        <is>
          <t>Hajizadeh Elnaz</t>
        </is>
      </c>
      <c r="O524" s="42" t="n">
        <v>45984.57620370371</v>
      </c>
      <c r="Q524" s="42" t="n">
        <v>45984.57620370371</v>
      </c>
      <c r="S524" t="n">
        <v>0</v>
      </c>
      <c r="T524" s="42" t="n">
        <v>45984.57620370371</v>
      </c>
      <c r="Z524" s="42" t="n">
        <v>45984.57620370371</v>
      </c>
      <c r="AA524" t="n">
        <v>0</v>
      </c>
      <c r="AD524" t="n">
        <v>2</v>
      </c>
      <c r="AE524" t="n">
        <v>2</v>
      </c>
      <c r="AF524" t="n">
        <v>0</v>
      </c>
      <c r="AI524" t="n">
        <v>0</v>
      </c>
      <c r="AJ524" t="n">
        <v>0</v>
      </c>
      <c r="AK524" t="n">
        <v>0</v>
      </c>
      <c r="AL524" t="n">
        <v>0</v>
      </c>
      <c r="AN524" t="n">
        <v>0</v>
      </c>
      <c r="AO524" t="n">
        <v>0</v>
      </c>
      <c r="AP524" t="n">
        <v>0</v>
      </c>
      <c r="AQ524" t="n">
        <v>24</v>
      </c>
      <c r="AR524" t="n">
        <v>0</v>
      </c>
    </row>
    <row r="525">
      <c r="A525" t="n">
        <v>196267</v>
      </c>
      <c r="B525" t="inlineStr">
        <is>
          <t>دکمه تایید و ادامه در فرم انتخاب پیشنهاد جهت اصلاح پیغام خطا می دهد 06/26</t>
        </is>
      </c>
      <c r="D525" t="inlineStr">
        <is>
          <t>Medium</t>
        </is>
      </c>
      <c r="E525" t="n">
        <v>1</v>
      </c>
      <c r="F525" t="inlineStr">
        <is>
          <t>Closed</t>
        </is>
      </c>
      <c r="G525" t="inlineStr">
        <is>
          <t>Other</t>
        </is>
      </c>
      <c r="J525" t="inlineStr">
        <is>
          <t>Dem</t>
        </is>
      </c>
      <c r="K525" t="inlineStr">
        <is>
          <t>DemBiz</t>
        </is>
      </c>
      <c r="M525" t="inlineStr">
        <is>
          <t>Arshi Mahmood</t>
        </is>
      </c>
      <c r="N525" t="inlineStr">
        <is>
          <t>Hajizadeh Elnaz</t>
        </is>
      </c>
      <c r="O525" s="42" t="n">
        <v>45980.61108796296</v>
      </c>
      <c r="Q525" s="42" t="n">
        <v>45980.61108796296</v>
      </c>
      <c r="S525" t="n">
        <v>0</v>
      </c>
      <c r="T525" s="42" t="n">
        <v>45980.61108796296</v>
      </c>
      <c r="Z525" s="42" t="n">
        <v>45980.61108796296</v>
      </c>
      <c r="AA525" t="n">
        <v>0</v>
      </c>
      <c r="AD525" t="n">
        <v>2</v>
      </c>
      <c r="AE525" t="n">
        <v>2</v>
      </c>
      <c r="AF525" t="n">
        <v>0</v>
      </c>
      <c r="AI525" t="n">
        <v>0</v>
      </c>
      <c r="AJ525" t="n">
        <v>0</v>
      </c>
      <c r="AK525" t="n">
        <v>0</v>
      </c>
      <c r="AL525" t="n">
        <v>0</v>
      </c>
      <c r="AN525" t="n">
        <v>0</v>
      </c>
      <c r="AO525" t="n">
        <v>0</v>
      </c>
      <c r="AP525" t="n">
        <v>0</v>
      </c>
      <c r="AQ525" t="n">
        <v>24</v>
      </c>
      <c r="AR525" t="n">
        <v>0</v>
      </c>
    </row>
    <row r="526">
      <c r="A526" t="n">
        <v>196284</v>
      </c>
      <c r="B526" t="inlineStr">
        <is>
          <t>با انتخاب درخواست مصوب شده ، پیغام  اشتباه  می دهد 26/08</t>
        </is>
      </c>
      <c r="D526" t="inlineStr">
        <is>
          <t>Medium</t>
        </is>
      </c>
      <c r="E526" t="n">
        <v>2</v>
      </c>
      <c r="F526" t="inlineStr">
        <is>
          <t>Closed</t>
        </is>
      </c>
      <c r="G526" t="inlineStr">
        <is>
          <t>Other</t>
        </is>
      </c>
      <c r="J526" t="inlineStr">
        <is>
          <t>Dem</t>
        </is>
      </c>
      <c r="K526" t="inlineStr">
        <is>
          <t>DemBiz</t>
        </is>
      </c>
      <c r="M526" t="inlineStr">
        <is>
          <t>Hoseini Fatemeh</t>
        </is>
      </c>
      <c r="N526" t="inlineStr">
        <is>
          <t>Hajizadeh Elnaz</t>
        </is>
      </c>
      <c r="O526" s="42" t="n">
        <v>45983.3722337963</v>
      </c>
      <c r="Q526" s="42" t="n">
        <v>45983.3722337963</v>
      </c>
      <c r="S526" t="n">
        <v>0</v>
      </c>
      <c r="T526" s="42" t="n">
        <v>45983.3722337963</v>
      </c>
      <c r="Z526" s="42" t="n">
        <v>45983.3722337963</v>
      </c>
      <c r="AA526" t="n">
        <v>0</v>
      </c>
      <c r="AD526" t="n">
        <v>2</v>
      </c>
      <c r="AE526" t="n">
        <v>2</v>
      </c>
      <c r="AF526" t="n">
        <v>0</v>
      </c>
      <c r="AI526" t="n">
        <v>0</v>
      </c>
      <c r="AJ526" t="n">
        <v>0</v>
      </c>
      <c r="AK526" t="n">
        <v>0</v>
      </c>
      <c r="AL526" t="n">
        <v>0</v>
      </c>
      <c r="AN526" t="n">
        <v>0</v>
      </c>
      <c r="AO526" t="n">
        <v>0</v>
      </c>
      <c r="AP526" t="n">
        <v>0</v>
      </c>
      <c r="AQ526" t="n">
        <v>24</v>
      </c>
      <c r="AR526" t="n">
        <v>0</v>
      </c>
    </row>
    <row r="527">
      <c r="A527" t="n">
        <v>196307</v>
      </c>
      <c r="B527" t="inlineStr">
        <is>
          <t xml:space="preserve">گزارش اسناد </t>
        </is>
      </c>
      <c r="D527" t="inlineStr">
        <is>
          <t>Medium</t>
        </is>
      </c>
      <c r="E527" t="n">
        <v>2</v>
      </c>
      <c r="F527" t="inlineStr">
        <is>
          <t>Closed</t>
        </is>
      </c>
      <c r="G527" t="inlineStr">
        <is>
          <t>Other</t>
        </is>
      </c>
      <c r="J527" t="inlineStr">
        <is>
          <t>Stagnant Archive</t>
        </is>
      </c>
      <c r="K527" t="inlineStr">
        <is>
          <t>Sp_22</t>
        </is>
      </c>
      <c r="M527" t="inlineStr">
        <is>
          <t>Navab Erfan</t>
        </is>
      </c>
      <c r="N527" t="inlineStr">
        <is>
          <t>Monfared Mobina</t>
        </is>
      </c>
      <c r="O527" s="42" t="n">
        <v>45994.54908564815</v>
      </c>
      <c r="Q527" s="42" t="n">
        <v>45994.54908564815</v>
      </c>
      <c r="S527" t="n">
        <v>0</v>
      </c>
      <c r="T527" s="42" t="n">
        <v>45994.54908564815</v>
      </c>
      <c r="Z527" s="42" t="n">
        <v>45994.54908564815</v>
      </c>
      <c r="AA527" t="n">
        <v>0</v>
      </c>
      <c r="AD527" t="n">
        <v>2</v>
      </c>
      <c r="AE527" t="n">
        <v>2</v>
      </c>
      <c r="AF527" t="n">
        <v>0</v>
      </c>
      <c r="AI527" t="n">
        <v>0</v>
      </c>
      <c r="AJ527" t="n">
        <v>0</v>
      </c>
      <c r="AK527" t="n">
        <v>0</v>
      </c>
      <c r="AL527" t="n">
        <v>0</v>
      </c>
      <c r="AN527" t="n">
        <v>0</v>
      </c>
      <c r="AO527" t="n">
        <v>0</v>
      </c>
      <c r="AP527" t="n">
        <v>0</v>
      </c>
      <c r="AQ527" t="n">
        <v>24</v>
      </c>
      <c r="AR527" t="n">
        <v>0</v>
      </c>
    </row>
    <row r="528">
      <c r="A528" t="n">
        <v>194727</v>
      </c>
      <c r="B528" t="inlineStr">
        <is>
          <t xml:space="preserve">1365 / عدم نکست  شدن سند از کمیته منطقه به  استپ مشاهده نتیجه کمیته </t>
        </is>
      </c>
      <c r="D528" t="inlineStr">
        <is>
          <t>Medium</t>
        </is>
      </c>
      <c r="E528" t="n">
        <v>1</v>
      </c>
      <c r="F528" t="inlineStr">
        <is>
          <t>Closed</t>
        </is>
      </c>
      <c r="G528" t="inlineStr">
        <is>
          <t>Other</t>
        </is>
      </c>
      <c r="J528" t="inlineStr">
        <is>
          <t>Dem</t>
        </is>
      </c>
      <c r="K528" t="inlineStr">
        <is>
          <t>DemBiz</t>
        </is>
      </c>
      <c r="M528" t="inlineStr">
        <is>
          <t>Moradi Mohammad</t>
        </is>
      </c>
      <c r="N528" t="inlineStr">
        <is>
          <t>Hajizadeh Elnaz</t>
        </is>
      </c>
      <c r="O528" s="42" t="n">
        <v>45973.62827546296</v>
      </c>
      <c r="Q528" s="42" t="n">
        <v>45973.62827546296</v>
      </c>
      <c r="S528" t="n">
        <v>0</v>
      </c>
      <c r="T528" s="42" t="n">
        <v>45973.62827546296</v>
      </c>
      <c r="Z528" s="42" t="n">
        <v>45973.62827546296</v>
      </c>
      <c r="AA528" t="n">
        <v>0</v>
      </c>
      <c r="AD528" t="n">
        <v>2</v>
      </c>
      <c r="AE528" t="n">
        <v>2</v>
      </c>
      <c r="AF528" t="n">
        <v>0</v>
      </c>
      <c r="AI528" t="n">
        <v>0</v>
      </c>
      <c r="AJ528" t="n">
        <v>0</v>
      </c>
      <c r="AK528" t="n">
        <v>0</v>
      </c>
      <c r="AL528" t="n">
        <v>0</v>
      </c>
      <c r="AN528" t="n">
        <v>0</v>
      </c>
      <c r="AO528" t="n">
        <v>0</v>
      </c>
      <c r="AP528" t="n">
        <v>0</v>
      </c>
      <c r="AQ528" t="n">
        <v>24</v>
      </c>
      <c r="AR528" t="n">
        <v>0</v>
      </c>
    </row>
    <row r="529">
      <c r="A529" t="n">
        <v>194731</v>
      </c>
      <c r="B529" t="inlineStr">
        <is>
          <t>مشکل در ورود به ساماندهی در محیط قرمز  سازمان</t>
        </is>
      </c>
      <c r="D529" t="inlineStr">
        <is>
          <t>Medium</t>
        </is>
      </c>
      <c r="E529" t="n">
        <v>1</v>
      </c>
      <c r="F529" t="inlineStr">
        <is>
          <t>Closed</t>
        </is>
      </c>
      <c r="G529" t="inlineStr">
        <is>
          <t>Other</t>
        </is>
      </c>
      <c r="I529" t="inlineStr">
        <is>
          <t>Bizagi_Team</t>
        </is>
      </c>
      <c r="J529" t="inlineStr">
        <is>
          <t>SAJAK</t>
        </is>
      </c>
      <c r="K529" t="inlineStr">
        <is>
          <t>Estate_Sprint 43</t>
        </is>
      </c>
      <c r="M529" t="inlineStr">
        <is>
          <t>Taleb Amirreza</t>
        </is>
      </c>
      <c r="N529" t="inlineStr">
        <is>
          <t>Moradnoori Parinaz</t>
        </is>
      </c>
      <c r="O529" s="42" t="n">
        <v>45978.60027777778</v>
      </c>
      <c r="Q529" s="42" t="n">
        <v>45978.60027777778</v>
      </c>
      <c r="S529" t="n">
        <v>0</v>
      </c>
      <c r="T529" s="42" t="n">
        <v>45978.60027777778</v>
      </c>
      <c r="Z529" s="42" t="n">
        <v>45978.60027777778</v>
      </c>
      <c r="AA529" t="n">
        <v>0</v>
      </c>
      <c r="AD529" t="n">
        <v>2</v>
      </c>
      <c r="AE529" t="n">
        <v>2</v>
      </c>
      <c r="AF529" t="n">
        <v>0</v>
      </c>
      <c r="AI529" t="n">
        <v>0</v>
      </c>
      <c r="AJ529" t="n">
        <v>0</v>
      </c>
      <c r="AK529" t="n">
        <v>0</v>
      </c>
      <c r="AL529" t="n">
        <v>0</v>
      </c>
      <c r="AN529" t="n">
        <v>0</v>
      </c>
      <c r="AO529" t="n">
        <v>0</v>
      </c>
      <c r="AP529" t="n">
        <v>0</v>
      </c>
      <c r="AQ529" t="n">
        <v>24</v>
      </c>
      <c r="AR529" t="n">
        <v>0</v>
      </c>
    </row>
    <row r="530">
      <c r="A530" t="n">
        <v>194732</v>
      </c>
      <c r="B530" t="inlineStr">
        <is>
          <t>عدم دریافت درخواست سرویس شماره 3</t>
        </is>
      </c>
      <c r="D530" t="inlineStr">
        <is>
          <t>Medium</t>
        </is>
      </c>
      <c r="E530" t="n">
        <v>1</v>
      </c>
      <c r="F530" t="inlineStr">
        <is>
          <t>Closed</t>
        </is>
      </c>
      <c r="G530" t="inlineStr">
        <is>
          <t>Other</t>
        </is>
      </c>
      <c r="I530" t="inlineStr">
        <is>
          <t>Bizagi_Team</t>
        </is>
      </c>
      <c r="J530" t="inlineStr">
        <is>
          <t>SAJAK</t>
        </is>
      </c>
      <c r="K530" t="inlineStr">
        <is>
          <t>Estate_Sprint 43</t>
        </is>
      </c>
      <c r="M530" t="inlineStr">
        <is>
          <t>Taleb Amirreza</t>
        </is>
      </c>
      <c r="N530" t="inlineStr">
        <is>
          <t>Moradnoori Parinaz</t>
        </is>
      </c>
      <c r="O530" s="42" t="n">
        <v>45992.6115162037</v>
      </c>
      <c r="Q530" s="42" t="n">
        <v>45992.6115162037</v>
      </c>
      <c r="S530" t="n">
        <v>0</v>
      </c>
      <c r="T530" s="42" t="n">
        <v>45992.6115162037</v>
      </c>
      <c r="Z530" s="42" t="n">
        <v>45992.6115162037</v>
      </c>
      <c r="AA530" t="n">
        <v>0</v>
      </c>
      <c r="AD530" t="n">
        <v>2</v>
      </c>
      <c r="AE530" t="n">
        <v>2</v>
      </c>
      <c r="AF530" t="n">
        <v>0</v>
      </c>
      <c r="AI530" t="n">
        <v>0</v>
      </c>
      <c r="AJ530" t="n">
        <v>0</v>
      </c>
      <c r="AK530" t="n">
        <v>0</v>
      </c>
      <c r="AL530" t="n">
        <v>0</v>
      </c>
      <c r="AN530" t="n">
        <v>0</v>
      </c>
      <c r="AO530" t="n">
        <v>0</v>
      </c>
      <c r="AP530" t="n">
        <v>0</v>
      </c>
      <c r="AQ530" t="n">
        <v>24</v>
      </c>
      <c r="AR530" t="n">
        <v>0</v>
      </c>
    </row>
    <row r="531">
      <c r="A531" t="n">
        <v>194738</v>
      </c>
      <c r="B531" t="inlineStr">
        <is>
          <t xml:space="preserve">قرارگیری هر تسک generate شده توسط سرویس (دریافت شده از بنیاد مسکن) در کارتابل رئیس واحد ثبتی مربوط به پلیگون ارسالی </t>
        </is>
      </c>
      <c r="D531" t="inlineStr">
        <is>
          <t>Medium</t>
        </is>
      </c>
      <c r="E531" t="n">
        <v>3</v>
      </c>
      <c r="F531" t="inlineStr">
        <is>
          <t>Closed</t>
        </is>
      </c>
      <c r="G531" t="inlineStr">
        <is>
          <t>Other</t>
        </is>
      </c>
      <c r="I531" t="inlineStr">
        <is>
          <t>Bizagi_Team</t>
        </is>
      </c>
      <c r="J531" t="inlineStr">
        <is>
          <t>SAJAK</t>
        </is>
      </c>
      <c r="K531" t="inlineStr">
        <is>
          <t>Estate_Sprint 43</t>
        </is>
      </c>
      <c r="M531" t="inlineStr">
        <is>
          <t>Zeynali Masoud</t>
        </is>
      </c>
      <c r="N531" t="inlineStr">
        <is>
          <t>Moradnoori Parinaz</t>
        </is>
      </c>
      <c r="O531" s="42" t="n">
        <v>45978.59748842593</v>
      </c>
      <c r="Q531" s="42" t="n">
        <v>45978.59748842593</v>
      </c>
      <c r="S531" t="n">
        <v>0</v>
      </c>
      <c r="T531" s="42" t="n">
        <v>45978.59748842593</v>
      </c>
      <c r="Z531" s="42" t="n">
        <v>45978.59748842593</v>
      </c>
      <c r="AA531" t="n">
        <v>0</v>
      </c>
      <c r="AD531" t="n">
        <v>2</v>
      </c>
      <c r="AE531" t="n">
        <v>2</v>
      </c>
      <c r="AF531" t="n">
        <v>0</v>
      </c>
      <c r="AI531" t="n">
        <v>0</v>
      </c>
      <c r="AJ531" t="n">
        <v>0</v>
      </c>
      <c r="AK531" t="n">
        <v>0</v>
      </c>
      <c r="AL531" t="n">
        <v>0</v>
      </c>
      <c r="AN531" t="n">
        <v>0</v>
      </c>
      <c r="AO531" t="n">
        <v>0</v>
      </c>
      <c r="AP531" t="n">
        <v>0</v>
      </c>
      <c r="AQ531" t="n">
        <v>24</v>
      </c>
      <c r="AR531" t="n">
        <v>0</v>
      </c>
    </row>
    <row r="532">
      <c r="A532" t="n">
        <v>194740</v>
      </c>
      <c r="B532" t="inlineStr">
        <is>
          <t>Mom01_  ثبت جلسه هیات - در زمان انلاین بودن لینک جلسه در محل برگزاری نمایش داده شود</t>
        </is>
      </c>
      <c r="D532" t="inlineStr">
        <is>
          <t>Medium</t>
        </is>
      </c>
      <c r="E532" t="n">
        <v>2</v>
      </c>
      <c r="F532" t="inlineStr">
        <is>
          <t>Closed</t>
        </is>
      </c>
      <c r="G532" t="inlineStr">
        <is>
          <t>Other</t>
        </is>
      </c>
      <c r="I532" t="inlineStr">
        <is>
          <t>Bizagi_Team</t>
        </is>
      </c>
      <c r="J532" t="inlineStr">
        <is>
          <t>SAJAK</t>
        </is>
      </c>
      <c r="K532" t="inlineStr">
        <is>
          <t>Estate_Sprint 44</t>
        </is>
      </c>
      <c r="M532" t="inlineStr">
        <is>
          <t>Shamsfard Ahmad</t>
        </is>
      </c>
      <c r="N532" t="inlineStr">
        <is>
          <t>Moradnoori Parinaz</t>
        </is>
      </c>
      <c r="O532" s="42" t="n">
        <v>46000.49268518519</v>
      </c>
      <c r="Q532" s="42" t="n">
        <v>46000.49268518519</v>
      </c>
      <c r="S532" t="n">
        <v>0</v>
      </c>
      <c r="T532" s="42" t="n">
        <v>46000.49268518519</v>
      </c>
      <c r="Z532" s="42" t="n">
        <v>46000.49268518519</v>
      </c>
      <c r="AA532" t="n">
        <v>0</v>
      </c>
      <c r="AD532" t="n">
        <v>2</v>
      </c>
      <c r="AE532" t="n">
        <v>2</v>
      </c>
      <c r="AF532" t="n">
        <v>0</v>
      </c>
      <c r="AI532" t="n">
        <v>0</v>
      </c>
      <c r="AJ532" t="n">
        <v>0</v>
      </c>
      <c r="AK532" t="n">
        <v>0</v>
      </c>
      <c r="AL532" t="n">
        <v>0</v>
      </c>
      <c r="AN532" t="n">
        <v>0</v>
      </c>
      <c r="AO532" t="n">
        <v>0</v>
      </c>
      <c r="AP532" t="n">
        <v>0</v>
      </c>
      <c r="AQ532" t="n">
        <v>24</v>
      </c>
      <c r="AR532" t="n">
        <v>0</v>
      </c>
    </row>
    <row r="533">
      <c r="A533" t="n">
        <v>194743</v>
      </c>
      <c r="B533" t="inlineStr">
        <is>
          <t>ظفر&gt;سند در مرحله مشاهده نتيجه کميته قرار دارد ولی روی کارتابل هیچ کاربری نیست/1365</t>
        </is>
      </c>
      <c r="D533" t="inlineStr">
        <is>
          <t>Medium</t>
        </is>
      </c>
      <c r="E533" t="n">
        <v>2</v>
      </c>
      <c r="F533" t="inlineStr">
        <is>
          <t>Closed</t>
        </is>
      </c>
      <c r="G533" t="inlineStr">
        <is>
          <t>Other</t>
        </is>
      </c>
      <c r="J533" t="inlineStr">
        <is>
          <t>Dem</t>
        </is>
      </c>
      <c r="K533" t="inlineStr">
        <is>
          <t>DemBiz</t>
        </is>
      </c>
      <c r="M533" t="inlineStr">
        <is>
          <t>Moradi Mohammad</t>
        </is>
      </c>
      <c r="N533" t="inlineStr">
        <is>
          <t>Mohseni Hadise</t>
        </is>
      </c>
      <c r="O533" s="42" t="n">
        <v>45973.59524305556</v>
      </c>
      <c r="Q533" s="42" t="n">
        <v>45973.59524305556</v>
      </c>
      <c r="S533" t="n">
        <v>0</v>
      </c>
      <c r="T533" s="42" t="n">
        <v>45973.59524305556</v>
      </c>
      <c r="Z533" s="42" t="n">
        <v>45973.59524305556</v>
      </c>
      <c r="AA533" t="n">
        <v>0</v>
      </c>
      <c r="AD533" t="n">
        <v>2</v>
      </c>
      <c r="AE533" t="n">
        <v>2</v>
      </c>
      <c r="AF533" t="n">
        <v>0</v>
      </c>
      <c r="AI533" t="n">
        <v>0</v>
      </c>
      <c r="AJ533" t="n">
        <v>0</v>
      </c>
      <c r="AK533" t="n">
        <v>0</v>
      </c>
      <c r="AL533" t="n">
        <v>0</v>
      </c>
      <c r="AN533" t="n">
        <v>0</v>
      </c>
      <c r="AO533" t="n">
        <v>0</v>
      </c>
      <c r="AP533" t="n">
        <v>0</v>
      </c>
      <c r="AQ533" t="n">
        <v>24</v>
      </c>
      <c r="AR533" t="n">
        <v>0</v>
      </c>
    </row>
    <row r="534">
      <c r="A534" t="n">
        <v>194748</v>
      </c>
      <c r="B534" t="inlineStr">
        <is>
          <t>1365/وجود رکورد های نال از کمبو مشتری در فرم ثبت گزارش نویسی جدید/</t>
        </is>
      </c>
      <c r="D534" t="inlineStr">
        <is>
          <t>Medium</t>
        </is>
      </c>
      <c r="E534" t="n">
        <v>2</v>
      </c>
      <c r="F534" t="inlineStr">
        <is>
          <t>Closed</t>
        </is>
      </c>
      <c r="G534" t="inlineStr">
        <is>
          <t>Other</t>
        </is>
      </c>
      <c r="J534" t="inlineStr">
        <is>
          <t>Dem</t>
        </is>
      </c>
      <c r="K534" t="inlineStr">
        <is>
          <t>DemBiz</t>
        </is>
      </c>
      <c r="M534" t="inlineStr">
        <is>
          <t>Hoseini Fatemeh</t>
        </is>
      </c>
      <c r="N534" t="inlineStr">
        <is>
          <t>Hajizadeh Elnaz</t>
        </is>
      </c>
      <c r="O534" s="42" t="n">
        <v>45979.50983796296</v>
      </c>
      <c r="Q534" s="42" t="n">
        <v>45979.50983796296</v>
      </c>
      <c r="S534" t="n">
        <v>0</v>
      </c>
      <c r="T534" s="42" t="n">
        <v>45979.50983796296</v>
      </c>
      <c r="Z534" s="42" t="n">
        <v>45979.50983796296</v>
      </c>
      <c r="AA534" t="n">
        <v>0</v>
      </c>
      <c r="AD534" t="n">
        <v>2</v>
      </c>
      <c r="AE534" t="n">
        <v>2</v>
      </c>
      <c r="AF534" t="n">
        <v>0</v>
      </c>
      <c r="AI534" t="n">
        <v>0</v>
      </c>
      <c r="AJ534" t="n">
        <v>0</v>
      </c>
      <c r="AK534" t="n">
        <v>0</v>
      </c>
      <c r="AL534" t="n">
        <v>0</v>
      </c>
      <c r="AN534" t="n">
        <v>0</v>
      </c>
      <c r="AO534" t="n">
        <v>0</v>
      </c>
      <c r="AP534" t="n">
        <v>0</v>
      </c>
      <c r="AQ534" t="n">
        <v>24</v>
      </c>
      <c r="AR534" t="n">
        <v>0</v>
      </c>
    </row>
    <row r="535">
      <c r="A535" t="n">
        <v>194749</v>
      </c>
      <c r="B535" t="inlineStr">
        <is>
          <t xml:space="preserve">نمایش نقشه بردار و نماینده ثبتی علاوه بر بایگان در لیست کارشناس منتخب </t>
        </is>
      </c>
      <c r="D535" t="inlineStr">
        <is>
          <t>Medium</t>
        </is>
      </c>
      <c r="E535" t="n">
        <v>1</v>
      </c>
      <c r="F535" t="inlineStr">
        <is>
          <t>Closed</t>
        </is>
      </c>
      <c r="G535" t="inlineStr">
        <is>
          <t>Other</t>
        </is>
      </c>
      <c r="I535" t="inlineStr">
        <is>
          <t>Bizagi_Team</t>
        </is>
      </c>
      <c r="J535" t="inlineStr">
        <is>
          <t>SAJAK</t>
        </is>
      </c>
      <c r="K535" t="inlineStr">
        <is>
          <t>Estate_Sprint 44</t>
        </is>
      </c>
      <c r="M535" t="inlineStr">
        <is>
          <t>Tedadi Abbas</t>
        </is>
      </c>
      <c r="N535" t="inlineStr">
        <is>
          <t>Moradnoori Parinaz</t>
        </is>
      </c>
      <c r="O535" s="42" t="n">
        <v>45987.53212962963</v>
      </c>
      <c r="Q535" s="42" t="n">
        <v>45987.53212962963</v>
      </c>
      <c r="S535" t="n">
        <v>0</v>
      </c>
      <c r="T535" s="42" t="n">
        <v>45987.53212962963</v>
      </c>
      <c r="Z535" s="42" t="n">
        <v>45987.53212962963</v>
      </c>
      <c r="AA535" t="n">
        <v>0</v>
      </c>
      <c r="AD535" t="n">
        <v>2</v>
      </c>
      <c r="AE535" t="n">
        <v>2</v>
      </c>
      <c r="AF535" t="n">
        <v>0</v>
      </c>
      <c r="AI535" t="n">
        <v>0</v>
      </c>
      <c r="AJ535" t="n">
        <v>0</v>
      </c>
      <c r="AK535" t="n">
        <v>0</v>
      </c>
      <c r="AL535" t="n">
        <v>0</v>
      </c>
      <c r="AN535" t="n">
        <v>0</v>
      </c>
      <c r="AO535" t="n">
        <v>0</v>
      </c>
      <c r="AP535" t="n">
        <v>0</v>
      </c>
      <c r="AQ535" t="n">
        <v>24</v>
      </c>
      <c r="AR535" t="n">
        <v>0</v>
      </c>
    </row>
    <row r="536">
      <c r="A536" t="n">
        <v>194750</v>
      </c>
      <c r="B536" t="inlineStr">
        <is>
          <t xml:space="preserve"> پیغام شماره مشتری ، خود مشتری انتخابی در فرم ثبت گزارش نویسی جدید/1365</t>
        </is>
      </c>
      <c r="D536" t="inlineStr">
        <is>
          <t>Medium</t>
        </is>
      </c>
      <c r="E536" t="n">
        <v>2</v>
      </c>
      <c r="F536" t="inlineStr">
        <is>
          <t>Closed</t>
        </is>
      </c>
      <c r="G536" t="inlineStr">
        <is>
          <t>Other</t>
        </is>
      </c>
      <c r="J536" t="inlineStr">
        <is>
          <t>Dem</t>
        </is>
      </c>
      <c r="K536" t="inlineStr">
        <is>
          <t>DemBiz</t>
        </is>
      </c>
      <c r="M536" t="inlineStr">
        <is>
          <t>Moradi Mohammad</t>
        </is>
      </c>
      <c r="N536" t="inlineStr">
        <is>
          <t>Mohseni Hadise</t>
        </is>
      </c>
      <c r="O536" s="42" t="n">
        <v>45972.48775462963</v>
      </c>
      <c r="Q536" s="42" t="n">
        <v>45972.48775462963</v>
      </c>
      <c r="S536" t="n">
        <v>0</v>
      </c>
      <c r="T536" s="42" t="n">
        <v>45972.48775462963</v>
      </c>
      <c r="Z536" s="42" t="n">
        <v>45972.48775462963</v>
      </c>
      <c r="AA536" t="n">
        <v>0</v>
      </c>
      <c r="AD536" t="n">
        <v>2</v>
      </c>
      <c r="AE536" t="n">
        <v>2</v>
      </c>
      <c r="AF536" t="n">
        <v>0</v>
      </c>
      <c r="AI536" t="n">
        <v>0</v>
      </c>
      <c r="AJ536" t="n">
        <v>0</v>
      </c>
      <c r="AK536" t="n">
        <v>0</v>
      </c>
      <c r="AL536" t="n">
        <v>0</v>
      </c>
      <c r="AN536" t="n">
        <v>0</v>
      </c>
      <c r="AO536" t="n">
        <v>0</v>
      </c>
      <c r="AP536" t="n">
        <v>0</v>
      </c>
      <c r="AQ536" t="n">
        <v>24</v>
      </c>
      <c r="AR536" t="n">
        <v>0</v>
      </c>
    </row>
    <row r="537">
      <c r="A537" t="n">
        <v>194755</v>
      </c>
      <c r="B537" t="inlineStr">
        <is>
          <t>در فرم ثبت اطلاعات مشتری فیلد نوع شرکت ادیتبل نیست</t>
        </is>
      </c>
      <c r="D537" t="inlineStr">
        <is>
          <t>Medium</t>
        </is>
      </c>
      <c r="E537" t="n">
        <v>1</v>
      </c>
      <c r="F537" t="inlineStr">
        <is>
          <t>Closed</t>
        </is>
      </c>
      <c r="G537" t="inlineStr">
        <is>
          <t>Other</t>
        </is>
      </c>
      <c r="J537" t="inlineStr">
        <is>
          <t>Dem</t>
        </is>
      </c>
      <c r="K537" t="inlineStr">
        <is>
          <t>DemBiz</t>
        </is>
      </c>
      <c r="M537" t="inlineStr">
        <is>
          <t>Moradi Mohammad</t>
        </is>
      </c>
      <c r="N537" t="inlineStr">
        <is>
          <t>Hajizadeh Elnaz</t>
        </is>
      </c>
      <c r="O537" s="42" t="n">
        <v>45977.4475</v>
      </c>
      <c r="Q537" s="42" t="n">
        <v>45977.4475</v>
      </c>
      <c r="S537" t="n">
        <v>0</v>
      </c>
      <c r="T537" s="42" t="n">
        <v>45977.4475</v>
      </c>
      <c r="Z537" s="42" t="n">
        <v>45977.4475</v>
      </c>
      <c r="AA537" t="n">
        <v>0</v>
      </c>
      <c r="AD537" t="n">
        <v>2</v>
      </c>
      <c r="AE537" t="n">
        <v>2</v>
      </c>
      <c r="AF537" t="n">
        <v>0</v>
      </c>
      <c r="AI537" t="n">
        <v>0</v>
      </c>
      <c r="AJ537" t="n">
        <v>0</v>
      </c>
      <c r="AK537" t="n">
        <v>0</v>
      </c>
      <c r="AL537" t="n">
        <v>0</v>
      </c>
      <c r="AN537" t="n">
        <v>0</v>
      </c>
      <c r="AO537" t="n">
        <v>0</v>
      </c>
      <c r="AP537" t="n">
        <v>0</v>
      </c>
      <c r="AQ537" t="n">
        <v>24</v>
      </c>
      <c r="AR537" t="n">
        <v>0</v>
      </c>
    </row>
    <row r="538">
      <c r="A538" t="n">
        <v>194759</v>
      </c>
      <c r="B538" t="inlineStr">
        <is>
          <t xml:space="preserve">بعداز ذخیره فرم ویرایش، مجموع تعدادو درصد و مبلغ  سهام  خالی و  0 می شود  </t>
        </is>
      </c>
      <c r="D538" t="inlineStr">
        <is>
          <t>Medium</t>
        </is>
      </c>
      <c r="E538" t="n">
        <v>2</v>
      </c>
      <c r="F538" t="inlineStr">
        <is>
          <t>Closed</t>
        </is>
      </c>
      <c r="G538" t="inlineStr">
        <is>
          <t>Other</t>
        </is>
      </c>
      <c r="J538" t="inlineStr">
        <is>
          <t>Dem</t>
        </is>
      </c>
      <c r="K538" t="inlineStr">
        <is>
          <t>DemBiz</t>
        </is>
      </c>
      <c r="M538" t="inlineStr">
        <is>
          <t>Hoseini Fatemeh</t>
        </is>
      </c>
      <c r="N538" t="inlineStr">
        <is>
          <t>Mohseni Hadise</t>
        </is>
      </c>
      <c r="O538" s="42" t="n">
        <v>45972.3774537037</v>
      </c>
      <c r="Q538" s="42" t="n">
        <v>45972.3774537037</v>
      </c>
      <c r="S538" t="n">
        <v>0</v>
      </c>
      <c r="T538" s="42" t="n">
        <v>45972.3774537037</v>
      </c>
      <c r="Z538" s="42" t="n">
        <v>45972.3774537037</v>
      </c>
      <c r="AA538" t="n">
        <v>0</v>
      </c>
      <c r="AD538" t="n">
        <v>2</v>
      </c>
      <c r="AE538" t="n">
        <v>2</v>
      </c>
      <c r="AF538" t="n">
        <v>0</v>
      </c>
      <c r="AI538" t="n">
        <v>0</v>
      </c>
      <c r="AJ538" t="n">
        <v>0</v>
      </c>
      <c r="AK538" t="n">
        <v>0</v>
      </c>
      <c r="AL538" t="n">
        <v>0</v>
      </c>
      <c r="AN538" t="n">
        <v>0</v>
      </c>
      <c r="AO538" t="n">
        <v>0</v>
      </c>
      <c r="AP538" t="n">
        <v>0</v>
      </c>
      <c r="AQ538" t="n">
        <v>24</v>
      </c>
      <c r="AR538" t="n">
        <v>0</v>
      </c>
    </row>
    <row r="539">
      <c r="A539" t="n">
        <v>194761</v>
      </c>
      <c r="B539" t="inlineStr">
        <is>
          <t>دکمه تایید و اد امه در فرم ویرایش مشتری خطا 500 می دهد  / NFWDem</t>
        </is>
      </c>
      <c r="D539" t="inlineStr">
        <is>
          <t>Medium</t>
        </is>
      </c>
      <c r="E539" t="n">
        <v>2</v>
      </c>
      <c r="F539" t="inlineStr">
        <is>
          <t>Closed</t>
        </is>
      </c>
      <c r="G539" t="inlineStr">
        <is>
          <t>Other</t>
        </is>
      </c>
      <c r="J539" t="inlineStr">
        <is>
          <t>Infrastructure Bizagi Extension</t>
        </is>
      </c>
      <c r="K539" t="inlineStr">
        <is>
          <t>SP-87</t>
        </is>
      </c>
      <c r="M539" t="inlineStr">
        <is>
          <t>Rezaee Reza</t>
        </is>
      </c>
      <c r="N539" t="inlineStr">
        <is>
          <t>Hajizadeh Elnaz</t>
        </is>
      </c>
      <c r="O539" s="42" t="n">
        <v>45976.69346064814</v>
      </c>
      <c r="Q539" s="42" t="n">
        <v>45976.69346064814</v>
      </c>
      <c r="S539" t="n">
        <v>0</v>
      </c>
      <c r="T539" s="42" t="n">
        <v>45976.69346064814</v>
      </c>
      <c r="Z539" s="42" t="n">
        <v>45976.69346064814</v>
      </c>
      <c r="AA539" t="n">
        <v>0</v>
      </c>
      <c r="AD539" t="n">
        <v>2</v>
      </c>
      <c r="AE539" t="n">
        <v>2</v>
      </c>
      <c r="AF539" t="n">
        <v>0</v>
      </c>
      <c r="AI539" t="n">
        <v>0</v>
      </c>
      <c r="AJ539" t="n">
        <v>0</v>
      </c>
      <c r="AK539" t="n">
        <v>0</v>
      </c>
      <c r="AL539" t="n">
        <v>0</v>
      </c>
      <c r="AN539" t="n">
        <v>0</v>
      </c>
      <c r="AO539" t="n">
        <v>0</v>
      </c>
      <c r="AP539" t="n">
        <v>0</v>
      </c>
      <c r="AQ539" t="n">
        <v>24</v>
      </c>
      <c r="AR539" t="n">
        <v>0</v>
      </c>
    </row>
    <row r="540">
      <c r="A540" t="n">
        <v>194762</v>
      </c>
      <c r="B540" t="inlineStr">
        <is>
          <t>عدم تطابق گزینه های انتهای صفحه تنظیم صورت مجلس تفکیکی</t>
        </is>
      </c>
      <c r="D540" t="inlineStr">
        <is>
          <t>Medium</t>
        </is>
      </c>
      <c r="E540" t="n">
        <v>1</v>
      </c>
      <c r="F540" t="inlineStr">
        <is>
          <t>Closed</t>
        </is>
      </c>
      <c r="G540" t="inlineStr">
        <is>
          <t>Other</t>
        </is>
      </c>
      <c r="I540" t="inlineStr">
        <is>
          <t>Bizagi_Team</t>
        </is>
      </c>
      <c r="J540" t="inlineStr">
        <is>
          <t>SAJAK</t>
        </is>
      </c>
      <c r="K540" t="inlineStr">
        <is>
          <t>Estate_Sprint 44</t>
        </is>
      </c>
      <c r="M540" t="inlineStr">
        <is>
          <t>Tedadi Abbas</t>
        </is>
      </c>
      <c r="N540" t="inlineStr">
        <is>
          <t>Moradnoori Parinaz</t>
        </is>
      </c>
      <c r="O540" s="42" t="n">
        <v>45991.49193287037</v>
      </c>
      <c r="Q540" s="42" t="n">
        <v>45991.49193287037</v>
      </c>
      <c r="S540" t="n">
        <v>0</v>
      </c>
      <c r="T540" s="42" t="n">
        <v>45991.49193287037</v>
      </c>
      <c r="Z540" s="42" t="n">
        <v>45991.49193287037</v>
      </c>
      <c r="AA540" t="n">
        <v>0</v>
      </c>
      <c r="AD540" t="n">
        <v>2</v>
      </c>
      <c r="AE540" t="n">
        <v>2</v>
      </c>
      <c r="AF540" t="n">
        <v>0</v>
      </c>
      <c r="AI540" t="n">
        <v>0</v>
      </c>
      <c r="AJ540" t="n">
        <v>0</v>
      </c>
      <c r="AK540" t="n">
        <v>0</v>
      </c>
      <c r="AL540" t="n">
        <v>0</v>
      </c>
      <c r="AN540" t="n">
        <v>0</v>
      </c>
      <c r="AO540" t="n">
        <v>0</v>
      </c>
      <c r="AP540" t="n">
        <v>0</v>
      </c>
      <c r="AQ540" t="n">
        <v>24</v>
      </c>
      <c r="AR540" t="n">
        <v>0</v>
      </c>
    </row>
    <row r="541">
      <c r="A541" t="n">
        <v>194768</v>
      </c>
      <c r="B541" t="inlineStr">
        <is>
          <t xml:space="preserve">درج عبارت پی نوشت در جلوی فیلد وضعیت طرح </t>
        </is>
      </c>
      <c r="D541" t="inlineStr">
        <is>
          <t>Medium</t>
        </is>
      </c>
      <c r="E541" t="n">
        <v>3</v>
      </c>
      <c r="F541" t="inlineStr">
        <is>
          <t>Closed</t>
        </is>
      </c>
      <c r="G541" t="inlineStr">
        <is>
          <t>Other</t>
        </is>
      </c>
      <c r="I541" t="inlineStr">
        <is>
          <t>Bizagi_Team</t>
        </is>
      </c>
      <c r="J541" t="inlineStr">
        <is>
          <t>SAJAK</t>
        </is>
      </c>
      <c r="K541" t="inlineStr">
        <is>
          <t>Estate_Sprint 44</t>
        </is>
      </c>
      <c r="M541" t="inlineStr">
        <is>
          <t>Kalaei Saman</t>
        </is>
      </c>
      <c r="N541" t="inlineStr">
        <is>
          <t>Moradnoori Parinaz</t>
        </is>
      </c>
      <c r="O541" s="42" t="n">
        <v>45978.5966087963</v>
      </c>
      <c r="Q541" s="42" t="n">
        <v>45978.5966087963</v>
      </c>
      <c r="S541" t="n">
        <v>0</v>
      </c>
      <c r="T541" s="42" t="n">
        <v>45978.5966087963</v>
      </c>
      <c r="Z541" s="42" t="n">
        <v>45978.5966087963</v>
      </c>
      <c r="AA541" t="n">
        <v>0</v>
      </c>
      <c r="AD541" t="n">
        <v>2</v>
      </c>
      <c r="AE541" t="n">
        <v>2</v>
      </c>
      <c r="AF541" t="n">
        <v>0</v>
      </c>
      <c r="AI541" t="n">
        <v>0</v>
      </c>
      <c r="AJ541" t="n">
        <v>0</v>
      </c>
      <c r="AK541" t="n">
        <v>0</v>
      </c>
      <c r="AL541" t="n">
        <v>0</v>
      </c>
      <c r="AN541" t="n">
        <v>0</v>
      </c>
      <c r="AO541" t="n">
        <v>0</v>
      </c>
      <c r="AP541" t="n">
        <v>0</v>
      </c>
      <c r="AQ541" t="n">
        <v>24</v>
      </c>
      <c r="AR541" t="n">
        <v>0</v>
      </c>
    </row>
    <row r="542">
      <c r="A542" t="n">
        <v>194773</v>
      </c>
      <c r="B542" t="inlineStr">
        <is>
          <t>ناموجود بودن تعیین وضعیت بازدید و توضیحات لغو بازدید</t>
        </is>
      </c>
      <c r="D542" t="inlineStr">
        <is>
          <t>Medium</t>
        </is>
      </c>
      <c r="E542" t="n">
        <v>3</v>
      </c>
      <c r="F542" t="inlineStr">
        <is>
          <t>Closed</t>
        </is>
      </c>
      <c r="G542" t="inlineStr">
        <is>
          <t>Other</t>
        </is>
      </c>
      <c r="I542" t="inlineStr">
        <is>
          <t>Bizagi_Team</t>
        </is>
      </c>
      <c r="J542" t="inlineStr">
        <is>
          <t>SAJAK</t>
        </is>
      </c>
      <c r="K542" t="inlineStr">
        <is>
          <t>Estate_Sprint 44</t>
        </is>
      </c>
      <c r="M542" t="inlineStr">
        <is>
          <t>Seyfollahi Artin</t>
        </is>
      </c>
      <c r="N542" t="inlineStr">
        <is>
          <t>Erfani Alireza</t>
        </is>
      </c>
      <c r="O542" s="42" t="n">
        <v>45998.66929398148</v>
      </c>
      <c r="Q542" s="42" t="n">
        <v>45998.66929398148</v>
      </c>
      <c r="S542" t="n">
        <v>0</v>
      </c>
      <c r="T542" s="42" t="n">
        <v>45998.66929398148</v>
      </c>
      <c r="Z542" s="42" t="n">
        <v>45998.66929398148</v>
      </c>
      <c r="AA542" t="n">
        <v>0</v>
      </c>
      <c r="AD542" t="n">
        <v>2</v>
      </c>
      <c r="AE542" t="n">
        <v>2</v>
      </c>
      <c r="AF542" t="n">
        <v>0</v>
      </c>
      <c r="AI542" t="n">
        <v>0</v>
      </c>
      <c r="AJ542" t="n">
        <v>0</v>
      </c>
      <c r="AK542" t="n">
        <v>0</v>
      </c>
      <c r="AL542" t="n">
        <v>0</v>
      </c>
      <c r="AN542" t="n">
        <v>0</v>
      </c>
      <c r="AO542" t="n">
        <v>0</v>
      </c>
      <c r="AP542" t="n">
        <v>0</v>
      </c>
      <c r="AQ542" t="n">
        <v>24</v>
      </c>
      <c r="AR542" t="n">
        <v>0</v>
      </c>
    </row>
    <row r="543">
      <c r="A543" t="n">
        <v>194777</v>
      </c>
      <c r="B543" t="inlineStr">
        <is>
          <t xml:space="preserve">عدم نمایش کارتابل بعد از اعمال تغییرات بعد از انجام یک اکشن و بازگشت به کارتابل </t>
        </is>
      </c>
      <c r="D543" t="inlineStr">
        <is>
          <t>Medium</t>
        </is>
      </c>
      <c r="E543" t="n">
        <v>4</v>
      </c>
      <c r="F543" t="inlineStr">
        <is>
          <t>New</t>
        </is>
      </c>
      <c r="G543" t="inlineStr">
        <is>
          <t>Other</t>
        </is>
      </c>
      <c r="I543" t="inlineStr">
        <is>
          <t>Bizagi_Team</t>
        </is>
      </c>
      <c r="J543" t="inlineStr">
        <is>
          <t>SAJAK</t>
        </is>
      </c>
      <c r="K543" t="inlineStr">
        <is>
          <t>Estate_Sprint 44</t>
        </is>
      </c>
      <c r="M543" t="inlineStr">
        <is>
          <t>Parvaz Maryam</t>
        </is>
      </c>
      <c r="Q543" s="42" t="n">
        <v>45971.75679398148</v>
      </c>
      <c r="S543" t="n">
        <v>0</v>
      </c>
      <c r="T543" s="42" t="n">
        <v>45971.75679398148</v>
      </c>
      <c r="AA543" t="n">
        <v>0</v>
      </c>
      <c r="AD543" t="n">
        <v>2</v>
      </c>
      <c r="AE543" t="n">
        <v>2</v>
      </c>
      <c r="AF543" t="n">
        <v>0</v>
      </c>
      <c r="AI543" t="n">
        <v>0</v>
      </c>
      <c r="AJ543" t="n">
        <v>0</v>
      </c>
      <c r="AM543" t="n">
        <v>46</v>
      </c>
      <c r="AN543" t="n">
        <v>0</v>
      </c>
      <c r="AO543" t="n">
        <v>0</v>
      </c>
      <c r="AP543" t="n">
        <v>0</v>
      </c>
      <c r="AQ543" t="n">
        <v>24</v>
      </c>
      <c r="AR543" t="n">
        <v>0</v>
      </c>
    </row>
    <row r="544">
      <c r="A544" t="n">
        <v>194779</v>
      </c>
      <c r="B544" t="inlineStr">
        <is>
          <t xml:space="preserve">عدم امکان جمع شدن پنل لایه ها </t>
        </is>
      </c>
      <c r="D544" t="inlineStr">
        <is>
          <t>Medium</t>
        </is>
      </c>
      <c r="E544" t="n">
        <v>1</v>
      </c>
      <c r="F544" t="inlineStr">
        <is>
          <t>Closed</t>
        </is>
      </c>
      <c r="G544" t="inlineStr">
        <is>
          <t>Other</t>
        </is>
      </c>
      <c r="I544" t="inlineStr">
        <is>
          <t>Kadastr_Team</t>
        </is>
      </c>
      <c r="J544" t="inlineStr">
        <is>
          <t>SAJAK</t>
        </is>
      </c>
      <c r="K544" t="inlineStr">
        <is>
          <t>Estate_Sprint 44</t>
        </is>
      </c>
      <c r="M544" t="inlineStr">
        <is>
          <t>GanjiRad Mohammad</t>
        </is>
      </c>
      <c r="N544" t="inlineStr">
        <is>
          <t>GanjiRad Mohammad</t>
        </is>
      </c>
      <c r="O544" s="42" t="n">
        <v>45976.3406712963</v>
      </c>
      <c r="Q544" s="42" t="n">
        <v>45976.3406712963</v>
      </c>
      <c r="S544" t="n">
        <v>0</v>
      </c>
      <c r="T544" s="42" t="n">
        <v>45976.3406712963</v>
      </c>
      <c r="Z544" s="42" t="n">
        <v>45976.3406712963</v>
      </c>
      <c r="AA544" t="n">
        <v>0</v>
      </c>
      <c r="AD544" t="n">
        <v>2</v>
      </c>
      <c r="AE544" t="n">
        <v>2</v>
      </c>
      <c r="AF544" t="n">
        <v>0</v>
      </c>
      <c r="AI544" t="n">
        <v>0</v>
      </c>
      <c r="AJ544" t="n">
        <v>0</v>
      </c>
      <c r="AK544" t="n">
        <v>0</v>
      </c>
      <c r="AL544" t="n">
        <v>0</v>
      </c>
      <c r="AN544" t="n">
        <v>0</v>
      </c>
      <c r="AO544" t="n">
        <v>0</v>
      </c>
      <c r="AP544" t="n">
        <v>0</v>
      </c>
      <c r="AQ544" t="n">
        <v>24</v>
      </c>
      <c r="AR544" t="n">
        <v>0</v>
      </c>
    </row>
    <row r="545">
      <c r="A545" t="n">
        <v>194781</v>
      </c>
      <c r="B545" t="inlineStr">
        <is>
          <t xml:space="preserve">عدم کارکرد صحیح دکمه full screen </t>
        </is>
      </c>
      <c r="D545" t="inlineStr">
        <is>
          <t>Medium</t>
        </is>
      </c>
      <c r="E545" t="n">
        <v>1</v>
      </c>
      <c r="F545" t="inlineStr">
        <is>
          <t>Closed</t>
        </is>
      </c>
      <c r="G545" t="inlineStr">
        <is>
          <t>Other</t>
        </is>
      </c>
      <c r="I545" t="inlineStr">
        <is>
          <t>Kadastr_Team</t>
        </is>
      </c>
      <c r="J545" t="inlineStr">
        <is>
          <t>SAJAK</t>
        </is>
      </c>
      <c r="K545" t="inlineStr">
        <is>
          <t>Estate_Sprint 44</t>
        </is>
      </c>
      <c r="M545" t="inlineStr">
        <is>
          <t>GanjiRad Mohammad</t>
        </is>
      </c>
      <c r="N545" t="inlineStr">
        <is>
          <t>GanjiRad Mohammad</t>
        </is>
      </c>
      <c r="O545" s="42" t="n">
        <v>45976.34033564815</v>
      </c>
      <c r="Q545" s="42" t="n">
        <v>45976.34033564815</v>
      </c>
      <c r="S545" t="n">
        <v>0</v>
      </c>
      <c r="T545" s="42" t="n">
        <v>45976.34033564815</v>
      </c>
      <c r="Z545" s="42" t="n">
        <v>45976.34033564815</v>
      </c>
      <c r="AA545" t="n">
        <v>0</v>
      </c>
      <c r="AD545" t="n">
        <v>2</v>
      </c>
      <c r="AE545" t="n">
        <v>2</v>
      </c>
      <c r="AF545" t="n">
        <v>0</v>
      </c>
      <c r="AI545" t="n">
        <v>0</v>
      </c>
      <c r="AJ545" t="n">
        <v>0</v>
      </c>
      <c r="AK545" t="n">
        <v>0</v>
      </c>
      <c r="AL545" t="n">
        <v>0</v>
      </c>
      <c r="AN545" t="n">
        <v>0</v>
      </c>
      <c r="AO545" t="n">
        <v>0</v>
      </c>
      <c r="AP545" t="n">
        <v>0</v>
      </c>
      <c r="AQ545" t="n">
        <v>24</v>
      </c>
      <c r="AR545" t="n">
        <v>0</v>
      </c>
    </row>
    <row r="546">
      <c r="A546" t="n">
        <v>194782</v>
      </c>
      <c r="B546" t="inlineStr">
        <is>
          <t xml:space="preserve">آیکون زیر مجموعه لایه فانکشن نمی کند </t>
        </is>
      </c>
      <c r="D546" t="inlineStr">
        <is>
          <t>Medium</t>
        </is>
      </c>
      <c r="E546" t="n">
        <v>1</v>
      </c>
      <c r="F546" t="inlineStr">
        <is>
          <t>Closed</t>
        </is>
      </c>
      <c r="G546" t="inlineStr">
        <is>
          <t>Other</t>
        </is>
      </c>
      <c r="I546" t="inlineStr">
        <is>
          <t>Kadastr_Team</t>
        </is>
      </c>
      <c r="J546" t="inlineStr">
        <is>
          <t>SAJAK</t>
        </is>
      </c>
      <c r="K546" t="inlineStr">
        <is>
          <t>Estate_Sprint 44</t>
        </is>
      </c>
      <c r="M546" t="inlineStr">
        <is>
          <t>GanjiRad Mohammad</t>
        </is>
      </c>
      <c r="N546" t="inlineStr">
        <is>
          <t>GanjiRad Mohammad</t>
        </is>
      </c>
      <c r="O546" s="42" t="n">
        <v>45976.33994212963</v>
      </c>
      <c r="Q546" s="42" t="n">
        <v>45976.33994212963</v>
      </c>
      <c r="S546" t="n">
        <v>0</v>
      </c>
      <c r="T546" s="42" t="n">
        <v>45976.33994212963</v>
      </c>
      <c r="Z546" s="42" t="n">
        <v>45976.33994212963</v>
      </c>
      <c r="AA546" t="n">
        <v>0</v>
      </c>
      <c r="AD546" t="n">
        <v>2</v>
      </c>
      <c r="AE546" t="n">
        <v>2</v>
      </c>
      <c r="AF546" t="n">
        <v>0</v>
      </c>
      <c r="AI546" t="n">
        <v>0</v>
      </c>
      <c r="AJ546" t="n">
        <v>0</v>
      </c>
      <c r="AK546" t="n">
        <v>0</v>
      </c>
      <c r="AL546" t="n">
        <v>0</v>
      </c>
      <c r="AN546" t="n">
        <v>0</v>
      </c>
      <c r="AO546" t="n">
        <v>0</v>
      </c>
      <c r="AP546" t="n">
        <v>0</v>
      </c>
      <c r="AQ546" t="n">
        <v>24</v>
      </c>
      <c r="AR546" t="n">
        <v>0</v>
      </c>
    </row>
    <row r="547">
      <c r="A547" t="n">
        <v>194784</v>
      </c>
      <c r="B547" t="inlineStr">
        <is>
          <t xml:space="preserve">عدم تطابق لایه های موجود در نقشه در پروتوتایپ و پیاده سازی </t>
        </is>
      </c>
      <c r="D547" t="inlineStr">
        <is>
          <t>Medium</t>
        </is>
      </c>
      <c r="E547" t="n">
        <v>1</v>
      </c>
      <c r="F547" t="inlineStr">
        <is>
          <t>New</t>
        </is>
      </c>
      <c r="G547" t="inlineStr">
        <is>
          <t>Other</t>
        </is>
      </c>
      <c r="I547" t="inlineStr">
        <is>
          <t>Kadastr_Team</t>
        </is>
      </c>
      <c r="J547" t="inlineStr">
        <is>
          <t>SAJAK</t>
        </is>
      </c>
      <c r="K547" t="inlineStr">
        <is>
          <t>Estate_Sprint 44</t>
        </is>
      </c>
      <c r="M547" t="inlineStr">
        <is>
          <t>Vaisi Aso</t>
        </is>
      </c>
      <c r="Q547" s="42" t="n">
        <v>46015.39515046297</v>
      </c>
      <c r="S547" t="n">
        <v>0</v>
      </c>
      <c r="T547" s="42" t="n">
        <v>46015.39515046297</v>
      </c>
      <c r="AA547" t="n">
        <v>0</v>
      </c>
      <c r="AD547" t="n">
        <v>2</v>
      </c>
      <c r="AE547" t="n">
        <v>2</v>
      </c>
      <c r="AF547" t="n">
        <v>0</v>
      </c>
      <c r="AI547" t="n">
        <v>0</v>
      </c>
      <c r="AJ547" t="n">
        <v>0</v>
      </c>
      <c r="AM547" t="n">
        <v>2</v>
      </c>
      <c r="AN547" t="n">
        <v>0</v>
      </c>
      <c r="AO547" t="n">
        <v>0</v>
      </c>
      <c r="AP547" t="n">
        <v>0</v>
      </c>
      <c r="AQ547" t="n">
        <v>24</v>
      </c>
      <c r="AR547" t="n">
        <v>0</v>
      </c>
    </row>
    <row r="548">
      <c r="A548" t="n">
        <v>194790</v>
      </c>
      <c r="B548" t="inlineStr">
        <is>
          <t xml:space="preserve">درج کلمه اضافی </t>
        </is>
      </c>
      <c r="D548" t="inlineStr">
        <is>
          <t>Medium</t>
        </is>
      </c>
      <c r="E548" t="n">
        <v>4</v>
      </c>
      <c r="F548" t="inlineStr">
        <is>
          <t>New</t>
        </is>
      </c>
      <c r="G548" t="inlineStr">
        <is>
          <t>Other</t>
        </is>
      </c>
      <c r="I548" t="inlineStr">
        <is>
          <t>Bizagi_Team</t>
        </is>
      </c>
      <c r="J548" t="inlineStr">
        <is>
          <t>SAJAK</t>
        </is>
      </c>
      <c r="K548" t="inlineStr">
        <is>
          <t>GIS_Sprint 43</t>
        </is>
      </c>
      <c r="M548" t="inlineStr">
        <is>
          <t>Taleb Amirreza</t>
        </is>
      </c>
      <c r="Q548" s="42" t="n">
        <v>45971.77730324074</v>
      </c>
      <c r="S548" t="n">
        <v>0</v>
      </c>
      <c r="T548" s="42" t="n">
        <v>45971.77730324074</v>
      </c>
      <c r="AA548" t="n">
        <v>0</v>
      </c>
      <c r="AD548" t="n">
        <v>2</v>
      </c>
      <c r="AE548" t="n">
        <v>2</v>
      </c>
      <c r="AF548" t="n">
        <v>0</v>
      </c>
      <c r="AI548" t="n">
        <v>0</v>
      </c>
      <c r="AJ548" t="n">
        <v>0</v>
      </c>
      <c r="AM548" t="n">
        <v>46</v>
      </c>
      <c r="AN548" t="n">
        <v>0</v>
      </c>
      <c r="AO548" t="n">
        <v>0</v>
      </c>
      <c r="AP548" t="n">
        <v>0</v>
      </c>
      <c r="AQ548" t="n">
        <v>24</v>
      </c>
      <c r="AR548" t="n">
        <v>0</v>
      </c>
    </row>
    <row r="549">
      <c r="A549" t="n">
        <v>194794</v>
      </c>
      <c r="B549" t="inlineStr">
        <is>
          <t xml:space="preserve">عدم تطبیق نام عملیات دکمه تنظیمات صورت مجلس تفکیکی در پروتوتایپ و پیاده سازی </t>
        </is>
      </c>
      <c r="D549" t="inlineStr">
        <is>
          <t>Medium</t>
        </is>
      </c>
      <c r="E549" t="n">
        <v>2</v>
      </c>
      <c r="F549" t="inlineStr">
        <is>
          <t>Closed</t>
        </is>
      </c>
      <c r="G549" t="inlineStr">
        <is>
          <t>Other</t>
        </is>
      </c>
      <c r="I549" t="inlineStr">
        <is>
          <t>Bizagi_Team</t>
        </is>
      </c>
      <c r="J549" t="inlineStr">
        <is>
          <t>SAJAK</t>
        </is>
      </c>
      <c r="K549" t="inlineStr">
        <is>
          <t>Estate_Sprint 44</t>
        </is>
      </c>
      <c r="M549" t="inlineStr">
        <is>
          <t>Tedadi Abbas</t>
        </is>
      </c>
      <c r="N549" t="inlineStr">
        <is>
          <t>Moradnoori Parinaz</t>
        </is>
      </c>
      <c r="O549" s="42" t="n">
        <v>45978.57878472222</v>
      </c>
      <c r="Q549" s="42" t="n">
        <v>45978.57878472222</v>
      </c>
      <c r="S549" t="n">
        <v>0</v>
      </c>
      <c r="T549" s="42" t="n">
        <v>45978.57878472222</v>
      </c>
      <c r="Z549" s="42" t="n">
        <v>45978.57878472222</v>
      </c>
      <c r="AA549" t="n">
        <v>0</v>
      </c>
      <c r="AD549" t="n">
        <v>2</v>
      </c>
      <c r="AE549" t="n">
        <v>2</v>
      </c>
      <c r="AF549" t="n">
        <v>0</v>
      </c>
      <c r="AI549" t="n">
        <v>0</v>
      </c>
      <c r="AJ549" t="n">
        <v>0</v>
      </c>
      <c r="AK549" t="n">
        <v>0</v>
      </c>
      <c r="AL549" t="n">
        <v>0</v>
      </c>
      <c r="AN549" t="n">
        <v>0</v>
      </c>
      <c r="AO549" t="n">
        <v>0</v>
      </c>
      <c r="AP549" t="n">
        <v>0</v>
      </c>
      <c r="AQ549" t="n">
        <v>24</v>
      </c>
      <c r="AR549" t="n">
        <v>0</v>
      </c>
    </row>
    <row r="550">
      <c r="A550" t="n">
        <v>194795</v>
      </c>
      <c r="B550" t="inlineStr">
        <is>
          <t>عدم وجود ستون تعداد قطعات در گرید پلاک های داخل محدوده طرح هادی</t>
        </is>
      </c>
      <c r="D550" t="inlineStr">
        <is>
          <t>Medium</t>
        </is>
      </c>
      <c r="E550" t="n">
        <v>1</v>
      </c>
      <c r="F550" t="inlineStr">
        <is>
          <t>Closed</t>
        </is>
      </c>
      <c r="G550" t="inlineStr">
        <is>
          <t>Other</t>
        </is>
      </c>
      <c r="I550" t="inlineStr">
        <is>
          <t>Bizagi_Team</t>
        </is>
      </c>
      <c r="J550" t="inlineStr">
        <is>
          <t>SAJAK</t>
        </is>
      </c>
      <c r="K550" t="inlineStr">
        <is>
          <t>GIS_Sprint 43</t>
        </is>
      </c>
      <c r="M550" t="inlineStr">
        <is>
          <t>Zeynali Masoud</t>
        </is>
      </c>
      <c r="N550" t="inlineStr">
        <is>
          <t>Moradnoori Parinaz</t>
        </is>
      </c>
      <c r="O550" s="42" t="n">
        <v>45986.54302083333</v>
      </c>
      <c r="Q550" s="42" t="n">
        <v>45986.54302083333</v>
      </c>
      <c r="S550" t="n">
        <v>0</v>
      </c>
      <c r="T550" s="42" t="n">
        <v>45986.54302083333</v>
      </c>
      <c r="Z550" s="42" t="n">
        <v>45986.54302083333</v>
      </c>
      <c r="AA550" t="n">
        <v>0</v>
      </c>
      <c r="AD550" t="n">
        <v>2</v>
      </c>
      <c r="AE550" t="n">
        <v>2</v>
      </c>
      <c r="AF550" t="n">
        <v>0</v>
      </c>
      <c r="AI550" t="n">
        <v>0</v>
      </c>
      <c r="AJ550" t="n">
        <v>0</v>
      </c>
      <c r="AK550" t="n">
        <v>0</v>
      </c>
      <c r="AL550" t="n">
        <v>0</v>
      </c>
      <c r="AN550" t="n">
        <v>0</v>
      </c>
      <c r="AO550" t="n">
        <v>0</v>
      </c>
      <c r="AP550" t="n">
        <v>0</v>
      </c>
      <c r="AQ550" t="n">
        <v>24</v>
      </c>
      <c r="AR550" t="n">
        <v>0</v>
      </c>
    </row>
    <row r="551">
      <c r="A551" t="n">
        <v>194796</v>
      </c>
      <c r="B551" t="inlineStr">
        <is>
          <t>عدم تطابق صورت مجلس تفکیکی در پیاده سازی و پروتوتایپ</t>
        </is>
      </c>
      <c r="D551" t="inlineStr">
        <is>
          <t>Medium</t>
        </is>
      </c>
      <c r="E551" t="n">
        <v>1</v>
      </c>
      <c r="F551" t="inlineStr">
        <is>
          <t>Active</t>
        </is>
      </c>
      <c r="G551" t="inlineStr">
        <is>
          <t>Other</t>
        </is>
      </c>
      <c r="I551" t="inlineStr">
        <is>
          <t>Bizagi_Team</t>
        </is>
      </c>
      <c r="J551" t="inlineStr">
        <is>
          <t>SAJAK</t>
        </is>
      </c>
      <c r="K551" t="inlineStr">
        <is>
          <t>Estate_Sprint 44</t>
        </is>
      </c>
      <c r="M551" t="inlineStr">
        <is>
          <t>Tedadi Abbas</t>
        </is>
      </c>
      <c r="Q551" s="42" t="n">
        <v>45991.39997685186</v>
      </c>
      <c r="S551" t="n">
        <v>0</v>
      </c>
      <c r="T551" s="42" t="n">
        <v>45991.39997685186</v>
      </c>
      <c r="AA551" t="n">
        <v>0</v>
      </c>
      <c r="AD551" t="n">
        <v>2</v>
      </c>
      <c r="AE551" t="n">
        <v>2</v>
      </c>
      <c r="AF551" t="n">
        <v>0</v>
      </c>
      <c r="AI551" t="n">
        <v>0</v>
      </c>
      <c r="AJ551" t="n">
        <v>0</v>
      </c>
      <c r="AM551" t="n">
        <v>26</v>
      </c>
      <c r="AN551" t="n">
        <v>0</v>
      </c>
      <c r="AO551" t="n">
        <v>0</v>
      </c>
      <c r="AP551" t="n">
        <v>0</v>
      </c>
      <c r="AQ551" t="n">
        <v>24</v>
      </c>
      <c r="AR551" t="n">
        <v>0</v>
      </c>
    </row>
    <row r="552">
      <c r="A552" t="n">
        <v>194797</v>
      </c>
      <c r="B552" t="inlineStr">
        <is>
          <t>عدم تطابق عنوان در صفحه تنظیم صورت مجلس تفکیکی</t>
        </is>
      </c>
      <c r="D552" t="inlineStr">
        <is>
          <t>Medium</t>
        </is>
      </c>
      <c r="E552" t="n">
        <v>3</v>
      </c>
      <c r="F552" t="inlineStr">
        <is>
          <t>Active</t>
        </is>
      </c>
      <c r="G552" t="inlineStr">
        <is>
          <t>Other</t>
        </is>
      </c>
      <c r="I552" t="inlineStr">
        <is>
          <t>Bizagi_Team</t>
        </is>
      </c>
      <c r="J552" t="inlineStr">
        <is>
          <t>SAJAK</t>
        </is>
      </c>
      <c r="K552" t="inlineStr">
        <is>
          <t>Estate_Sprint 44</t>
        </is>
      </c>
      <c r="M552" t="inlineStr">
        <is>
          <t>Tedadi Abbas</t>
        </is>
      </c>
      <c r="Q552" s="42" t="n">
        <v>45987.50168981482</v>
      </c>
      <c r="S552" t="n">
        <v>0</v>
      </c>
      <c r="T552" s="42" t="n">
        <v>45987.50168981482</v>
      </c>
      <c r="AA552" t="n">
        <v>0</v>
      </c>
      <c r="AD552" t="n">
        <v>2</v>
      </c>
      <c r="AE552" t="n">
        <v>2</v>
      </c>
      <c r="AF552" t="n">
        <v>0</v>
      </c>
      <c r="AI552" t="n">
        <v>0</v>
      </c>
      <c r="AJ552" t="n">
        <v>0</v>
      </c>
      <c r="AM552" t="n">
        <v>30</v>
      </c>
      <c r="AN552" t="n">
        <v>0</v>
      </c>
      <c r="AO552" t="n">
        <v>0</v>
      </c>
      <c r="AP552" t="n">
        <v>0</v>
      </c>
      <c r="AQ552" t="n">
        <v>24</v>
      </c>
      <c r="AR552" t="n">
        <v>0</v>
      </c>
    </row>
    <row r="553">
      <c r="A553" t="n">
        <v>194798</v>
      </c>
      <c r="B553" t="inlineStr">
        <is>
          <t>عدم نمایش کادر تصویر صورت جلسه بازدید</t>
        </is>
      </c>
      <c r="D553" t="inlineStr">
        <is>
          <t>Medium</t>
        </is>
      </c>
      <c r="E553" t="n">
        <v>2</v>
      </c>
      <c r="F553" t="inlineStr">
        <is>
          <t>Closed</t>
        </is>
      </c>
      <c r="G553" t="inlineStr">
        <is>
          <t>Other</t>
        </is>
      </c>
      <c r="I553" t="inlineStr">
        <is>
          <t>Bizagi_Team</t>
        </is>
      </c>
      <c r="J553" t="inlineStr">
        <is>
          <t>SAJAK</t>
        </is>
      </c>
      <c r="K553" t="inlineStr">
        <is>
          <t>Estate_Sprint 44</t>
        </is>
      </c>
      <c r="M553" t="inlineStr">
        <is>
          <t>Tedadi Abbas</t>
        </is>
      </c>
      <c r="N553" t="inlineStr">
        <is>
          <t>Moradnoori Parinaz</t>
        </is>
      </c>
      <c r="O553" s="42" t="n">
        <v>45978.55230324074</v>
      </c>
      <c r="Q553" s="42" t="n">
        <v>45978.55230324074</v>
      </c>
      <c r="S553" t="n">
        <v>0</v>
      </c>
      <c r="T553" s="42" t="n">
        <v>45978.55230324074</v>
      </c>
      <c r="Z553" s="42" t="n">
        <v>45978.55230324074</v>
      </c>
      <c r="AA553" t="n">
        <v>0</v>
      </c>
      <c r="AD553" t="n">
        <v>2</v>
      </c>
      <c r="AE553" t="n">
        <v>2</v>
      </c>
      <c r="AF553" t="n">
        <v>0</v>
      </c>
      <c r="AI553" t="n">
        <v>0</v>
      </c>
      <c r="AJ553" t="n">
        <v>0</v>
      </c>
      <c r="AK553" t="n">
        <v>0</v>
      </c>
      <c r="AL553" t="n">
        <v>0</v>
      </c>
      <c r="AN553" t="n">
        <v>0</v>
      </c>
      <c r="AO553" t="n">
        <v>0</v>
      </c>
      <c r="AP553" t="n">
        <v>0</v>
      </c>
      <c r="AQ553" t="n">
        <v>24</v>
      </c>
      <c r="AR553" t="n">
        <v>0</v>
      </c>
    </row>
    <row r="554">
      <c r="A554" t="n">
        <v>194799</v>
      </c>
      <c r="B554" t="inlineStr">
        <is>
          <t xml:space="preserve">توضیحات به جای توضیحت درج شود </t>
        </is>
      </c>
      <c r="D554" t="inlineStr">
        <is>
          <t>Medium</t>
        </is>
      </c>
      <c r="E554" t="n">
        <v>4</v>
      </c>
      <c r="F554" t="inlineStr">
        <is>
          <t>Closed</t>
        </is>
      </c>
      <c r="G554" t="inlineStr">
        <is>
          <t>Other</t>
        </is>
      </c>
      <c r="I554" t="inlineStr">
        <is>
          <t>Bizagi_Team</t>
        </is>
      </c>
      <c r="J554" t="inlineStr">
        <is>
          <t>SAJAK</t>
        </is>
      </c>
      <c r="K554" t="inlineStr">
        <is>
          <t>Estate_Sprint 44</t>
        </is>
      </c>
      <c r="M554" t="inlineStr">
        <is>
          <t>Seyfollahi Artin</t>
        </is>
      </c>
      <c r="N554" t="inlineStr">
        <is>
          <t>Moradnoori Parinaz</t>
        </is>
      </c>
      <c r="O554" s="42" t="n">
        <v>45978.53407407407</v>
      </c>
      <c r="Q554" s="42" t="n">
        <v>45978.53407407407</v>
      </c>
      <c r="S554" t="n">
        <v>0</v>
      </c>
      <c r="T554" s="42" t="n">
        <v>45978.53407407407</v>
      </c>
      <c r="Z554" s="42" t="n">
        <v>45978.53407407407</v>
      </c>
      <c r="AA554" t="n">
        <v>0</v>
      </c>
      <c r="AD554" t="n">
        <v>2</v>
      </c>
      <c r="AE554" t="n">
        <v>2</v>
      </c>
      <c r="AF554" t="n">
        <v>0</v>
      </c>
      <c r="AI554" t="n">
        <v>0</v>
      </c>
      <c r="AJ554" t="n">
        <v>0</v>
      </c>
      <c r="AK554" t="n">
        <v>0</v>
      </c>
      <c r="AL554" t="n">
        <v>0</v>
      </c>
      <c r="AN554" t="n">
        <v>0</v>
      </c>
      <c r="AO554" t="n">
        <v>0</v>
      </c>
      <c r="AP554" t="n">
        <v>0</v>
      </c>
      <c r="AQ554" t="n">
        <v>24</v>
      </c>
      <c r="AR554" t="n">
        <v>0</v>
      </c>
    </row>
    <row r="555">
      <c r="A555" t="n">
        <v>194800</v>
      </c>
      <c r="B555" t="inlineStr">
        <is>
          <t xml:space="preserve">عدم تطابق نام کادر در بررسی گزارش بازدید </t>
        </is>
      </c>
      <c r="D555" t="inlineStr">
        <is>
          <t>Medium</t>
        </is>
      </c>
      <c r="E555" t="n">
        <v>4</v>
      </c>
      <c r="F555" t="inlineStr">
        <is>
          <t>Closed</t>
        </is>
      </c>
      <c r="G555" t="inlineStr">
        <is>
          <t>Other</t>
        </is>
      </c>
      <c r="I555" t="inlineStr">
        <is>
          <t>Bizagi_Team</t>
        </is>
      </c>
      <c r="J555" t="inlineStr">
        <is>
          <t>SAJAK</t>
        </is>
      </c>
      <c r="K555" t="inlineStr">
        <is>
          <t>Estate_Sprint 44</t>
        </is>
      </c>
      <c r="M555" t="inlineStr">
        <is>
          <t>Seyfollahi Artin</t>
        </is>
      </c>
      <c r="N555" t="inlineStr">
        <is>
          <t>Moradnoori Parinaz</t>
        </is>
      </c>
      <c r="O555" s="42" t="n">
        <v>45978.53340277778</v>
      </c>
      <c r="Q555" s="42" t="n">
        <v>45978.53340277778</v>
      </c>
      <c r="S555" t="n">
        <v>0</v>
      </c>
      <c r="T555" s="42" t="n">
        <v>45978.53340277778</v>
      </c>
      <c r="Z555" s="42" t="n">
        <v>45978.53340277778</v>
      </c>
      <c r="AA555" t="n">
        <v>0</v>
      </c>
      <c r="AD555" t="n">
        <v>2</v>
      </c>
      <c r="AE555" t="n">
        <v>2</v>
      </c>
      <c r="AF555" t="n">
        <v>0</v>
      </c>
      <c r="AI555" t="n">
        <v>0</v>
      </c>
      <c r="AJ555" t="n">
        <v>0</v>
      </c>
      <c r="AK555" t="n">
        <v>0</v>
      </c>
      <c r="AL555" t="n">
        <v>0</v>
      </c>
      <c r="AN555" t="n">
        <v>0</v>
      </c>
      <c r="AO555" t="n">
        <v>0</v>
      </c>
      <c r="AP555" t="n">
        <v>0</v>
      </c>
      <c r="AQ555" t="n">
        <v>24</v>
      </c>
      <c r="AR555" t="n">
        <v>0</v>
      </c>
    </row>
    <row r="556">
      <c r="A556" t="n">
        <v>194802</v>
      </c>
      <c r="B556" t="inlineStr">
        <is>
          <t xml:space="preserve">تغییر اشتباه نام فرآیند ساماندهی از بازدید به بعد </t>
        </is>
      </c>
      <c r="D556" t="inlineStr">
        <is>
          <t>Medium</t>
        </is>
      </c>
      <c r="E556" t="n">
        <v>1</v>
      </c>
      <c r="F556" t="inlineStr">
        <is>
          <t>Closed</t>
        </is>
      </c>
      <c r="G556" t="inlineStr">
        <is>
          <t>Other</t>
        </is>
      </c>
      <c r="I556" t="inlineStr">
        <is>
          <t>Bizagi_Team</t>
        </is>
      </c>
      <c r="J556" t="inlineStr">
        <is>
          <t>SAJAK</t>
        </is>
      </c>
      <c r="K556" t="inlineStr">
        <is>
          <t>Estate_Sprint 44</t>
        </is>
      </c>
      <c r="M556" t="inlineStr">
        <is>
          <t>Tedadi Abbas</t>
        </is>
      </c>
      <c r="N556" t="inlineStr">
        <is>
          <t>Moradnoori Parinaz</t>
        </is>
      </c>
      <c r="O556" s="42" t="n">
        <v>45978.53106481482</v>
      </c>
      <c r="Q556" s="42" t="n">
        <v>45978.53106481482</v>
      </c>
      <c r="S556" t="n">
        <v>0</v>
      </c>
      <c r="T556" s="42" t="n">
        <v>45978.53106481482</v>
      </c>
      <c r="Z556" s="42" t="n">
        <v>45978.53106481482</v>
      </c>
      <c r="AA556" t="n">
        <v>0</v>
      </c>
      <c r="AD556" t="n">
        <v>2</v>
      </c>
      <c r="AE556" t="n">
        <v>2</v>
      </c>
      <c r="AF556" t="n">
        <v>0</v>
      </c>
      <c r="AI556" t="n">
        <v>0</v>
      </c>
      <c r="AJ556" t="n">
        <v>0</v>
      </c>
      <c r="AK556" t="n">
        <v>0</v>
      </c>
      <c r="AL556" t="n">
        <v>0</v>
      </c>
      <c r="AN556" t="n">
        <v>0</v>
      </c>
      <c r="AO556" t="n">
        <v>0</v>
      </c>
      <c r="AP556" t="n">
        <v>0</v>
      </c>
      <c r="AQ556" t="n">
        <v>24</v>
      </c>
      <c r="AR556" t="n">
        <v>0</v>
      </c>
    </row>
    <row r="557">
      <c r="A557" t="n">
        <v>194803</v>
      </c>
      <c r="B557" t="inlineStr">
        <is>
          <t xml:space="preserve">عدم وجود کلید نمایش نقشه تفکیکی </t>
        </is>
      </c>
      <c r="D557" t="inlineStr">
        <is>
          <t>Medium</t>
        </is>
      </c>
      <c r="E557" t="n">
        <v>1</v>
      </c>
      <c r="F557" t="inlineStr">
        <is>
          <t>Active</t>
        </is>
      </c>
      <c r="G557" t="inlineStr">
        <is>
          <t>Other</t>
        </is>
      </c>
      <c r="I557" t="inlineStr">
        <is>
          <t>Bizagi_Team</t>
        </is>
      </c>
      <c r="J557" t="inlineStr">
        <is>
          <t>SAJAK</t>
        </is>
      </c>
      <c r="K557" t="inlineStr">
        <is>
          <t>Estate_Sprint 44</t>
        </is>
      </c>
      <c r="M557" t="inlineStr">
        <is>
          <t>Tedadi Abbas</t>
        </is>
      </c>
      <c r="Q557" s="42" t="n">
        <v>45979.48028935185</v>
      </c>
      <c r="S557" t="n">
        <v>0</v>
      </c>
      <c r="T557" s="42" t="n">
        <v>45979.48028935185</v>
      </c>
      <c r="AA557" t="n">
        <v>0</v>
      </c>
      <c r="AD557" t="n">
        <v>2</v>
      </c>
      <c r="AE557" t="n">
        <v>2</v>
      </c>
      <c r="AF557" t="n">
        <v>0</v>
      </c>
      <c r="AI557" t="n">
        <v>0</v>
      </c>
      <c r="AJ557" t="n">
        <v>0</v>
      </c>
      <c r="AM557" t="n">
        <v>38</v>
      </c>
      <c r="AN557" t="n">
        <v>0</v>
      </c>
      <c r="AO557" t="n">
        <v>0</v>
      </c>
      <c r="AP557" t="n">
        <v>0</v>
      </c>
      <c r="AQ557" t="n">
        <v>24</v>
      </c>
      <c r="AR557" t="n">
        <v>0</v>
      </c>
    </row>
    <row r="558">
      <c r="A558" t="n">
        <v>194804</v>
      </c>
      <c r="B558" t="inlineStr">
        <is>
          <t xml:space="preserve">جای گزینی دکمه ارجاع به نماینده به جای ارجاع </t>
        </is>
      </c>
      <c r="D558" t="inlineStr">
        <is>
          <t>Medium</t>
        </is>
      </c>
      <c r="E558" t="n">
        <v>4</v>
      </c>
      <c r="F558" t="inlineStr">
        <is>
          <t>Closed</t>
        </is>
      </c>
      <c r="G558" t="inlineStr">
        <is>
          <t>Other</t>
        </is>
      </c>
      <c r="I558" t="inlineStr">
        <is>
          <t>Bizagi_Team</t>
        </is>
      </c>
      <c r="J558" t="inlineStr">
        <is>
          <t>SAJAK</t>
        </is>
      </c>
      <c r="K558" t="inlineStr">
        <is>
          <t>Estate_Sprint 44</t>
        </is>
      </c>
      <c r="M558" t="inlineStr">
        <is>
          <t>Kalaei Saman</t>
        </is>
      </c>
      <c r="N558" t="inlineStr">
        <is>
          <t>Erfani Alireza</t>
        </is>
      </c>
      <c r="O558" s="42" t="n">
        <v>46000.40313657407</v>
      </c>
      <c r="Q558" s="42" t="n">
        <v>46000.40313657407</v>
      </c>
      <c r="S558" t="n">
        <v>0</v>
      </c>
      <c r="T558" s="42" t="n">
        <v>46000.40313657407</v>
      </c>
      <c r="Z558" s="42" t="n">
        <v>46000.40313657407</v>
      </c>
      <c r="AA558" t="n">
        <v>0</v>
      </c>
      <c r="AD558" t="n">
        <v>2</v>
      </c>
      <c r="AE558" t="n">
        <v>2</v>
      </c>
      <c r="AF558" t="n">
        <v>0</v>
      </c>
      <c r="AI558" t="n">
        <v>0</v>
      </c>
      <c r="AJ558" t="n">
        <v>0</v>
      </c>
      <c r="AK558" t="n">
        <v>0</v>
      </c>
      <c r="AL558" t="n">
        <v>0</v>
      </c>
      <c r="AN558" t="n">
        <v>0</v>
      </c>
      <c r="AO558" t="n">
        <v>0</v>
      </c>
      <c r="AP558" t="n">
        <v>0</v>
      </c>
      <c r="AQ558" t="n">
        <v>24</v>
      </c>
      <c r="AR558" t="n">
        <v>0</v>
      </c>
    </row>
    <row r="559">
      <c r="A559" t="n">
        <v>194805</v>
      </c>
      <c r="B559" t="inlineStr">
        <is>
          <t xml:space="preserve">درج واحد متر مربع در نام ستون مساحت قطعه </t>
        </is>
      </c>
      <c r="D559" t="inlineStr">
        <is>
          <t>Medium</t>
        </is>
      </c>
      <c r="E559" t="n">
        <v>4</v>
      </c>
      <c r="F559" t="inlineStr">
        <is>
          <t>Closed</t>
        </is>
      </c>
      <c r="G559" t="inlineStr">
        <is>
          <t>Other</t>
        </is>
      </c>
      <c r="I559" t="inlineStr">
        <is>
          <t>Bizagi_Team</t>
        </is>
      </c>
      <c r="J559" t="inlineStr">
        <is>
          <t>SAJAK</t>
        </is>
      </c>
      <c r="K559" t="inlineStr">
        <is>
          <t>Estate_Sprint 44</t>
        </is>
      </c>
      <c r="M559" t="inlineStr">
        <is>
          <t>Kalaei Saman</t>
        </is>
      </c>
      <c r="N559" t="inlineStr">
        <is>
          <t>Moradnoori Parinaz</t>
        </is>
      </c>
      <c r="O559" s="42" t="n">
        <v>45986.69741898148</v>
      </c>
      <c r="Q559" s="42" t="n">
        <v>45986.69741898148</v>
      </c>
      <c r="S559" t="n">
        <v>0</v>
      </c>
      <c r="T559" s="42" t="n">
        <v>45986.69741898148</v>
      </c>
      <c r="Z559" s="42" t="n">
        <v>45986.69741898148</v>
      </c>
      <c r="AA559" t="n">
        <v>0</v>
      </c>
      <c r="AD559" t="n">
        <v>2</v>
      </c>
      <c r="AE559" t="n">
        <v>2</v>
      </c>
      <c r="AF559" t="n">
        <v>0</v>
      </c>
      <c r="AI559" t="n">
        <v>0</v>
      </c>
      <c r="AJ559" t="n">
        <v>0</v>
      </c>
      <c r="AK559" t="n">
        <v>0</v>
      </c>
      <c r="AL559" t="n">
        <v>0</v>
      </c>
      <c r="AN559" t="n">
        <v>0</v>
      </c>
      <c r="AO559" t="n">
        <v>0</v>
      </c>
      <c r="AP559" t="n">
        <v>0</v>
      </c>
      <c r="AQ559" t="n">
        <v>24</v>
      </c>
      <c r="AR559" t="n">
        <v>0</v>
      </c>
    </row>
    <row r="560">
      <c r="A560" t="n">
        <v>194806</v>
      </c>
      <c r="B560" t="inlineStr">
        <is>
          <t>افزودن به جای اضافه کردن</t>
        </is>
      </c>
      <c r="D560" t="inlineStr">
        <is>
          <t>Medium</t>
        </is>
      </c>
      <c r="E560" t="n">
        <v>4</v>
      </c>
      <c r="F560" t="inlineStr">
        <is>
          <t>Approved</t>
        </is>
      </c>
      <c r="G560" t="inlineStr">
        <is>
          <t>Other</t>
        </is>
      </c>
      <c r="I560" t="inlineStr">
        <is>
          <t>Bizagi_Team</t>
        </is>
      </c>
      <c r="J560" t="inlineStr">
        <is>
          <t>SAJAK</t>
        </is>
      </c>
      <c r="K560" t="inlineStr">
        <is>
          <t>Estate_Sprint 44</t>
        </is>
      </c>
      <c r="M560" t="inlineStr">
        <is>
          <t>Jafari Saeed</t>
        </is>
      </c>
      <c r="Q560" s="42" t="n">
        <v>45990.66498842592</v>
      </c>
      <c r="S560" t="n">
        <v>0</v>
      </c>
      <c r="T560" s="42" t="n">
        <v>45990.66498842592</v>
      </c>
      <c r="AA560" t="n">
        <v>0</v>
      </c>
      <c r="AD560" t="n">
        <v>2</v>
      </c>
      <c r="AE560" t="n">
        <v>2</v>
      </c>
      <c r="AF560" t="n">
        <v>0</v>
      </c>
      <c r="AI560" t="n">
        <v>0</v>
      </c>
      <c r="AJ560" t="n">
        <v>0</v>
      </c>
      <c r="AN560" t="n">
        <v>0</v>
      </c>
      <c r="AO560" t="n">
        <v>0</v>
      </c>
      <c r="AP560" t="n">
        <v>0</v>
      </c>
      <c r="AQ560" t="n">
        <v>24</v>
      </c>
      <c r="AR560" t="n">
        <v>0</v>
      </c>
    </row>
    <row r="561">
      <c r="A561" t="n">
        <v>194807</v>
      </c>
      <c r="B561" t="inlineStr">
        <is>
          <t xml:space="preserve">درج تاریخ بازدید به جای تاریخ شروع بازدید </t>
        </is>
      </c>
      <c r="D561" t="inlineStr">
        <is>
          <t>Medium</t>
        </is>
      </c>
      <c r="E561" t="n">
        <v>4</v>
      </c>
      <c r="F561" t="inlineStr">
        <is>
          <t>Closed</t>
        </is>
      </c>
      <c r="G561" t="inlineStr">
        <is>
          <t>Other</t>
        </is>
      </c>
      <c r="I561" t="inlineStr">
        <is>
          <t>Bizagi_Team</t>
        </is>
      </c>
      <c r="J561" t="inlineStr">
        <is>
          <t>SAJAK</t>
        </is>
      </c>
      <c r="K561" t="inlineStr">
        <is>
          <t>Estate_Sprint 44</t>
        </is>
      </c>
      <c r="M561" t="inlineStr">
        <is>
          <t>Kalaei Saman</t>
        </is>
      </c>
      <c r="N561" t="inlineStr">
        <is>
          <t>Moradnoori Parinaz</t>
        </is>
      </c>
      <c r="O561" s="42" t="n">
        <v>45983.47464120371</v>
      </c>
      <c r="Q561" s="42" t="n">
        <v>45983.47464120371</v>
      </c>
      <c r="S561" t="n">
        <v>0</v>
      </c>
      <c r="T561" s="42" t="n">
        <v>45983.47464120371</v>
      </c>
      <c r="Z561" s="42" t="n">
        <v>45983.47464120371</v>
      </c>
      <c r="AA561" t="n">
        <v>0</v>
      </c>
      <c r="AD561" t="n">
        <v>2</v>
      </c>
      <c r="AE561" t="n">
        <v>2</v>
      </c>
      <c r="AF561" t="n">
        <v>0</v>
      </c>
      <c r="AI561" t="n">
        <v>0</v>
      </c>
      <c r="AJ561" t="n">
        <v>0</v>
      </c>
      <c r="AK561" t="n">
        <v>0</v>
      </c>
      <c r="AL561" t="n">
        <v>0</v>
      </c>
      <c r="AN561" t="n">
        <v>0</v>
      </c>
      <c r="AO561" t="n">
        <v>0</v>
      </c>
      <c r="AP561" t="n">
        <v>0</v>
      </c>
      <c r="AQ561" t="n">
        <v>24</v>
      </c>
      <c r="AR561" t="n">
        <v>0</v>
      </c>
    </row>
    <row r="562">
      <c r="A562" t="n">
        <v>194809</v>
      </c>
      <c r="B562" t="inlineStr">
        <is>
          <t xml:space="preserve">تعیین تکلیف ستون وضعیت درخواست در تب تاریخچه اظهار نظر </t>
        </is>
      </c>
      <c r="D562" t="inlineStr">
        <is>
          <t>Medium</t>
        </is>
      </c>
      <c r="E562" t="n">
        <v>3</v>
      </c>
      <c r="F562" t="inlineStr">
        <is>
          <t>Closed</t>
        </is>
      </c>
      <c r="G562" t="inlineStr">
        <is>
          <t>Other</t>
        </is>
      </c>
      <c r="I562" t="inlineStr">
        <is>
          <t>Bizagi_Team</t>
        </is>
      </c>
      <c r="J562" t="inlineStr">
        <is>
          <t>SAJAK</t>
        </is>
      </c>
      <c r="K562" t="inlineStr">
        <is>
          <t>Estate_Sprint 44</t>
        </is>
      </c>
      <c r="M562" t="inlineStr">
        <is>
          <t>Tedadi Abbas</t>
        </is>
      </c>
      <c r="N562" t="inlineStr">
        <is>
          <t>Moradnoori Parinaz</t>
        </is>
      </c>
      <c r="O562" s="42" t="n">
        <v>45986.70178240741</v>
      </c>
      <c r="Q562" s="42" t="n">
        <v>45986.70178240741</v>
      </c>
      <c r="S562" t="n">
        <v>0</v>
      </c>
      <c r="T562" s="42" t="n">
        <v>45986.70178240741</v>
      </c>
      <c r="Z562" s="42" t="n">
        <v>45986.70178240741</v>
      </c>
      <c r="AA562" t="n">
        <v>0</v>
      </c>
      <c r="AD562" t="n">
        <v>2</v>
      </c>
      <c r="AE562" t="n">
        <v>2</v>
      </c>
      <c r="AF562" t="n">
        <v>0</v>
      </c>
      <c r="AI562" t="n">
        <v>0</v>
      </c>
      <c r="AJ562" t="n">
        <v>0</v>
      </c>
      <c r="AK562" t="n">
        <v>0</v>
      </c>
      <c r="AL562" t="n">
        <v>0</v>
      </c>
      <c r="AN562" t="n">
        <v>0</v>
      </c>
      <c r="AO562" t="n">
        <v>0</v>
      </c>
      <c r="AP562" t="n">
        <v>0</v>
      </c>
      <c r="AQ562" t="n">
        <v>24</v>
      </c>
      <c r="AR562" t="n">
        <v>0</v>
      </c>
    </row>
    <row r="563">
      <c r="A563" t="n">
        <v>194837</v>
      </c>
      <c r="B563" t="inlineStr">
        <is>
          <t>انتخاب خود به خودی تاریخ حذف شده در ثبت کارتن</t>
        </is>
      </c>
      <c r="D563" t="inlineStr">
        <is>
          <t>Medium</t>
        </is>
      </c>
      <c r="E563" t="n">
        <v>2</v>
      </c>
      <c r="F563" t="inlineStr">
        <is>
          <t>Closed</t>
        </is>
      </c>
      <c r="G563" t="inlineStr">
        <is>
          <t>Other</t>
        </is>
      </c>
      <c r="J563" t="inlineStr">
        <is>
          <t>Stagnant Archive</t>
        </is>
      </c>
      <c r="K563" t="inlineStr">
        <is>
          <t>Sp_22</t>
        </is>
      </c>
      <c r="M563" t="inlineStr">
        <is>
          <t>Navab Erfan</t>
        </is>
      </c>
      <c r="N563" t="inlineStr">
        <is>
          <t>Navab Erfan</t>
        </is>
      </c>
      <c r="O563" s="42" t="n">
        <v>46000.44540509259</v>
      </c>
      <c r="Q563" s="42" t="n">
        <v>46000.44540509259</v>
      </c>
      <c r="S563" t="n">
        <v>0</v>
      </c>
      <c r="T563" s="42" t="n">
        <v>46000.44540509259</v>
      </c>
      <c r="Z563" s="42" t="n">
        <v>46000.44540509259</v>
      </c>
      <c r="AA563" t="n">
        <v>0</v>
      </c>
      <c r="AD563" t="n">
        <v>2</v>
      </c>
      <c r="AE563" t="n">
        <v>2</v>
      </c>
      <c r="AF563" t="n">
        <v>0</v>
      </c>
      <c r="AI563" t="n">
        <v>0</v>
      </c>
      <c r="AJ563" t="n">
        <v>0</v>
      </c>
      <c r="AK563" t="n">
        <v>0</v>
      </c>
      <c r="AL563" t="n">
        <v>0</v>
      </c>
      <c r="AN563" t="n">
        <v>0</v>
      </c>
      <c r="AO563" t="n">
        <v>0</v>
      </c>
      <c r="AP563" t="n">
        <v>0</v>
      </c>
      <c r="AQ563" t="n">
        <v>24</v>
      </c>
      <c r="AR563" t="n">
        <v>0</v>
      </c>
    </row>
    <row r="564">
      <c r="A564" t="n">
        <v>194846</v>
      </c>
      <c r="B564" t="inlineStr">
        <is>
          <t>رفع باگ / بررسی کاستومر هایی که فیلد Updatefw = 225135</t>
        </is>
      </c>
      <c r="D564" t="inlineStr">
        <is>
          <t>Medium</t>
        </is>
      </c>
      <c r="E564" t="n">
        <v>4</v>
      </c>
      <c r="F564" t="inlineStr">
        <is>
          <t>Active</t>
        </is>
      </c>
      <c r="G564" t="inlineStr">
        <is>
          <t>Other</t>
        </is>
      </c>
      <c r="J564" t="inlineStr">
        <is>
          <t>Dem</t>
        </is>
      </c>
      <c r="K564" t="inlineStr">
        <is>
          <t>DemBiz</t>
        </is>
      </c>
      <c r="M564" t="inlineStr">
        <is>
          <t>Hoseini Fatemeh</t>
        </is>
      </c>
      <c r="Q564" s="42" t="n">
        <v>45983.47078703704</v>
      </c>
      <c r="S564" t="n">
        <v>0</v>
      </c>
      <c r="T564" s="42" t="n">
        <v>45983.47078703704</v>
      </c>
      <c r="AA564" t="n">
        <v>0</v>
      </c>
      <c r="AD564" t="n">
        <v>2</v>
      </c>
      <c r="AE564" t="n">
        <v>2</v>
      </c>
      <c r="AF564" t="n">
        <v>0</v>
      </c>
      <c r="AI564" t="n">
        <v>0</v>
      </c>
      <c r="AJ564" t="n">
        <v>0</v>
      </c>
      <c r="AM564" t="n">
        <v>34</v>
      </c>
      <c r="AN564" t="n">
        <v>0</v>
      </c>
      <c r="AO564" t="n">
        <v>0</v>
      </c>
      <c r="AP564" t="n">
        <v>0</v>
      </c>
      <c r="AQ564" t="n">
        <v>24</v>
      </c>
      <c r="AR564" t="n">
        <v>0</v>
      </c>
    </row>
    <row r="565">
      <c r="A565" t="n">
        <v>194847</v>
      </c>
      <c r="B565" t="inlineStr">
        <is>
          <t xml:space="preserve">تغییر نام اطلاعات محدوده طرح به اطلاعات محدوده طرح هادی </t>
        </is>
      </c>
      <c r="D565" t="inlineStr">
        <is>
          <t>Medium</t>
        </is>
      </c>
      <c r="E565" t="n">
        <v>4</v>
      </c>
      <c r="F565" t="inlineStr">
        <is>
          <t>Closed</t>
        </is>
      </c>
      <c r="G565" t="inlineStr">
        <is>
          <t>Other</t>
        </is>
      </c>
      <c r="I565" t="inlineStr">
        <is>
          <t>Bizagi_Team</t>
        </is>
      </c>
      <c r="J565" t="inlineStr">
        <is>
          <t>SAJAK</t>
        </is>
      </c>
      <c r="K565" t="inlineStr">
        <is>
          <t>Estate_Sprint 44</t>
        </is>
      </c>
      <c r="M565" t="inlineStr">
        <is>
          <t>Shamsfard Ahmad</t>
        </is>
      </c>
      <c r="N565" t="inlineStr">
        <is>
          <t>Moradnoori Parinaz</t>
        </is>
      </c>
      <c r="O565" s="42" t="n">
        <v>45979.51174768519</v>
      </c>
      <c r="Q565" s="42" t="n">
        <v>45979.51174768519</v>
      </c>
      <c r="S565" t="n">
        <v>0</v>
      </c>
      <c r="T565" s="42" t="n">
        <v>45979.51174768519</v>
      </c>
      <c r="Z565" s="42" t="n">
        <v>45979.51174768519</v>
      </c>
      <c r="AA565" t="n">
        <v>0</v>
      </c>
      <c r="AD565" t="n">
        <v>2</v>
      </c>
      <c r="AE565" t="n">
        <v>2</v>
      </c>
      <c r="AF565" t="n">
        <v>0</v>
      </c>
      <c r="AI565" t="n">
        <v>0</v>
      </c>
      <c r="AJ565" t="n">
        <v>0</v>
      </c>
      <c r="AK565" t="n">
        <v>0</v>
      </c>
      <c r="AL565" t="n">
        <v>0</v>
      </c>
      <c r="AN565" t="n">
        <v>0</v>
      </c>
      <c r="AO565" t="n">
        <v>0</v>
      </c>
      <c r="AP565" t="n">
        <v>0</v>
      </c>
      <c r="AQ565" t="n">
        <v>24</v>
      </c>
      <c r="AR565" t="n">
        <v>0</v>
      </c>
    </row>
    <row r="566">
      <c r="A566" t="n">
        <v>194848</v>
      </c>
      <c r="B566" t="inlineStr">
        <is>
          <t>عدم قرارگیری ستون تعداد قطعات در گرید لیست پلاک‌های داخل محدوده طرح هادی</t>
        </is>
      </c>
      <c r="D566" t="inlineStr">
        <is>
          <t>Medium</t>
        </is>
      </c>
      <c r="E566" t="n">
        <v>1</v>
      </c>
      <c r="F566" t="inlineStr">
        <is>
          <t>Closed</t>
        </is>
      </c>
      <c r="G566" t="inlineStr">
        <is>
          <t>Other</t>
        </is>
      </c>
      <c r="I566" t="inlineStr">
        <is>
          <t>Bizagi_Team</t>
        </is>
      </c>
      <c r="J566" t="inlineStr">
        <is>
          <t>SAJAK</t>
        </is>
      </c>
      <c r="K566" t="inlineStr">
        <is>
          <t>Estate_Sprint 44</t>
        </is>
      </c>
      <c r="M566" t="inlineStr">
        <is>
          <t>Zeynali Masoud</t>
        </is>
      </c>
      <c r="N566" t="inlineStr">
        <is>
          <t>Moradnoori Parinaz</t>
        </is>
      </c>
      <c r="O566" s="42" t="n">
        <v>45986.54274305556</v>
      </c>
      <c r="Q566" s="42" t="n">
        <v>45986.54274305556</v>
      </c>
      <c r="S566" t="n">
        <v>0</v>
      </c>
      <c r="T566" s="42" t="n">
        <v>45986.54274305556</v>
      </c>
      <c r="Z566" s="42" t="n">
        <v>45986.54274305556</v>
      </c>
      <c r="AA566" t="n">
        <v>0</v>
      </c>
      <c r="AD566" t="n">
        <v>2</v>
      </c>
      <c r="AE566" t="n">
        <v>2</v>
      </c>
      <c r="AF566" t="n">
        <v>0</v>
      </c>
      <c r="AI566" t="n">
        <v>0</v>
      </c>
      <c r="AJ566" t="n">
        <v>0</v>
      </c>
      <c r="AK566" t="n">
        <v>0</v>
      </c>
      <c r="AL566" t="n">
        <v>0</v>
      </c>
      <c r="AN566" t="n">
        <v>0</v>
      </c>
      <c r="AO566" t="n">
        <v>0</v>
      </c>
      <c r="AP566" t="n">
        <v>0</v>
      </c>
      <c r="AQ566" t="n">
        <v>24</v>
      </c>
      <c r="AR566" t="n">
        <v>0</v>
      </c>
    </row>
    <row r="567">
      <c r="A567" t="n">
        <v>194849</v>
      </c>
      <c r="B567" t="inlineStr">
        <is>
          <t xml:space="preserve">AE_SAJA\\ ایجاد چندین درخواست خالی بی دلیل در منو </t>
        </is>
      </c>
      <c r="D567" t="inlineStr">
        <is>
          <t>Medium</t>
        </is>
      </c>
      <c r="E567" t="n">
        <v>2</v>
      </c>
      <c r="F567" t="inlineStr">
        <is>
          <t>Closed</t>
        </is>
      </c>
      <c r="G567" t="inlineStr">
        <is>
          <t>Other</t>
        </is>
      </c>
      <c r="J567" t="inlineStr">
        <is>
          <t>Infrastructure Bizagi Extension</t>
        </is>
      </c>
      <c r="K567" t="inlineStr">
        <is>
          <t>SP-87</t>
        </is>
      </c>
      <c r="L567" t="inlineStr">
        <is>
          <t>Completed</t>
        </is>
      </c>
      <c r="M567" t="inlineStr">
        <is>
          <t>Nemati Hasan</t>
        </is>
      </c>
      <c r="N567" t="inlineStr">
        <is>
          <t>Kalaei Saman</t>
        </is>
      </c>
      <c r="O567" s="42" t="n">
        <v>46004.68542824074</v>
      </c>
      <c r="Q567" s="42" t="n">
        <v>46004.68542824074</v>
      </c>
      <c r="S567" t="n">
        <v>0</v>
      </c>
      <c r="T567" s="42" t="n">
        <v>46004.68542824074</v>
      </c>
      <c r="Z567" s="42" t="n">
        <v>46004.68542824074</v>
      </c>
      <c r="AA567" t="n">
        <v>0</v>
      </c>
      <c r="AD567" t="n">
        <v>2</v>
      </c>
      <c r="AE567" t="n">
        <v>2</v>
      </c>
      <c r="AF567" t="n">
        <v>0</v>
      </c>
      <c r="AI567" t="n">
        <v>0</v>
      </c>
      <c r="AJ567" t="n">
        <v>0</v>
      </c>
      <c r="AK567" t="n">
        <v>0</v>
      </c>
      <c r="AL567" t="n">
        <v>0</v>
      </c>
      <c r="AN567" t="n">
        <v>0</v>
      </c>
      <c r="AO567" t="n">
        <v>0</v>
      </c>
      <c r="AP567" t="n">
        <v>0</v>
      </c>
      <c r="AQ567" t="n">
        <v>24</v>
      </c>
      <c r="AR567" t="n">
        <v>0</v>
      </c>
    </row>
    <row r="568">
      <c r="A568" t="n">
        <v>194850</v>
      </c>
      <c r="B568" t="inlineStr">
        <is>
          <t xml:space="preserve">درج تاریخ ثبت به جای تاریخ در تب تاریخچه پی نوشت </t>
        </is>
      </c>
      <c r="D568" t="inlineStr">
        <is>
          <t>Medium</t>
        </is>
      </c>
      <c r="E568" t="n">
        <v>4</v>
      </c>
      <c r="F568" t="inlineStr">
        <is>
          <t>Closed</t>
        </is>
      </c>
      <c r="G568" t="inlineStr">
        <is>
          <t>Other</t>
        </is>
      </c>
      <c r="I568" t="inlineStr">
        <is>
          <t>Bizagi_Team</t>
        </is>
      </c>
      <c r="J568" t="inlineStr">
        <is>
          <t>SAJAK</t>
        </is>
      </c>
      <c r="K568" t="inlineStr">
        <is>
          <t>Estate_Sprint 44</t>
        </is>
      </c>
      <c r="M568" t="inlineStr">
        <is>
          <t>Kalaei Saman</t>
        </is>
      </c>
      <c r="N568" t="inlineStr">
        <is>
          <t>Moradnoori Parinaz</t>
        </is>
      </c>
      <c r="O568" s="42" t="n">
        <v>45978.41011574074</v>
      </c>
      <c r="Q568" s="42" t="n">
        <v>45978.41011574074</v>
      </c>
      <c r="S568" t="n">
        <v>0</v>
      </c>
      <c r="T568" s="42" t="n">
        <v>45978.41011574074</v>
      </c>
      <c r="Z568" s="42" t="n">
        <v>45978.41011574074</v>
      </c>
      <c r="AA568" t="n">
        <v>0</v>
      </c>
      <c r="AD568" t="n">
        <v>2</v>
      </c>
      <c r="AE568" t="n">
        <v>2</v>
      </c>
      <c r="AF568" t="n">
        <v>0</v>
      </c>
      <c r="AI568" t="n">
        <v>0</v>
      </c>
      <c r="AJ568" t="n">
        <v>0</v>
      </c>
      <c r="AK568" t="n">
        <v>0</v>
      </c>
      <c r="AL568" t="n">
        <v>0</v>
      </c>
      <c r="AN568" t="n">
        <v>0</v>
      </c>
      <c r="AO568" t="n">
        <v>0</v>
      </c>
      <c r="AP568" t="n">
        <v>0</v>
      </c>
      <c r="AQ568" t="n">
        <v>24</v>
      </c>
      <c r="AR568" t="n">
        <v>0</v>
      </c>
    </row>
    <row r="569">
      <c r="A569" t="n">
        <v>194852</v>
      </c>
      <c r="B569" t="inlineStr">
        <is>
          <t xml:space="preserve">درج پلاک در تایتل به صورت اعلامی </t>
        </is>
      </c>
      <c r="D569" t="inlineStr">
        <is>
          <t>Medium</t>
        </is>
      </c>
      <c r="E569" t="n">
        <v>4</v>
      </c>
      <c r="F569" t="inlineStr">
        <is>
          <t>Closed</t>
        </is>
      </c>
      <c r="G569" t="inlineStr">
        <is>
          <t>Other</t>
        </is>
      </c>
      <c r="I569" t="inlineStr">
        <is>
          <t>Bizagi_Team</t>
        </is>
      </c>
      <c r="J569" t="inlineStr">
        <is>
          <t>SAJAK</t>
        </is>
      </c>
      <c r="K569" t="inlineStr">
        <is>
          <t>Estate_Sprint 44</t>
        </is>
      </c>
      <c r="M569" t="inlineStr">
        <is>
          <t>Shamsfard Ahmad</t>
        </is>
      </c>
      <c r="N569" t="inlineStr">
        <is>
          <t>Moradnoori Parinaz</t>
        </is>
      </c>
      <c r="O569" s="42" t="n">
        <v>45977.70418981482</v>
      </c>
      <c r="Q569" s="42" t="n">
        <v>45977.70418981482</v>
      </c>
      <c r="S569" t="n">
        <v>0</v>
      </c>
      <c r="T569" s="42" t="n">
        <v>45977.70418981482</v>
      </c>
      <c r="Z569" s="42" t="n">
        <v>45977.70418981482</v>
      </c>
      <c r="AA569" t="n">
        <v>0</v>
      </c>
      <c r="AD569" t="n">
        <v>2</v>
      </c>
      <c r="AE569" t="n">
        <v>2</v>
      </c>
      <c r="AF569" t="n">
        <v>0</v>
      </c>
      <c r="AI569" t="n">
        <v>0</v>
      </c>
      <c r="AJ569" t="n">
        <v>0</v>
      </c>
      <c r="AK569" t="n">
        <v>0</v>
      </c>
      <c r="AL569" t="n">
        <v>0</v>
      </c>
      <c r="AN569" t="n">
        <v>0</v>
      </c>
      <c r="AO569" t="n">
        <v>0</v>
      </c>
      <c r="AP569" t="n">
        <v>0</v>
      </c>
      <c r="AQ569" t="n">
        <v>24</v>
      </c>
      <c r="AR569" t="n">
        <v>0</v>
      </c>
    </row>
    <row r="570">
      <c r="A570" t="n">
        <v>194858</v>
      </c>
      <c r="B570" t="inlineStr">
        <is>
          <t xml:space="preserve">جای گزینی اسم مستندات رخداد به جای مستندات پلاک </t>
        </is>
      </c>
      <c r="D570" t="inlineStr">
        <is>
          <t>Medium</t>
        </is>
      </c>
      <c r="E570" t="n">
        <v>4</v>
      </c>
      <c r="F570" t="inlineStr">
        <is>
          <t>Closed</t>
        </is>
      </c>
      <c r="G570" t="inlineStr">
        <is>
          <t>Other</t>
        </is>
      </c>
      <c r="I570" t="inlineStr">
        <is>
          <t>Bizagi_Team</t>
        </is>
      </c>
      <c r="J570" t="inlineStr">
        <is>
          <t>SAJAK</t>
        </is>
      </c>
      <c r="K570" t="inlineStr">
        <is>
          <t>Estate_Sprint 44</t>
        </is>
      </c>
      <c r="M570" t="inlineStr">
        <is>
          <t>Shamsfard Ahmad</t>
        </is>
      </c>
      <c r="N570" t="inlineStr">
        <is>
          <t>Moradnoori Parinaz</t>
        </is>
      </c>
      <c r="O570" s="42" t="n">
        <v>45977.77373842592</v>
      </c>
      <c r="Q570" s="42" t="n">
        <v>45977.77373842592</v>
      </c>
      <c r="S570" t="n">
        <v>0</v>
      </c>
      <c r="T570" s="42" t="n">
        <v>45977.77373842592</v>
      </c>
      <c r="Z570" s="42" t="n">
        <v>45977.77373842592</v>
      </c>
      <c r="AA570" t="n">
        <v>0</v>
      </c>
      <c r="AD570" t="n">
        <v>2</v>
      </c>
      <c r="AE570" t="n">
        <v>2</v>
      </c>
      <c r="AF570" t="n">
        <v>0</v>
      </c>
      <c r="AI570" t="n">
        <v>0</v>
      </c>
      <c r="AJ570" t="n">
        <v>0</v>
      </c>
      <c r="AK570" t="n">
        <v>0</v>
      </c>
      <c r="AL570" t="n">
        <v>0</v>
      </c>
      <c r="AN570" t="n">
        <v>0</v>
      </c>
      <c r="AO570" t="n">
        <v>0</v>
      </c>
      <c r="AP570" t="n">
        <v>0</v>
      </c>
      <c r="AQ570" t="n">
        <v>24</v>
      </c>
      <c r="AR570" t="n">
        <v>0</v>
      </c>
    </row>
    <row r="571">
      <c r="A571" t="n">
        <v>194859</v>
      </c>
      <c r="B571" t="inlineStr">
        <is>
          <t>جای گذاری فیلدها به نوعی که نیاز به scroll down  نباشد</t>
        </is>
      </c>
      <c r="D571" t="inlineStr">
        <is>
          <t>Medium</t>
        </is>
      </c>
      <c r="E571" t="n">
        <v>4</v>
      </c>
      <c r="F571" t="inlineStr">
        <is>
          <t>Closed</t>
        </is>
      </c>
      <c r="G571" t="inlineStr">
        <is>
          <t>Other</t>
        </is>
      </c>
      <c r="I571" t="inlineStr">
        <is>
          <t>Bizagi_Team</t>
        </is>
      </c>
      <c r="J571" t="inlineStr">
        <is>
          <t>SAJAK</t>
        </is>
      </c>
      <c r="K571" t="inlineStr">
        <is>
          <t>Estate_Sprint 44</t>
        </is>
      </c>
      <c r="M571" t="inlineStr">
        <is>
          <t>Taleb Amirreza</t>
        </is>
      </c>
      <c r="N571" t="inlineStr">
        <is>
          <t>Moradnoori Parinaz</t>
        </is>
      </c>
      <c r="O571" s="42" t="n">
        <v>45992.59928240741</v>
      </c>
      <c r="Q571" s="42" t="n">
        <v>45992.59928240741</v>
      </c>
      <c r="S571" t="n">
        <v>0</v>
      </c>
      <c r="T571" s="42" t="n">
        <v>45992.59928240741</v>
      </c>
      <c r="Z571" s="42" t="n">
        <v>45992.59928240741</v>
      </c>
      <c r="AA571" t="n">
        <v>0</v>
      </c>
      <c r="AD571" t="n">
        <v>2</v>
      </c>
      <c r="AE571" t="n">
        <v>2</v>
      </c>
      <c r="AF571" t="n">
        <v>0</v>
      </c>
      <c r="AI571" t="n">
        <v>0</v>
      </c>
      <c r="AJ571" t="n">
        <v>0</v>
      </c>
      <c r="AK571" t="n">
        <v>0</v>
      </c>
      <c r="AL571" t="n">
        <v>0</v>
      </c>
      <c r="AN571" t="n">
        <v>0</v>
      </c>
      <c r="AO571" t="n">
        <v>0</v>
      </c>
      <c r="AP571" t="n">
        <v>0</v>
      </c>
      <c r="AQ571" t="n">
        <v>24</v>
      </c>
      <c r="AR571" t="n">
        <v>0</v>
      </c>
    </row>
    <row r="572">
      <c r="A572" t="n">
        <v>194867</v>
      </c>
      <c r="B572" t="inlineStr">
        <is>
          <t xml:space="preserve">مغایرت در فیلد داخل نوع رخداد در داده آمایی جریان ثبتی پلاک های ثبت شده </t>
        </is>
      </c>
      <c r="D572" t="inlineStr">
        <is>
          <t>Medium</t>
        </is>
      </c>
      <c r="E572" t="n">
        <v>1</v>
      </c>
      <c r="F572" t="inlineStr">
        <is>
          <t>Closed</t>
        </is>
      </c>
      <c r="G572" t="inlineStr">
        <is>
          <t>Other</t>
        </is>
      </c>
      <c r="I572" t="inlineStr">
        <is>
          <t>Bizagi_Team</t>
        </is>
      </c>
      <c r="J572" t="inlineStr">
        <is>
          <t>SAJAK</t>
        </is>
      </c>
      <c r="K572" t="inlineStr">
        <is>
          <t>Estate_Sprint 44</t>
        </is>
      </c>
      <c r="M572" t="inlineStr">
        <is>
          <t>Tedadi Abbas</t>
        </is>
      </c>
      <c r="N572" t="inlineStr">
        <is>
          <t>Erfani Alireza</t>
        </is>
      </c>
      <c r="O572" s="42" t="n">
        <v>45998.48299768518</v>
      </c>
      <c r="Q572" s="42" t="n">
        <v>45998.48299768518</v>
      </c>
      <c r="S572" t="n">
        <v>0</v>
      </c>
      <c r="T572" s="42" t="n">
        <v>45998.48299768518</v>
      </c>
      <c r="Z572" s="42" t="n">
        <v>45998.48299768518</v>
      </c>
      <c r="AA572" t="n">
        <v>0</v>
      </c>
      <c r="AD572" t="n">
        <v>2</v>
      </c>
      <c r="AE572" t="n">
        <v>2</v>
      </c>
      <c r="AF572" t="n">
        <v>0</v>
      </c>
      <c r="AI572" t="n">
        <v>0</v>
      </c>
      <c r="AJ572" t="n">
        <v>0</v>
      </c>
      <c r="AK572" t="n">
        <v>0</v>
      </c>
      <c r="AL572" t="n">
        <v>0</v>
      </c>
      <c r="AN572" t="n">
        <v>0</v>
      </c>
      <c r="AO572" t="n">
        <v>0</v>
      </c>
      <c r="AP572" t="n">
        <v>0</v>
      </c>
      <c r="AQ572" t="n">
        <v>24</v>
      </c>
      <c r="AR572" t="n">
        <v>0</v>
      </c>
    </row>
    <row r="573">
      <c r="A573" t="n">
        <v>194868</v>
      </c>
      <c r="B573" t="inlineStr">
        <is>
          <t xml:space="preserve">عدم تطابق گزینه های دراپ دان نوع رخداد در داده آمایی جریان ثبتی پلاک های جاری در پروتوتایپ و پیاده سازی </t>
        </is>
      </c>
      <c r="D573" t="inlineStr">
        <is>
          <t>Medium</t>
        </is>
      </c>
      <c r="E573" t="n">
        <v>1</v>
      </c>
      <c r="F573" t="inlineStr">
        <is>
          <t>Closed</t>
        </is>
      </c>
      <c r="G573" t="inlineStr">
        <is>
          <t>Other</t>
        </is>
      </c>
      <c r="I573" t="inlineStr">
        <is>
          <t>Bizagi_Team</t>
        </is>
      </c>
      <c r="J573" t="inlineStr">
        <is>
          <t>SAJAK</t>
        </is>
      </c>
      <c r="K573" t="inlineStr">
        <is>
          <t>Estate_Sprint 44</t>
        </is>
      </c>
      <c r="L573" t="inlineStr">
        <is>
          <t>Completed</t>
        </is>
      </c>
      <c r="M573" t="inlineStr">
        <is>
          <t>Tedadi Abbas</t>
        </is>
      </c>
      <c r="N573" t="inlineStr">
        <is>
          <t>Erfani Alireza</t>
        </is>
      </c>
      <c r="O573" s="42" t="n">
        <v>46001.46351851852</v>
      </c>
      <c r="Q573" s="42" t="n">
        <v>46001.46351851852</v>
      </c>
      <c r="S573" t="n">
        <v>0</v>
      </c>
      <c r="T573" s="42" t="n">
        <v>46001.46351851852</v>
      </c>
      <c r="Z573" s="42" t="n">
        <v>46001.46351851852</v>
      </c>
      <c r="AA573" t="n">
        <v>0</v>
      </c>
      <c r="AD573" t="n">
        <v>2</v>
      </c>
      <c r="AE573" t="n">
        <v>2</v>
      </c>
      <c r="AF573" t="n">
        <v>0</v>
      </c>
      <c r="AI573" t="n">
        <v>0</v>
      </c>
      <c r="AJ573" t="n">
        <v>0</v>
      </c>
      <c r="AK573" t="n">
        <v>0</v>
      </c>
      <c r="AL573" t="n">
        <v>0</v>
      </c>
      <c r="AN573" t="n">
        <v>0</v>
      </c>
      <c r="AO573" t="n">
        <v>0</v>
      </c>
      <c r="AP573" t="n">
        <v>0</v>
      </c>
      <c r="AQ573" t="n">
        <v>24</v>
      </c>
      <c r="AR573" t="n">
        <v>0</v>
      </c>
    </row>
    <row r="574">
      <c r="A574" t="n">
        <v>194869</v>
      </c>
      <c r="B574" t="inlineStr">
        <is>
          <t xml:space="preserve">تغییر نام آیکون عملیات از ویرایش به تعیین وضعیت ثبتی </t>
        </is>
      </c>
      <c r="D574" t="inlineStr">
        <is>
          <t>Medium</t>
        </is>
      </c>
      <c r="E574" t="n">
        <v>4</v>
      </c>
      <c r="F574" t="inlineStr">
        <is>
          <t>Closed</t>
        </is>
      </c>
      <c r="G574" t="inlineStr">
        <is>
          <t>Other</t>
        </is>
      </c>
      <c r="I574" t="inlineStr">
        <is>
          <t>Bizagi_Team</t>
        </is>
      </c>
      <c r="J574" t="inlineStr">
        <is>
          <t>SAJAK</t>
        </is>
      </c>
      <c r="K574" t="inlineStr">
        <is>
          <t>Estate_Sprint 44</t>
        </is>
      </c>
      <c r="M574" t="inlineStr">
        <is>
          <t>Shamsfard Ahmad</t>
        </is>
      </c>
      <c r="N574" t="inlineStr">
        <is>
          <t>Moradnoori Parinaz</t>
        </is>
      </c>
      <c r="O574" s="42" t="n">
        <v>45979.4809837963</v>
      </c>
      <c r="Q574" s="42" t="n">
        <v>45979.4809837963</v>
      </c>
      <c r="S574" t="n">
        <v>0</v>
      </c>
      <c r="T574" s="42" t="n">
        <v>45979.4809837963</v>
      </c>
      <c r="Z574" s="42" t="n">
        <v>45979.4809837963</v>
      </c>
      <c r="AA574" t="n">
        <v>0</v>
      </c>
      <c r="AD574" t="n">
        <v>2</v>
      </c>
      <c r="AE574" t="n">
        <v>2</v>
      </c>
      <c r="AF574" t="n">
        <v>0</v>
      </c>
      <c r="AI574" t="n">
        <v>0</v>
      </c>
      <c r="AJ574" t="n">
        <v>0</v>
      </c>
      <c r="AK574" t="n">
        <v>0</v>
      </c>
      <c r="AL574" t="n">
        <v>0</v>
      </c>
      <c r="AN574" t="n">
        <v>0</v>
      </c>
      <c r="AO574" t="n">
        <v>0</v>
      </c>
      <c r="AP574" t="n">
        <v>0</v>
      </c>
      <c r="AQ574" t="n">
        <v>24</v>
      </c>
      <c r="AR574" t="n">
        <v>0</v>
      </c>
    </row>
    <row r="575">
      <c r="A575" t="n">
        <v>194870</v>
      </c>
      <c r="B575" t="inlineStr">
        <is>
          <t xml:space="preserve">عدم عملکرد درست کلید اضافه کردن </t>
        </is>
      </c>
      <c r="D575" t="inlineStr">
        <is>
          <t>Medium</t>
        </is>
      </c>
      <c r="E575" t="n">
        <v>3</v>
      </c>
      <c r="F575" t="inlineStr">
        <is>
          <t>Approved</t>
        </is>
      </c>
      <c r="G575" t="inlineStr">
        <is>
          <t>Other</t>
        </is>
      </c>
      <c r="I575" t="inlineStr">
        <is>
          <t>Bizagi_Team</t>
        </is>
      </c>
      <c r="J575" t="inlineStr">
        <is>
          <t>SAJAK</t>
        </is>
      </c>
      <c r="K575" t="inlineStr">
        <is>
          <t>Estate_Sprint 44</t>
        </is>
      </c>
      <c r="M575" t="inlineStr">
        <is>
          <t>Jafari Saeed</t>
        </is>
      </c>
      <c r="Q575" s="42" t="n">
        <v>45991.73358796296</v>
      </c>
      <c r="S575" t="n">
        <v>0</v>
      </c>
      <c r="T575" s="42" t="n">
        <v>45991.73358796296</v>
      </c>
      <c r="AA575" t="n">
        <v>0</v>
      </c>
      <c r="AD575" t="n">
        <v>2</v>
      </c>
      <c r="AE575" t="n">
        <v>2</v>
      </c>
      <c r="AF575" t="n">
        <v>0</v>
      </c>
      <c r="AI575" t="n">
        <v>0</v>
      </c>
      <c r="AJ575" t="n">
        <v>0</v>
      </c>
      <c r="AN575" t="n">
        <v>0</v>
      </c>
      <c r="AO575" t="n">
        <v>0</v>
      </c>
      <c r="AP575" t="n">
        <v>0</v>
      </c>
      <c r="AQ575" t="n">
        <v>24</v>
      </c>
      <c r="AR575" t="n">
        <v>0</v>
      </c>
    </row>
    <row r="576">
      <c r="A576" t="n">
        <v>194871</v>
      </c>
      <c r="B576" t="inlineStr">
        <is>
          <t xml:space="preserve">اضافی بودن ستون فعال در گرید پلاک ثبتی </t>
        </is>
      </c>
      <c r="D576" t="inlineStr">
        <is>
          <t>Medium</t>
        </is>
      </c>
      <c r="E576" t="n">
        <v>3</v>
      </c>
      <c r="F576" t="inlineStr">
        <is>
          <t>Closed</t>
        </is>
      </c>
      <c r="G576" t="inlineStr">
        <is>
          <t>Other</t>
        </is>
      </c>
      <c r="I576" t="inlineStr">
        <is>
          <t>Bizagi_Team</t>
        </is>
      </c>
      <c r="J576" t="inlineStr">
        <is>
          <t>SAJAK</t>
        </is>
      </c>
      <c r="K576" t="inlineStr">
        <is>
          <t>Estate_Sprint 44</t>
        </is>
      </c>
      <c r="M576" t="inlineStr">
        <is>
          <t>Kalaei Saman</t>
        </is>
      </c>
      <c r="N576" t="inlineStr">
        <is>
          <t>Moradnoori Parinaz</t>
        </is>
      </c>
      <c r="O576" s="42" t="n">
        <v>45978.40672453704</v>
      </c>
      <c r="Q576" s="42" t="n">
        <v>45978.40672453704</v>
      </c>
      <c r="S576" t="n">
        <v>0</v>
      </c>
      <c r="T576" s="42" t="n">
        <v>45978.40672453704</v>
      </c>
      <c r="Z576" s="42" t="n">
        <v>45978.40672453704</v>
      </c>
      <c r="AA576" t="n">
        <v>0</v>
      </c>
      <c r="AD576" t="n">
        <v>2</v>
      </c>
      <c r="AE576" t="n">
        <v>2</v>
      </c>
      <c r="AF576" t="n">
        <v>0</v>
      </c>
      <c r="AI576" t="n">
        <v>0</v>
      </c>
      <c r="AJ576" t="n">
        <v>0</v>
      </c>
      <c r="AK576" t="n">
        <v>0</v>
      </c>
      <c r="AL576" t="n">
        <v>0</v>
      </c>
      <c r="AN576" t="n">
        <v>0</v>
      </c>
      <c r="AO576" t="n">
        <v>0</v>
      </c>
      <c r="AP576" t="n">
        <v>0</v>
      </c>
      <c r="AQ576" t="n">
        <v>24</v>
      </c>
      <c r="AR576" t="n">
        <v>0</v>
      </c>
    </row>
    <row r="577">
      <c r="A577" t="n">
        <v>194874</v>
      </c>
      <c r="B577" t="inlineStr">
        <is>
          <t xml:space="preserve">آیکون نامه در بالای صفحه </t>
        </is>
      </c>
      <c r="D577" t="inlineStr">
        <is>
          <t>Medium</t>
        </is>
      </c>
      <c r="E577" t="n">
        <v>4</v>
      </c>
      <c r="F577" t="inlineStr">
        <is>
          <t>Closed</t>
        </is>
      </c>
      <c r="G577" t="inlineStr">
        <is>
          <t>Other</t>
        </is>
      </c>
      <c r="I577" t="inlineStr">
        <is>
          <t>Bizagi_Team</t>
        </is>
      </c>
      <c r="J577" t="inlineStr">
        <is>
          <t>SAJAK</t>
        </is>
      </c>
      <c r="K577" t="inlineStr">
        <is>
          <t>Estate_Sprint 44</t>
        </is>
      </c>
      <c r="M577" t="inlineStr">
        <is>
          <t>Taleb Amirreza</t>
        </is>
      </c>
      <c r="N577" t="inlineStr">
        <is>
          <t>Moradnoori Parinaz</t>
        </is>
      </c>
      <c r="O577" s="42" t="n">
        <v>45992.5606712963</v>
      </c>
      <c r="Q577" s="42" t="n">
        <v>45992.5606712963</v>
      </c>
      <c r="S577" t="n">
        <v>0</v>
      </c>
      <c r="T577" s="42" t="n">
        <v>45992.5606712963</v>
      </c>
      <c r="Z577" s="42" t="n">
        <v>45992.5606712963</v>
      </c>
      <c r="AA577" t="n">
        <v>0</v>
      </c>
      <c r="AD577" t="n">
        <v>2</v>
      </c>
      <c r="AE577" t="n">
        <v>2</v>
      </c>
      <c r="AF577" t="n">
        <v>0</v>
      </c>
      <c r="AI577" t="n">
        <v>0</v>
      </c>
      <c r="AJ577" t="n">
        <v>0</v>
      </c>
      <c r="AK577" t="n">
        <v>0</v>
      </c>
      <c r="AL577" t="n">
        <v>0</v>
      </c>
      <c r="AN577" t="n">
        <v>0</v>
      </c>
      <c r="AO577" t="n">
        <v>0</v>
      </c>
      <c r="AP577" t="n">
        <v>0</v>
      </c>
      <c r="AQ577" t="n">
        <v>24</v>
      </c>
      <c r="AR577" t="n">
        <v>0</v>
      </c>
    </row>
    <row r="578">
      <c r="A578" t="n">
        <v>194875</v>
      </c>
      <c r="B578" t="inlineStr">
        <is>
          <t xml:space="preserve">عدم عملکرد فیلترینگ ستون ها در کارتابل </t>
        </is>
      </c>
      <c r="D578" t="inlineStr">
        <is>
          <t>Medium</t>
        </is>
      </c>
      <c r="E578" t="n">
        <v>4</v>
      </c>
      <c r="F578" t="inlineStr">
        <is>
          <t>Closed</t>
        </is>
      </c>
      <c r="G578" t="inlineStr">
        <is>
          <t>Other</t>
        </is>
      </c>
      <c r="I578" t="inlineStr">
        <is>
          <t>Bizagi_Team</t>
        </is>
      </c>
      <c r="J578" t="inlineStr">
        <is>
          <t>SAJAK</t>
        </is>
      </c>
      <c r="K578" t="inlineStr">
        <is>
          <t>Estate_Sprint 44</t>
        </is>
      </c>
      <c r="M578" t="inlineStr">
        <is>
          <t>Zeynali Masoud</t>
        </is>
      </c>
      <c r="N578" t="inlineStr">
        <is>
          <t>Moradnoori Parinaz</t>
        </is>
      </c>
      <c r="O578" s="42" t="n">
        <v>45978.40532407408</v>
      </c>
      <c r="Q578" s="42" t="n">
        <v>45978.40532407408</v>
      </c>
      <c r="S578" t="n">
        <v>0</v>
      </c>
      <c r="T578" s="42" t="n">
        <v>45978.40532407408</v>
      </c>
      <c r="Z578" s="42" t="n">
        <v>45978.40532407408</v>
      </c>
      <c r="AA578" t="n">
        <v>0</v>
      </c>
      <c r="AD578" t="n">
        <v>2</v>
      </c>
      <c r="AE578" t="n">
        <v>2</v>
      </c>
      <c r="AF578" t="n">
        <v>0</v>
      </c>
      <c r="AI578" t="n">
        <v>0</v>
      </c>
      <c r="AJ578" t="n">
        <v>0</v>
      </c>
      <c r="AK578" t="n">
        <v>0</v>
      </c>
      <c r="AL578" t="n">
        <v>0</v>
      </c>
      <c r="AN578" t="n">
        <v>0</v>
      </c>
      <c r="AO578" t="n">
        <v>0</v>
      </c>
      <c r="AP578" t="n">
        <v>0</v>
      </c>
      <c r="AQ578" t="n">
        <v>24</v>
      </c>
      <c r="AR578" t="n">
        <v>0</v>
      </c>
    </row>
    <row r="579">
      <c r="A579" t="n">
        <v>194899</v>
      </c>
      <c r="B579" t="inlineStr">
        <is>
          <t>MOM1-برگزاری جلسه- ثبت پرونده تکراری</t>
        </is>
      </c>
      <c r="D579" t="inlineStr">
        <is>
          <t>Medium</t>
        </is>
      </c>
      <c r="E579" t="n">
        <v>2</v>
      </c>
      <c r="F579" t="inlineStr">
        <is>
          <t>Removed</t>
        </is>
      </c>
      <c r="G579" t="inlineStr">
        <is>
          <t>Other</t>
        </is>
      </c>
      <c r="I579" t="inlineStr">
        <is>
          <t>Bizagi_Team</t>
        </is>
      </c>
      <c r="J579" t="inlineStr">
        <is>
          <t>SAJAK</t>
        </is>
      </c>
      <c r="K579" t="inlineStr">
        <is>
          <t>Estate_Sprint 44</t>
        </is>
      </c>
      <c r="M579" t="inlineStr">
        <is>
          <t>Tedadi Abbas</t>
        </is>
      </c>
      <c r="Q579" s="42" t="n">
        <v>45972.55791666666</v>
      </c>
      <c r="S579" t="n">
        <v>0</v>
      </c>
      <c r="T579" s="42" t="n">
        <v>45972.55791666666</v>
      </c>
      <c r="AA579" t="n">
        <v>0</v>
      </c>
      <c r="AD579" t="n">
        <v>2</v>
      </c>
      <c r="AE579" t="n">
        <v>2</v>
      </c>
      <c r="AF579" t="n">
        <v>0</v>
      </c>
      <c r="AI579" t="n">
        <v>0</v>
      </c>
      <c r="AJ579" t="n">
        <v>0</v>
      </c>
      <c r="AN579" t="n">
        <v>0</v>
      </c>
      <c r="AO579" t="n">
        <v>0</v>
      </c>
      <c r="AP579" t="n">
        <v>0</v>
      </c>
      <c r="AQ579" t="n">
        <v>24</v>
      </c>
      <c r="AR579" t="n">
        <v>0</v>
      </c>
    </row>
    <row r="580">
      <c r="A580" t="n">
        <v>194900</v>
      </c>
      <c r="B580" t="inlineStr">
        <is>
          <t>برگزاری جلسه هیات - محل برگزاری</t>
        </is>
      </c>
      <c r="D580" t="inlineStr">
        <is>
          <t>Medium</t>
        </is>
      </c>
      <c r="E580" t="n">
        <v>2</v>
      </c>
      <c r="F580" t="inlineStr">
        <is>
          <t>Closed</t>
        </is>
      </c>
      <c r="G580" t="inlineStr">
        <is>
          <t>Other</t>
        </is>
      </c>
      <c r="I580" t="inlineStr">
        <is>
          <t>Bizagi_Team</t>
        </is>
      </c>
      <c r="J580" t="inlineStr">
        <is>
          <t>SAJAK</t>
        </is>
      </c>
      <c r="K580" t="inlineStr">
        <is>
          <t>Estate_Sprint 44</t>
        </is>
      </c>
      <c r="M580" t="inlineStr">
        <is>
          <t>Tedadi Abbas</t>
        </is>
      </c>
      <c r="N580" t="inlineStr">
        <is>
          <t>Moradnoori Parinaz</t>
        </is>
      </c>
      <c r="O580" s="42" t="n">
        <v>46000.6772337963</v>
      </c>
      <c r="Q580" s="42" t="n">
        <v>46000.6772337963</v>
      </c>
      <c r="S580" t="n">
        <v>0</v>
      </c>
      <c r="T580" s="42" t="n">
        <v>46000.6772337963</v>
      </c>
      <c r="Z580" s="42" t="n">
        <v>46000.6772337963</v>
      </c>
      <c r="AA580" t="n">
        <v>0</v>
      </c>
      <c r="AD580" t="n">
        <v>2</v>
      </c>
      <c r="AE580" t="n">
        <v>2</v>
      </c>
      <c r="AF580" t="n">
        <v>0</v>
      </c>
      <c r="AI580" t="n">
        <v>0</v>
      </c>
      <c r="AJ580" t="n">
        <v>0</v>
      </c>
      <c r="AK580" t="n">
        <v>0</v>
      </c>
      <c r="AL580" t="n">
        <v>0</v>
      </c>
      <c r="AN580" t="n">
        <v>0</v>
      </c>
      <c r="AO580" t="n">
        <v>0</v>
      </c>
      <c r="AP580" t="n">
        <v>0</v>
      </c>
      <c r="AQ580" t="n">
        <v>24</v>
      </c>
      <c r="AR580" t="n">
        <v>0</v>
      </c>
    </row>
    <row r="581">
      <c r="A581" t="n">
        <v>194901</v>
      </c>
      <c r="B581" t="inlineStr">
        <is>
          <t xml:space="preserve">MOM01-برگزاری جلسه-نتیجه رای هیات خالی است </t>
        </is>
      </c>
      <c r="D581" t="inlineStr">
        <is>
          <t>Medium</t>
        </is>
      </c>
      <c r="E581" t="n">
        <v>2</v>
      </c>
      <c r="F581" t="inlineStr">
        <is>
          <t>Closed</t>
        </is>
      </c>
      <c r="G581" t="inlineStr">
        <is>
          <t>Other</t>
        </is>
      </c>
      <c r="I581" t="inlineStr">
        <is>
          <t>Bizagi_Team</t>
        </is>
      </c>
      <c r="J581" t="inlineStr">
        <is>
          <t>SAJAK</t>
        </is>
      </c>
      <c r="K581" t="inlineStr">
        <is>
          <t>Estate_Sprint 44</t>
        </is>
      </c>
      <c r="M581" t="inlineStr">
        <is>
          <t>Tedadi Abbas</t>
        </is>
      </c>
      <c r="N581" t="inlineStr">
        <is>
          <t>Mousavi Azadeh</t>
        </is>
      </c>
      <c r="O581" s="42" t="n">
        <v>45977.56447916666</v>
      </c>
      <c r="Q581" s="42" t="n">
        <v>45977.56447916666</v>
      </c>
      <c r="S581" t="n">
        <v>0</v>
      </c>
      <c r="T581" s="42" t="n">
        <v>45977.56447916666</v>
      </c>
      <c r="Z581" s="42" t="n">
        <v>45977.56447916666</v>
      </c>
      <c r="AA581" t="n">
        <v>0</v>
      </c>
      <c r="AD581" t="n">
        <v>2</v>
      </c>
      <c r="AE581" t="n">
        <v>2</v>
      </c>
      <c r="AF581" t="n">
        <v>0</v>
      </c>
      <c r="AI581" t="n">
        <v>0</v>
      </c>
      <c r="AJ581" t="n">
        <v>0</v>
      </c>
      <c r="AK581" t="n">
        <v>0</v>
      </c>
      <c r="AL581" t="n">
        <v>0</v>
      </c>
      <c r="AN581" t="n">
        <v>0</v>
      </c>
      <c r="AO581" t="n">
        <v>0</v>
      </c>
      <c r="AP581" t="n">
        <v>0</v>
      </c>
      <c r="AQ581" t="n">
        <v>24</v>
      </c>
      <c r="AR581" t="n">
        <v>0</v>
      </c>
    </row>
    <row r="582">
      <c r="A582" t="n">
        <v>194909</v>
      </c>
      <c r="B582" t="inlineStr">
        <is>
          <t>AE_SAJA\\ نکست نشدن فرم اصلاح رای هیئت</t>
        </is>
      </c>
      <c r="D582" t="inlineStr">
        <is>
          <t>Medium</t>
        </is>
      </c>
      <c r="E582" t="n">
        <v>1</v>
      </c>
      <c r="F582" t="inlineStr">
        <is>
          <t>Closed</t>
        </is>
      </c>
      <c r="G582" t="inlineStr">
        <is>
          <t>Other</t>
        </is>
      </c>
      <c r="J582" t="inlineStr">
        <is>
          <t>Infrastructure Bizagi Extension</t>
        </is>
      </c>
      <c r="K582" t="inlineStr">
        <is>
          <t>SP-86</t>
        </is>
      </c>
      <c r="M582" t="inlineStr">
        <is>
          <t>Nemati Hasan</t>
        </is>
      </c>
      <c r="N582" t="inlineStr">
        <is>
          <t>Kalaei Saman</t>
        </is>
      </c>
      <c r="O582" s="42" t="n">
        <v>45998.61913194445</v>
      </c>
      <c r="Q582" s="42" t="n">
        <v>45998.61913194445</v>
      </c>
      <c r="S582" t="n">
        <v>0</v>
      </c>
      <c r="T582" s="42" t="n">
        <v>45998.61913194445</v>
      </c>
      <c r="Z582" s="42" t="n">
        <v>45998.61913194445</v>
      </c>
      <c r="AA582" t="n">
        <v>0</v>
      </c>
      <c r="AD582" t="n">
        <v>2</v>
      </c>
      <c r="AE582" t="n">
        <v>2</v>
      </c>
      <c r="AF582" t="n">
        <v>0</v>
      </c>
      <c r="AI582" t="n">
        <v>0</v>
      </c>
      <c r="AJ582" t="n">
        <v>0</v>
      </c>
      <c r="AK582" t="n">
        <v>0</v>
      </c>
      <c r="AL582" t="n">
        <v>0</v>
      </c>
      <c r="AN582" t="n">
        <v>0</v>
      </c>
      <c r="AO582" t="n">
        <v>0</v>
      </c>
      <c r="AP582" t="n">
        <v>0</v>
      </c>
      <c r="AQ582" t="n">
        <v>24</v>
      </c>
      <c r="AR582" t="n">
        <v>0</v>
      </c>
    </row>
    <row r="583">
      <c r="A583" t="n">
        <v>194911</v>
      </c>
      <c r="B583" t="inlineStr">
        <is>
          <t>ویو سامانه در حالت wide size - NFWARCH</t>
        </is>
      </c>
      <c r="D583" t="inlineStr">
        <is>
          <t>Medium</t>
        </is>
      </c>
      <c r="E583" t="n">
        <v>2</v>
      </c>
      <c r="F583" t="inlineStr">
        <is>
          <t>Closed</t>
        </is>
      </c>
      <c r="G583" t="inlineStr">
        <is>
          <t>Other</t>
        </is>
      </c>
      <c r="J583" t="inlineStr">
        <is>
          <t>Infrastructure Bizagi Extension</t>
        </is>
      </c>
      <c r="K583" t="inlineStr">
        <is>
          <t>SP-87</t>
        </is>
      </c>
      <c r="M583" t="inlineStr">
        <is>
          <t>Jafari Saeed</t>
        </is>
      </c>
      <c r="N583" t="inlineStr">
        <is>
          <t>Sharifi Shayan</t>
        </is>
      </c>
      <c r="O583" s="42" t="n">
        <v>45992.65018518519</v>
      </c>
      <c r="Q583" s="42" t="n">
        <v>45992.65018518519</v>
      </c>
      <c r="S583" t="n">
        <v>0</v>
      </c>
      <c r="T583" s="42" t="n">
        <v>45992.65018518519</v>
      </c>
      <c r="Z583" s="42" t="n">
        <v>45992.65018518519</v>
      </c>
      <c r="AA583" t="n">
        <v>0</v>
      </c>
      <c r="AD583" t="n">
        <v>2</v>
      </c>
      <c r="AE583" t="n">
        <v>2</v>
      </c>
      <c r="AF583" t="n">
        <v>0</v>
      </c>
      <c r="AI583" t="n">
        <v>0</v>
      </c>
      <c r="AJ583" t="n">
        <v>0</v>
      </c>
      <c r="AK583" t="n">
        <v>0</v>
      </c>
      <c r="AL583" t="n">
        <v>0</v>
      </c>
      <c r="AN583" t="n">
        <v>0</v>
      </c>
      <c r="AO583" t="n">
        <v>0</v>
      </c>
      <c r="AP583" t="n">
        <v>0</v>
      </c>
      <c r="AQ583" t="n">
        <v>24</v>
      </c>
      <c r="AR583" t="n">
        <v>0</v>
      </c>
    </row>
    <row r="584">
      <c r="A584" t="n">
        <v>194934</v>
      </c>
      <c r="B584" t="inlineStr">
        <is>
          <t>درخواست بازیابی اسناد - کنترل عدم ثبت اسناد درخواستی تکراری در جدول موجود در فرم ثبت</t>
        </is>
      </c>
      <c r="D584" t="inlineStr">
        <is>
          <t>Medium</t>
        </is>
      </c>
      <c r="E584" t="n">
        <v>1</v>
      </c>
      <c r="F584" t="inlineStr">
        <is>
          <t>Ready for Retest</t>
        </is>
      </c>
      <c r="G584" t="inlineStr">
        <is>
          <t>Other</t>
        </is>
      </c>
      <c r="J584" t="inlineStr">
        <is>
          <t>Stagnant Archive</t>
        </is>
      </c>
      <c r="K584" t="inlineStr">
        <is>
          <t>Sp_23</t>
        </is>
      </c>
      <c r="M584" t="inlineStr">
        <is>
          <t>Homayoun Mohammad</t>
        </is>
      </c>
      <c r="Q584" s="42" t="n">
        <v>46015.65694444445</v>
      </c>
      <c r="S584" t="n">
        <v>0</v>
      </c>
      <c r="T584" s="42" t="n">
        <v>46015.65694444445</v>
      </c>
      <c r="AA584" t="n">
        <v>0</v>
      </c>
      <c r="AD584" t="n">
        <v>2</v>
      </c>
      <c r="AE584" t="n">
        <v>2</v>
      </c>
      <c r="AF584" t="n">
        <v>0</v>
      </c>
      <c r="AI584" t="n">
        <v>0</v>
      </c>
      <c r="AJ584" t="n">
        <v>0</v>
      </c>
      <c r="AN584" t="n">
        <v>0</v>
      </c>
      <c r="AO584" t="n">
        <v>0</v>
      </c>
      <c r="AP584" t="n">
        <v>0</v>
      </c>
      <c r="AQ584" t="n">
        <v>24</v>
      </c>
      <c r="AR584" t="n">
        <v>0</v>
      </c>
    </row>
    <row r="585">
      <c r="A585" t="n">
        <v>194941</v>
      </c>
      <c r="B585" t="inlineStr">
        <is>
          <t>ظفر و مستقل&gt;مرحله مشاهده نتیجه کمیته نکست نمیشه/1365</t>
        </is>
      </c>
      <c r="D585" t="inlineStr">
        <is>
          <t>Medium</t>
        </is>
      </c>
      <c r="E585" t="n">
        <v>2</v>
      </c>
      <c r="F585" t="inlineStr">
        <is>
          <t>Closed</t>
        </is>
      </c>
      <c r="G585" t="inlineStr">
        <is>
          <t>Other</t>
        </is>
      </c>
      <c r="J585" t="inlineStr">
        <is>
          <t>Dem</t>
        </is>
      </c>
      <c r="K585" t="inlineStr">
        <is>
          <t>DemBiz</t>
        </is>
      </c>
      <c r="M585" t="inlineStr">
        <is>
          <t>Hoseini Fatemeh</t>
        </is>
      </c>
      <c r="N585" t="inlineStr">
        <is>
          <t>Mohseni Hadise</t>
        </is>
      </c>
      <c r="O585" s="42" t="n">
        <v>45973.70305555555</v>
      </c>
      <c r="Q585" s="42" t="n">
        <v>45973.70305555555</v>
      </c>
      <c r="S585" t="n">
        <v>0</v>
      </c>
      <c r="T585" s="42" t="n">
        <v>45973.70305555555</v>
      </c>
      <c r="Z585" s="42" t="n">
        <v>45973.70305555555</v>
      </c>
      <c r="AA585" t="n">
        <v>0</v>
      </c>
      <c r="AD585" t="n">
        <v>2</v>
      </c>
      <c r="AE585" t="n">
        <v>2</v>
      </c>
      <c r="AF585" t="n">
        <v>0</v>
      </c>
      <c r="AI585" t="n">
        <v>0</v>
      </c>
      <c r="AJ585" t="n">
        <v>0</v>
      </c>
      <c r="AK585" t="n">
        <v>0</v>
      </c>
      <c r="AL585" t="n">
        <v>0</v>
      </c>
      <c r="AN585" t="n">
        <v>0</v>
      </c>
      <c r="AO585" t="n">
        <v>0</v>
      </c>
      <c r="AP585" t="n">
        <v>0</v>
      </c>
      <c r="AQ585" t="n">
        <v>24</v>
      </c>
      <c r="AR585" t="n">
        <v>0</v>
      </c>
    </row>
    <row r="586">
      <c r="A586" t="n">
        <v>194952</v>
      </c>
      <c r="B586" t="inlineStr">
        <is>
          <t xml:space="preserve">درج افراد بدون کد ملی در صفحه داده آمایی جریان ثبتی </t>
        </is>
      </c>
      <c r="D586" t="inlineStr">
        <is>
          <t>Medium</t>
        </is>
      </c>
      <c r="E586" t="n">
        <v>1</v>
      </c>
      <c r="F586" t="inlineStr">
        <is>
          <t>Closed</t>
        </is>
      </c>
      <c r="G586" t="inlineStr">
        <is>
          <t>Other</t>
        </is>
      </c>
      <c r="I586" t="inlineStr">
        <is>
          <t>Bizagi_Team</t>
        </is>
      </c>
      <c r="J586" t="inlineStr">
        <is>
          <t>SAJAK</t>
        </is>
      </c>
      <c r="K586" t="inlineStr">
        <is>
          <t>Estate_Sprint 44</t>
        </is>
      </c>
      <c r="M586" t="inlineStr">
        <is>
          <t>Shamsfard Ahmad</t>
        </is>
      </c>
      <c r="N586" t="inlineStr">
        <is>
          <t>Moradnoori Parinaz</t>
        </is>
      </c>
      <c r="O586" s="42" t="n">
        <v>45978.44862268519</v>
      </c>
      <c r="Q586" s="42" t="n">
        <v>45978.44862268519</v>
      </c>
      <c r="S586" t="n">
        <v>0</v>
      </c>
      <c r="T586" s="42" t="n">
        <v>45978.44862268519</v>
      </c>
      <c r="Z586" s="42" t="n">
        <v>45978.44862268519</v>
      </c>
      <c r="AA586" t="n">
        <v>0</v>
      </c>
      <c r="AD586" t="n">
        <v>2</v>
      </c>
      <c r="AE586" t="n">
        <v>2</v>
      </c>
      <c r="AF586" t="n">
        <v>0</v>
      </c>
      <c r="AI586" t="n">
        <v>0</v>
      </c>
      <c r="AJ586" t="n">
        <v>0</v>
      </c>
      <c r="AK586" t="n">
        <v>0</v>
      </c>
      <c r="AL586" t="n">
        <v>0</v>
      </c>
      <c r="AN586" t="n">
        <v>0</v>
      </c>
      <c r="AO586" t="n">
        <v>0</v>
      </c>
      <c r="AP586" t="n">
        <v>0</v>
      </c>
      <c r="AQ586" t="n">
        <v>24</v>
      </c>
      <c r="AR586" t="n">
        <v>0</v>
      </c>
    </row>
    <row r="587">
      <c r="A587" t="n">
        <v>194977</v>
      </c>
      <c r="B587" t="inlineStr">
        <is>
          <t xml:space="preserve">چک شوددر کجا nameAndnationalcode در جدول entitytableکجا ست میشود؟ </t>
        </is>
      </c>
      <c r="D587" t="inlineStr">
        <is>
          <t>Medium</t>
        </is>
      </c>
      <c r="E587" t="n">
        <v>3</v>
      </c>
      <c r="F587" t="inlineStr">
        <is>
          <t>Closed</t>
        </is>
      </c>
      <c r="G587" t="inlineStr">
        <is>
          <t>Other</t>
        </is>
      </c>
      <c r="J587" t="inlineStr">
        <is>
          <t>Dem</t>
        </is>
      </c>
      <c r="K587" t="inlineStr">
        <is>
          <t>DemBiz</t>
        </is>
      </c>
      <c r="M587" t="inlineStr">
        <is>
          <t>Arshi Mahmood</t>
        </is>
      </c>
      <c r="N587" t="inlineStr">
        <is>
          <t>Hajizadeh Elnaz</t>
        </is>
      </c>
      <c r="O587" s="42" t="n">
        <v>45977.44671296296</v>
      </c>
      <c r="Q587" s="42" t="n">
        <v>45977.44671296296</v>
      </c>
      <c r="S587" t="n">
        <v>0</v>
      </c>
      <c r="T587" s="42" t="n">
        <v>45977.44671296296</v>
      </c>
      <c r="Z587" s="42" t="n">
        <v>45977.44671296296</v>
      </c>
      <c r="AA587" t="n">
        <v>0</v>
      </c>
      <c r="AD587" t="n">
        <v>2</v>
      </c>
      <c r="AE587" t="n">
        <v>2</v>
      </c>
      <c r="AF587" t="n">
        <v>0</v>
      </c>
      <c r="AI587" t="n">
        <v>0</v>
      </c>
      <c r="AJ587" t="n">
        <v>0</v>
      </c>
      <c r="AK587" t="n">
        <v>0</v>
      </c>
      <c r="AL587" t="n">
        <v>0</v>
      </c>
      <c r="AN587" t="n">
        <v>0</v>
      </c>
      <c r="AO587" t="n">
        <v>0</v>
      </c>
      <c r="AP587" t="n">
        <v>0</v>
      </c>
      <c r="AQ587" t="n">
        <v>24</v>
      </c>
      <c r="AR587" t="n">
        <v>0</v>
      </c>
    </row>
    <row r="588">
      <c r="A588" t="n">
        <v>194996</v>
      </c>
      <c r="B588" t="inlineStr">
        <is>
          <t xml:space="preserve">عدم وجود ستون ردیف در گرید فهرست پلاک های داخل محدوده </t>
        </is>
      </c>
      <c r="D588" t="inlineStr">
        <is>
          <t>Medium</t>
        </is>
      </c>
      <c r="E588" t="n">
        <v>4</v>
      </c>
      <c r="F588" t="inlineStr">
        <is>
          <t>Approved</t>
        </is>
      </c>
      <c r="G588" t="inlineStr">
        <is>
          <t>Other</t>
        </is>
      </c>
      <c r="I588" t="inlineStr">
        <is>
          <t>Bizagi_Team</t>
        </is>
      </c>
      <c r="J588" t="inlineStr">
        <is>
          <t>SAJAK</t>
        </is>
      </c>
      <c r="K588" t="inlineStr">
        <is>
          <t>Estate_Sprint 44</t>
        </is>
      </c>
      <c r="M588" t="inlineStr">
        <is>
          <t>Jafari Saeed</t>
        </is>
      </c>
      <c r="Q588" s="42" t="n">
        <v>45992.46807870371</v>
      </c>
      <c r="S588" t="n">
        <v>0</v>
      </c>
      <c r="T588" s="42" t="n">
        <v>45992.46807870371</v>
      </c>
      <c r="AA588" t="n">
        <v>0</v>
      </c>
      <c r="AD588" t="n">
        <v>2</v>
      </c>
      <c r="AE588" t="n">
        <v>2</v>
      </c>
      <c r="AF588" t="n">
        <v>0</v>
      </c>
      <c r="AI588" t="n">
        <v>0</v>
      </c>
      <c r="AJ588" t="n">
        <v>0</v>
      </c>
      <c r="AN588" t="n">
        <v>0</v>
      </c>
      <c r="AO588" t="n">
        <v>0</v>
      </c>
      <c r="AP588" t="n">
        <v>0</v>
      </c>
      <c r="AQ588" t="n">
        <v>24</v>
      </c>
      <c r="AR588" t="n">
        <v>0</v>
      </c>
    </row>
    <row r="589">
      <c r="A589" t="n">
        <v>194997</v>
      </c>
      <c r="B589" t="inlineStr">
        <is>
          <t>AE_SAJA\\ در ساماندهی قسمت داده آمایی  افراد دخیل</t>
        </is>
      </c>
      <c r="D589" t="inlineStr">
        <is>
          <t>Medium</t>
        </is>
      </c>
      <c r="E589" t="n">
        <v>1</v>
      </c>
      <c r="F589" t="inlineStr">
        <is>
          <t>Closed</t>
        </is>
      </c>
      <c r="G589" t="inlineStr">
        <is>
          <t>Other</t>
        </is>
      </c>
      <c r="J589" t="inlineStr">
        <is>
          <t>Infrastructure Bizagi Extension</t>
        </is>
      </c>
      <c r="K589" t="inlineStr">
        <is>
          <t>SP-87</t>
        </is>
      </c>
      <c r="M589" t="inlineStr">
        <is>
          <t>Nemati Hasan</t>
        </is>
      </c>
      <c r="N589" t="inlineStr">
        <is>
          <t>Shamsfard Ahmad</t>
        </is>
      </c>
      <c r="O589" s="42" t="n">
        <v>45984.41915509259</v>
      </c>
      <c r="Q589" s="42" t="n">
        <v>45984.41915509259</v>
      </c>
      <c r="S589" t="n">
        <v>0</v>
      </c>
      <c r="T589" s="42" t="n">
        <v>45984.41915509259</v>
      </c>
      <c r="Z589" s="42" t="n">
        <v>45984.41915509259</v>
      </c>
      <c r="AA589" t="n">
        <v>0</v>
      </c>
      <c r="AD589" t="n">
        <v>2</v>
      </c>
      <c r="AE589" t="n">
        <v>2</v>
      </c>
      <c r="AF589" t="n">
        <v>0</v>
      </c>
      <c r="AI589" t="n">
        <v>0</v>
      </c>
      <c r="AJ589" t="n">
        <v>0</v>
      </c>
      <c r="AK589" t="n">
        <v>0</v>
      </c>
      <c r="AL589" t="n">
        <v>0</v>
      </c>
      <c r="AN589" t="n">
        <v>0</v>
      </c>
      <c r="AO589" t="n">
        <v>0</v>
      </c>
      <c r="AP589" t="n">
        <v>0</v>
      </c>
      <c r="AQ589" t="n">
        <v>24</v>
      </c>
      <c r="AR589" t="n">
        <v>0</v>
      </c>
    </row>
    <row r="590">
      <c r="A590" t="n">
        <v>195001</v>
      </c>
      <c r="B590" t="inlineStr">
        <is>
          <t>جای گذاری نام کد کارشناس به جای کد کارشناسی</t>
        </is>
      </c>
      <c r="D590" t="inlineStr">
        <is>
          <t>Medium</t>
        </is>
      </c>
      <c r="E590" t="n">
        <v>4</v>
      </c>
      <c r="F590" t="inlineStr">
        <is>
          <t>Closed</t>
        </is>
      </c>
      <c r="G590" t="inlineStr">
        <is>
          <t>Other</t>
        </is>
      </c>
      <c r="I590" t="inlineStr">
        <is>
          <t>Bizagi_Team</t>
        </is>
      </c>
      <c r="J590" t="inlineStr">
        <is>
          <t>SAJAK</t>
        </is>
      </c>
      <c r="K590" t="inlineStr">
        <is>
          <t>Estate_Sprint 44</t>
        </is>
      </c>
      <c r="M590" t="inlineStr">
        <is>
          <t>Seyfollahi Artin</t>
        </is>
      </c>
      <c r="N590" t="inlineStr">
        <is>
          <t>Moradnoori Parinaz</t>
        </is>
      </c>
      <c r="O590" s="42" t="n">
        <v>45978.40153935185</v>
      </c>
      <c r="Q590" s="42" t="n">
        <v>45978.40153935185</v>
      </c>
      <c r="S590" t="n">
        <v>0</v>
      </c>
      <c r="T590" s="42" t="n">
        <v>45978.40153935185</v>
      </c>
      <c r="Z590" s="42" t="n">
        <v>45978.40153935185</v>
      </c>
      <c r="AA590" t="n">
        <v>0</v>
      </c>
      <c r="AD590" t="n">
        <v>2</v>
      </c>
      <c r="AE590" t="n">
        <v>2</v>
      </c>
      <c r="AF590" t="n">
        <v>0</v>
      </c>
      <c r="AI590" t="n">
        <v>0</v>
      </c>
      <c r="AJ590" t="n">
        <v>0</v>
      </c>
      <c r="AK590" t="n">
        <v>0</v>
      </c>
      <c r="AL590" t="n">
        <v>0</v>
      </c>
      <c r="AN590" t="n">
        <v>0</v>
      </c>
      <c r="AO590" t="n">
        <v>0</v>
      </c>
      <c r="AP590" t="n">
        <v>0</v>
      </c>
      <c r="AQ590" t="n">
        <v>24</v>
      </c>
      <c r="AR590" t="n">
        <v>0</v>
      </c>
    </row>
    <row r="591">
      <c r="A591" t="n">
        <v>195002</v>
      </c>
      <c r="B591" t="inlineStr">
        <is>
          <t>مواجهه با خطا در هنگام اضافه کردن اسناد و مدارک توسط نماینده ثبتی</t>
        </is>
      </c>
      <c r="D591" t="inlineStr">
        <is>
          <t>Medium</t>
        </is>
      </c>
      <c r="E591" t="n">
        <v>1</v>
      </c>
      <c r="F591" t="inlineStr">
        <is>
          <t>Closed</t>
        </is>
      </c>
      <c r="G591" t="inlineStr">
        <is>
          <t>Other</t>
        </is>
      </c>
      <c r="I591" t="inlineStr">
        <is>
          <t>Bizagi_Team</t>
        </is>
      </c>
      <c r="J591" t="inlineStr">
        <is>
          <t>SAJAK</t>
        </is>
      </c>
      <c r="K591" t="inlineStr">
        <is>
          <t>Estate_Sprint 44</t>
        </is>
      </c>
      <c r="M591" t="inlineStr">
        <is>
          <t>Tedadi Abbas</t>
        </is>
      </c>
      <c r="N591" t="inlineStr">
        <is>
          <t>Moradnoori Parinaz</t>
        </is>
      </c>
      <c r="O591" s="42" t="n">
        <v>45978.40042824074</v>
      </c>
      <c r="Q591" s="42" t="n">
        <v>45978.40042824074</v>
      </c>
      <c r="S591" t="n">
        <v>0</v>
      </c>
      <c r="T591" s="42" t="n">
        <v>45978.40042824074</v>
      </c>
      <c r="Z591" s="42" t="n">
        <v>45978.40042824074</v>
      </c>
      <c r="AA591" t="n">
        <v>0</v>
      </c>
      <c r="AD591" t="n">
        <v>2</v>
      </c>
      <c r="AE591" t="n">
        <v>2</v>
      </c>
      <c r="AF591" t="n">
        <v>0</v>
      </c>
      <c r="AI591" t="n">
        <v>0</v>
      </c>
      <c r="AJ591" t="n">
        <v>0</v>
      </c>
      <c r="AK591" t="n">
        <v>0</v>
      </c>
      <c r="AL591" t="n">
        <v>0</v>
      </c>
      <c r="AN591" t="n">
        <v>0</v>
      </c>
      <c r="AO591" t="n">
        <v>0</v>
      </c>
      <c r="AP591" t="n">
        <v>0</v>
      </c>
      <c r="AQ591" t="n">
        <v>24</v>
      </c>
      <c r="AR591" t="n">
        <v>0</v>
      </c>
    </row>
    <row r="592">
      <c r="A592" t="n">
        <v>195007</v>
      </c>
      <c r="B592" t="inlineStr">
        <is>
          <t xml:space="preserve"> 1377/1365/لینک تاریخچه فعالیت هادرمنو سامانه تاریخچه ها ، پیغام خطا می دهد   </t>
        </is>
      </c>
      <c r="D592" t="inlineStr">
        <is>
          <t>Medium</t>
        </is>
      </c>
      <c r="E592" t="n">
        <v>1</v>
      </c>
      <c r="F592" t="inlineStr">
        <is>
          <t>Closed</t>
        </is>
      </c>
      <c r="G592" t="inlineStr">
        <is>
          <t>Other</t>
        </is>
      </c>
      <c r="J592" t="inlineStr">
        <is>
          <t>Dem</t>
        </is>
      </c>
      <c r="K592" t="inlineStr">
        <is>
          <t>DemBiz</t>
        </is>
      </c>
      <c r="M592" t="inlineStr">
        <is>
          <t>Javanmardi Mojan</t>
        </is>
      </c>
      <c r="N592" t="inlineStr">
        <is>
          <t>Baniamer Shaghayegh</t>
        </is>
      </c>
      <c r="O592" s="42" t="n">
        <v>45977.81943287037</v>
      </c>
      <c r="Q592" s="42" t="n">
        <v>45977.81943287037</v>
      </c>
      <c r="S592" t="n">
        <v>0</v>
      </c>
      <c r="T592" s="42" t="n">
        <v>45977.81943287037</v>
      </c>
      <c r="Z592" s="42" t="n">
        <v>45977.81943287037</v>
      </c>
      <c r="AA592" t="n">
        <v>0</v>
      </c>
      <c r="AD592" t="n">
        <v>2</v>
      </c>
      <c r="AE592" t="n">
        <v>2</v>
      </c>
      <c r="AF592" t="n">
        <v>0</v>
      </c>
      <c r="AI592" t="n">
        <v>0</v>
      </c>
      <c r="AJ592" t="n">
        <v>0</v>
      </c>
      <c r="AK592" t="n">
        <v>0</v>
      </c>
      <c r="AL592" t="n">
        <v>0</v>
      </c>
      <c r="AN592" t="n">
        <v>0</v>
      </c>
      <c r="AO592" t="n">
        <v>0</v>
      </c>
      <c r="AP592" t="n">
        <v>0</v>
      </c>
      <c r="AQ592" t="n">
        <v>24</v>
      </c>
      <c r="AR592" t="n">
        <v>0</v>
      </c>
    </row>
    <row r="593">
      <c r="A593" t="n">
        <v>195009</v>
      </c>
      <c r="B593" t="inlineStr">
        <is>
          <t>AE_SAJA\\  خرابی سورت</t>
        </is>
      </c>
      <c r="D593" t="inlineStr">
        <is>
          <t>Medium</t>
        </is>
      </c>
      <c r="E593" t="n">
        <v>1</v>
      </c>
      <c r="F593" t="inlineStr">
        <is>
          <t>Closed</t>
        </is>
      </c>
      <c r="G593" t="inlineStr">
        <is>
          <t>Other</t>
        </is>
      </c>
      <c r="J593" t="inlineStr">
        <is>
          <t>Infrastructure Bizagi Extension</t>
        </is>
      </c>
      <c r="K593" t="inlineStr">
        <is>
          <t>SP-87</t>
        </is>
      </c>
      <c r="M593" t="inlineStr">
        <is>
          <t>Nemati Hasan</t>
        </is>
      </c>
      <c r="N593" t="inlineStr">
        <is>
          <t>Tedadi Abbas</t>
        </is>
      </c>
      <c r="O593" s="42" t="n">
        <v>45991.64804398148</v>
      </c>
      <c r="Q593" s="42" t="n">
        <v>45991.64804398148</v>
      </c>
      <c r="S593" t="n">
        <v>0</v>
      </c>
      <c r="T593" s="42" t="n">
        <v>45991.64804398148</v>
      </c>
      <c r="Z593" s="42" t="n">
        <v>45991.64804398148</v>
      </c>
      <c r="AA593" t="n">
        <v>0</v>
      </c>
      <c r="AD593" t="n">
        <v>2</v>
      </c>
      <c r="AE593" t="n">
        <v>2</v>
      </c>
      <c r="AF593" t="n">
        <v>0</v>
      </c>
      <c r="AI593" t="n">
        <v>0</v>
      </c>
      <c r="AJ593" t="n">
        <v>0</v>
      </c>
      <c r="AK593" t="n">
        <v>0</v>
      </c>
      <c r="AL593" t="n">
        <v>0</v>
      </c>
      <c r="AN593" t="n">
        <v>0</v>
      </c>
      <c r="AO593" t="n">
        <v>0</v>
      </c>
      <c r="AP593" t="n">
        <v>0</v>
      </c>
      <c r="AQ593" t="n">
        <v>24</v>
      </c>
      <c r="AR593" t="n">
        <v>0</v>
      </c>
    </row>
    <row r="594">
      <c r="A594" t="n">
        <v>195012</v>
      </c>
      <c r="B594" t="inlineStr">
        <is>
          <t xml:space="preserve">AE_SAJA\\ مشکل در اجرای اکشن در فرم ادیت </t>
        </is>
      </c>
      <c r="D594" t="inlineStr">
        <is>
          <t>Medium</t>
        </is>
      </c>
      <c r="E594" t="n">
        <v>2</v>
      </c>
      <c r="F594" t="inlineStr">
        <is>
          <t>Closed</t>
        </is>
      </c>
      <c r="G594" t="inlineStr">
        <is>
          <t>Other</t>
        </is>
      </c>
      <c r="J594" t="inlineStr">
        <is>
          <t>Infrastructure Bizagi Extension</t>
        </is>
      </c>
      <c r="K594" t="inlineStr">
        <is>
          <t>SP-87</t>
        </is>
      </c>
      <c r="L594" t="inlineStr">
        <is>
          <t>Completed</t>
        </is>
      </c>
      <c r="M594" t="inlineStr">
        <is>
          <t>Faraji Reza</t>
        </is>
      </c>
      <c r="N594" t="inlineStr">
        <is>
          <t>Kalaei Saman</t>
        </is>
      </c>
      <c r="O594" s="42" t="n">
        <v>46006.60961805555</v>
      </c>
      <c r="Q594" s="42" t="n">
        <v>46006.60961805555</v>
      </c>
      <c r="S594" t="n">
        <v>0</v>
      </c>
      <c r="T594" s="42" t="n">
        <v>46006.60961805555</v>
      </c>
      <c r="Z594" s="42" t="n">
        <v>46006.60961805555</v>
      </c>
      <c r="AA594" t="n">
        <v>0</v>
      </c>
      <c r="AD594" t="n">
        <v>2</v>
      </c>
      <c r="AE594" t="n">
        <v>2</v>
      </c>
      <c r="AF594" t="n">
        <v>0</v>
      </c>
      <c r="AI594" t="n">
        <v>0</v>
      </c>
      <c r="AJ594" t="n">
        <v>0</v>
      </c>
      <c r="AK594" t="n">
        <v>0</v>
      </c>
      <c r="AL594" t="n">
        <v>0</v>
      </c>
      <c r="AN594" t="n">
        <v>0</v>
      </c>
      <c r="AO594" t="n">
        <v>0</v>
      </c>
      <c r="AP594" t="n">
        <v>0</v>
      </c>
      <c r="AQ594" t="n">
        <v>24</v>
      </c>
      <c r="AR594" t="n">
        <v>0</v>
      </c>
    </row>
    <row r="595">
      <c r="A595" t="n">
        <v>195014</v>
      </c>
      <c r="B595" t="inlineStr">
        <is>
          <t>AE_SAJA\\ عدم جنریت لیبل داینامیک</t>
        </is>
      </c>
      <c r="D595" t="inlineStr">
        <is>
          <t>Medium</t>
        </is>
      </c>
      <c r="E595" t="n">
        <v>2</v>
      </c>
      <c r="F595" t="inlineStr">
        <is>
          <t>Closed</t>
        </is>
      </c>
      <c r="G595" t="inlineStr">
        <is>
          <t>Other</t>
        </is>
      </c>
      <c r="J595" t="inlineStr">
        <is>
          <t>Infrastructure Bizagi Extension</t>
        </is>
      </c>
      <c r="K595" t="inlineStr">
        <is>
          <t>SP-87</t>
        </is>
      </c>
      <c r="L595" t="inlineStr">
        <is>
          <t>Completed</t>
        </is>
      </c>
      <c r="M595" t="inlineStr">
        <is>
          <t>Faraji Reza</t>
        </is>
      </c>
      <c r="N595" t="inlineStr">
        <is>
          <t>Tedadi Abbas</t>
        </is>
      </c>
      <c r="O595" s="42" t="n">
        <v>46001.40890046296</v>
      </c>
      <c r="Q595" s="42" t="n">
        <v>46001.40890046296</v>
      </c>
      <c r="S595" t="n">
        <v>0</v>
      </c>
      <c r="T595" s="42" t="n">
        <v>46001.40890046296</v>
      </c>
      <c r="Z595" s="42" t="n">
        <v>46001.40890046296</v>
      </c>
      <c r="AA595" t="n">
        <v>0</v>
      </c>
      <c r="AD595" t="n">
        <v>2</v>
      </c>
      <c r="AE595" t="n">
        <v>2</v>
      </c>
      <c r="AF595" t="n">
        <v>0</v>
      </c>
      <c r="AI595" t="n">
        <v>0</v>
      </c>
      <c r="AJ595" t="n">
        <v>0</v>
      </c>
      <c r="AK595" t="n">
        <v>0</v>
      </c>
      <c r="AL595" t="n">
        <v>0</v>
      </c>
      <c r="AN595" t="n">
        <v>0</v>
      </c>
      <c r="AO595" t="n">
        <v>0</v>
      </c>
      <c r="AP595" t="n">
        <v>0</v>
      </c>
      <c r="AQ595" t="n">
        <v>24</v>
      </c>
      <c r="AR595" t="n">
        <v>0</v>
      </c>
    </row>
    <row r="596">
      <c r="A596" t="n">
        <v>195015</v>
      </c>
      <c r="B596" t="inlineStr">
        <is>
          <t>کپی اطلاعات از سایر پیشنهادات بدون دیتاس ولی سبزه/1365</t>
        </is>
      </c>
      <c r="D596" t="inlineStr">
        <is>
          <t>Medium</t>
        </is>
      </c>
      <c r="E596" t="n">
        <v>2</v>
      </c>
      <c r="F596" t="inlineStr">
        <is>
          <t>Removed</t>
        </is>
      </c>
      <c r="G596" t="inlineStr">
        <is>
          <t>Other</t>
        </is>
      </c>
      <c r="J596" t="inlineStr">
        <is>
          <t>Dem</t>
        </is>
      </c>
      <c r="K596" t="inlineStr">
        <is>
          <t>DemBiz</t>
        </is>
      </c>
      <c r="M596" t="inlineStr">
        <is>
          <t>Hoseini Fatemeh</t>
        </is>
      </c>
      <c r="Q596" s="42" t="n">
        <v>45973.59296296296</v>
      </c>
      <c r="S596" t="n">
        <v>0</v>
      </c>
      <c r="T596" s="42" t="n">
        <v>45973.59296296296</v>
      </c>
      <c r="AA596" t="n">
        <v>0</v>
      </c>
      <c r="AD596" t="n">
        <v>2</v>
      </c>
      <c r="AE596" t="n">
        <v>2</v>
      </c>
      <c r="AF596" t="n">
        <v>0</v>
      </c>
      <c r="AI596" t="n">
        <v>0</v>
      </c>
      <c r="AJ596" t="n">
        <v>0</v>
      </c>
      <c r="AN596" t="n">
        <v>0</v>
      </c>
      <c r="AO596" t="n">
        <v>0</v>
      </c>
      <c r="AP596" t="n">
        <v>0</v>
      </c>
      <c r="AQ596" t="n">
        <v>24</v>
      </c>
      <c r="AR596" t="n">
        <v>0</v>
      </c>
    </row>
    <row r="597">
      <c r="A597" t="n">
        <v>195039</v>
      </c>
      <c r="B597" t="inlineStr">
        <is>
          <t>1365/تاریخچه تغییرات شرکت اطلاعات پیشین و فعلی را یکسان نمایش می دهد</t>
        </is>
      </c>
      <c r="D597" t="inlineStr">
        <is>
          <t>Medium</t>
        </is>
      </c>
      <c r="E597" t="n">
        <v>2</v>
      </c>
      <c r="F597" t="inlineStr">
        <is>
          <t>Closed</t>
        </is>
      </c>
      <c r="G597" t="inlineStr">
        <is>
          <t>Other</t>
        </is>
      </c>
      <c r="J597" t="inlineStr">
        <is>
          <t>Dem</t>
        </is>
      </c>
      <c r="K597" t="inlineStr">
        <is>
          <t>DemBiz</t>
        </is>
      </c>
      <c r="M597" t="inlineStr">
        <is>
          <t>Baniamer Shaghayegh</t>
        </is>
      </c>
      <c r="N597" t="inlineStr">
        <is>
          <t>Hajizadeh Elnaz</t>
        </is>
      </c>
      <c r="O597" s="42" t="n">
        <v>45977.44530092592</v>
      </c>
      <c r="Q597" s="42" t="n">
        <v>45977.44530092592</v>
      </c>
      <c r="S597" t="n">
        <v>0</v>
      </c>
      <c r="T597" s="42" t="n">
        <v>45977.44530092592</v>
      </c>
      <c r="Z597" s="42" t="n">
        <v>45977.44530092592</v>
      </c>
      <c r="AA597" t="n">
        <v>0</v>
      </c>
      <c r="AD597" t="n">
        <v>2</v>
      </c>
      <c r="AE597" t="n">
        <v>2</v>
      </c>
      <c r="AF597" t="n">
        <v>0</v>
      </c>
      <c r="AI597" t="n">
        <v>0</v>
      </c>
      <c r="AJ597" t="n">
        <v>0</v>
      </c>
      <c r="AK597" t="n">
        <v>0</v>
      </c>
      <c r="AL597" t="n">
        <v>0</v>
      </c>
      <c r="AN597" t="n">
        <v>0</v>
      </c>
      <c r="AO597" t="n">
        <v>0</v>
      </c>
      <c r="AP597" t="n">
        <v>0</v>
      </c>
      <c r="AQ597" t="n">
        <v>24</v>
      </c>
      <c r="AR597" t="n">
        <v>0</v>
      </c>
    </row>
    <row r="598">
      <c r="A598" t="n">
        <v>195042</v>
      </c>
      <c r="B598" t="inlineStr">
        <is>
          <t>دکمه ثبت در فرم ویرایش پاراف پیغام خطا می دهد / 1377/ 1365</t>
        </is>
      </c>
      <c r="D598" t="inlineStr">
        <is>
          <t>Medium</t>
        </is>
      </c>
      <c r="E598" t="n">
        <v>2</v>
      </c>
      <c r="F598" t="inlineStr">
        <is>
          <t>Closed</t>
        </is>
      </c>
      <c r="G598" t="inlineStr">
        <is>
          <t>Other</t>
        </is>
      </c>
      <c r="J598" t="inlineStr">
        <is>
          <t>Dem</t>
        </is>
      </c>
      <c r="K598" t="inlineStr">
        <is>
          <t>DemBiz</t>
        </is>
      </c>
      <c r="M598" t="inlineStr">
        <is>
          <t>Arshi Mahmood</t>
        </is>
      </c>
      <c r="N598" t="inlineStr">
        <is>
          <t>Baniamer Shaghayegh</t>
        </is>
      </c>
      <c r="O598" s="42" t="n">
        <v>45977.81869212963</v>
      </c>
      <c r="Q598" s="42" t="n">
        <v>45977.81869212963</v>
      </c>
      <c r="S598" t="n">
        <v>0</v>
      </c>
      <c r="T598" s="42" t="n">
        <v>45977.81869212963</v>
      </c>
      <c r="Z598" s="42" t="n">
        <v>45977.81869212963</v>
      </c>
      <c r="AA598" t="n">
        <v>0</v>
      </c>
      <c r="AD598" t="n">
        <v>2</v>
      </c>
      <c r="AE598" t="n">
        <v>2</v>
      </c>
      <c r="AF598" t="n">
        <v>0</v>
      </c>
      <c r="AI598" t="n">
        <v>0</v>
      </c>
      <c r="AJ598" t="n">
        <v>0</v>
      </c>
      <c r="AK598" t="n">
        <v>0</v>
      </c>
      <c r="AL598" t="n">
        <v>0</v>
      </c>
      <c r="AN598" t="n">
        <v>0</v>
      </c>
      <c r="AO598" t="n">
        <v>0</v>
      </c>
      <c r="AP598" t="n">
        <v>0</v>
      </c>
      <c r="AQ598" t="n">
        <v>24</v>
      </c>
      <c r="AR598" t="n">
        <v>0</v>
      </c>
    </row>
    <row r="599">
      <c r="A599" t="n">
        <v>195043</v>
      </c>
      <c r="B599" t="inlineStr">
        <is>
          <t xml:space="preserve">نمایش نمامی نمایندگان ثبتی در لیست نمایندگان ثبتی </t>
        </is>
      </c>
      <c r="D599" t="inlineStr">
        <is>
          <t>Medium</t>
        </is>
      </c>
      <c r="E599" t="n">
        <v>1</v>
      </c>
      <c r="F599" t="inlineStr">
        <is>
          <t>Closed</t>
        </is>
      </c>
      <c r="G599" t="inlineStr">
        <is>
          <t>Other</t>
        </is>
      </c>
      <c r="I599" t="inlineStr">
        <is>
          <t>Bizagi_Team</t>
        </is>
      </c>
      <c r="J599" t="inlineStr">
        <is>
          <t>SAJAK</t>
        </is>
      </c>
      <c r="K599" t="inlineStr">
        <is>
          <t>Estate_Sprint 44</t>
        </is>
      </c>
      <c r="M599" t="inlineStr">
        <is>
          <t>Shamsfard Ahmad</t>
        </is>
      </c>
      <c r="N599" t="inlineStr">
        <is>
          <t>Moradnoori Parinaz</t>
        </is>
      </c>
      <c r="O599" s="42" t="n">
        <v>45977.72390046297</v>
      </c>
      <c r="Q599" s="42" t="n">
        <v>45977.72390046297</v>
      </c>
      <c r="S599" t="n">
        <v>0</v>
      </c>
      <c r="T599" s="42" t="n">
        <v>45977.72390046297</v>
      </c>
      <c r="Z599" s="42" t="n">
        <v>45977.72390046297</v>
      </c>
      <c r="AA599" t="n">
        <v>0</v>
      </c>
      <c r="AD599" t="n">
        <v>2</v>
      </c>
      <c r="AE599" t="n">
        <v>2</v>
      </c>
      <c r="AF599" t="n">
        <v>0</v>
      </c>
      <c r="AI599" t="n">
        <v>0</v>
      </c>
      <c r="AJ599" t="n">
        <v>0</v>
      </c>
      <c r="AK599" t="n">
        <v>0</v>
      </c>
      <c r="AL599" t="n">
        <v>0</v>
      </c>
      <c r="AN599" t="n">
        <v>0</v>
      </c>
      <c r="AO599" t="n">
        <v>0</v>
      </c>
      <c r="AP599" t="n">
        <v>0</v>
      </c>
      <c r="AQ599" t="n">
        <v>24</v>
      </c>
      <c r="AR599" t="n">
        <v>0</v>
      </c>
    </row>
    <row r="600">
      <c r="A600" t="n">
        <v>195046</v>
      </c>
      <c r="B600" t="inlineStr">
        <is>
          <t>1365/دکمه ثبت در فرم ویرایش اطلاعات شرکا  خطای دسیمال می دهد</t>
        </is>
      </c>
      <c r="D600" t="inlineStr">
        <is>
          <t>Medium</t>
        </is>
      </c>
      <c r="E600" t="n">
        <v>1</v>
      </c>
      <c r="F600" t="inlineStr">
        <is>
          <t>Closed</t>
        </is>
      </c>
      <c r="G600" t="inlineStr">
        <is>
          <t>Other</t>
        </is>
      </c>
      <c r="J600" t="inlineStr">
        <is>
          <t>Dem</t>
        </is>
      </c>
      <c r="K600" t="inlineStr">
        <is>
          <t>DemBiz</t>
        </is>
      </c>
      <c r="M600" t="inlineStr">
        <is>
          <t>Moradi Mohammad</t>
        </is>
      </c>
      <c r="N600" t="inlineStr">
        <is>
          <t>Hajizadeh Elnaz</t>
        </is>
      </c>
      <c r="O600" s="42" t="n">
        <v>45977.68215277778</v>
      </c>
      <c r="Q600" s="42" t="n">
        <v>45977.68215277778</v>
      </c>
      <c r="S600" t="n">
        <v>0</v>
      </c>
      <c r="T600" s="42" t="n">
        <v>45977.68215277778</v>
      </c>
      <c r="Z600" s="42" t="n">
        <v>45977.68215277778</v>
      </c>
      <c r="AA600" t="n">
        <v>0</v>
      </c>
      <c r="AD600" t="n">
        <v>2</v>
      </c>
      <c r="AE600" t="n">
        <v>2</v>
      </c>
      <c r="AF600" t="n">
        <v>0</v>
      </c>
      <c r="AI600" t="n">
        <v>0</v>
      </c>
      <c r="AJ600" t="n">
        <v>0</v>
      </c>
      <c r="AK600" t="n">
        <v>0</v>
      </c>
      <c r="AL600" t="n">
        <v>0</v>
      </c>
      <c r="AN600" t="n">
        <v>0</v>
      </c>
      <c r="AO600" t="n">
        <v>0</v>
      </c>
      <c r="AP600" t="n">
        <v>0</v>
      </c>
      <c r="AQ600" t="n">
        <v>24</v>
      </c>
      <c r="AR600" t="n">
        <v>0</v>
      </c>
    </row>
    <row r="601">
      <c r="A601" t="n">
        <v>195047</v>
      </c>
      <c r="B601" t="inlineStr">
        <is>
          <t>با کلیک بر کمبونام صاحب حساب گیرید حذف و درتب وضعیت حساب مشتری منتقل می شود/1365</t>
        </is>
      </c>
      <c r="D601" t="inlineStr">
        <is>
          <t>Medium</t>
        </is>
      </c>
      <c r="E601" t="n">
        <v>1</v>
      </c>
      <c r="F601" t="inlineStr">
        <is>
          <t>Closed</t>
        </is>
      </c>
      <c r="G601" t="inlineStr">
        <is>
          <t>Other</t>
        </is>
      </c>
      <c r="J601" t="inlineStr">
        <is>
          <t>Dem</t>
        </is>
      </c>
      <c r="K601" t="inlineStr">
        <is>
          <t>DemBiz</t>
        </is>
      </c>
      <c r="M601" t="inlineStr">
        <is>
          <t>Moradi Mohammad</t>
        </is>
      </c>
      <c r="N601" t="inlineStr">
        <is>
          <t>Hajizadeh Elnaz</t>
        </is>
      </c>
      <c r="O601" s="42" t="n">
        <v>45979.37041666666</v>
      </c>
      <c r="Q601" s="42" t="n">
        <v>45979.37041666666</v>
      </c>
      <c r="S601" t="n">
        <v>0</v>
      </c>
      <c r="T601" s="42" t="n">
        <v>45979.37041666666</v>
      </c>
      <c r="Z601" s="42" t="n">
        <v>45979.37041666666</v>
      </c>
      <c r="AA601" t="n">
        <v>0</v>
      </c>
      <c r="AD601" t="n">
        <v>2</v>
      </c>
      <c r="AE601" t="n">
        <v>2</v>
      </c>
      <c r="AF601" t="n">
        <v>0</v>
      </c>
      <c r="AI601" t="n">
        <v>0</v>
      </c>
      <c r="AJ601" t="n">
        <v>0</v>
      </c>
      <c r="AK601" t="n">
        <v>0</v>
      </c>
      <c r="AL601" t="n">
        <v>0</v>
      </c>
      <c r="AN601" t="n">
        <v>0</v>
      </c>
      <c r="AO601" t="n">
        <v>0</v>
      </c>
      <c r="AP601" t="n">
        <v>0</v>
      </c>
      <c r="AQ601" t="n">
        <v>24</v>
      </c>
      <c r="AR601" t="n">
        <v>0</v>
      </c>
    </row>
    <row r="602">
      <c r="A602" t="n">
        <v>195082</v>
      </c>
      <c r="B602" t="inlineStr">
        <is>
          <t xml:space="preserve">جمع درصد سهام </t>
        </is>
      </c>
      <c r="D602" t="inlineStr">
        <is>
          <t>Medium</t>
        </is>
      </c>
      <c r="E602" t="n">
        <v>1</v>
      </c>
      <c r="F602" t="inlineStr">
        <is>
          <t>Closed</t>
        </is>
      </c>
      <c r="G602" t="inlineStr">
        <is>
          <t>Other</t>
        </is>
      </c>
      <c r="J602" t="inlineStr">
        <is>
          <t>Dem</t>
        </is>
      </c>
      <c r="K602" t="inlineStr">
        <is>
          <t>DemBiz</t>
        </is>
      </c>
      <c r="M602" t="inlineStr">
        <is>
          <t>Hoseini Fatemeh</t>
        </is>
      </c>
      <c r="N602" t="inlineStr">
        <is>
          <t>Hajizadeh Elnaz</t>
        </is>
      </c>
      <c r="O602" s="42" t="n">
        <v>45978.71240740741</v>
      </c>
      <c r="Q602" s="42" t="n">
        <v>45978.71240740741</v>
      </c>
      <c r="S602" t="n">
        <v>0</v>
      </c>
      <c r="T602" s="42" t="n">
        <v>45978.71240740741</v>
      </c>
      <c r="Z602" s="42" t="n">
        <v>45978.71240740741</v>
      </c>
      <c r="AA602" t="n">
        <v>0</v>
      </c>
      <c r="AD602" t="n">
        <v>2</v>
      </c>
      <c r="AE602" t="n">
        <v>2</v>
      </c>
      <c r="AF602" t="n">
        <v>0</v>
      </c>
      <c r="AI602" t="n">
        <v>0</v>
      </c>
      <c r="AJ602" t="n">
        <v>0</v>
      </c>
      <c r="AK602" t="n">
        <v>0</v>
      </c>
      <c r="AL602" t="n">
        <v>0</v>
      </c>
      <c r="AN602" t="n">
        <v>0</v>
      </c>
      <c r="AO602" t="n">
        <v>0</v>
      </c>
      <c r="AP602" t="n">
        <v>0</v>
      </c>
      <c r="AQ602" t="n">
        <v>24</v>
      </c>
      <c r="AR602" t="n">
        <v>0</v>
      </c>
    </row>
    <row r="603">
      <c r="A603" t="n">
        <v>195095</v>
      </c>
      <c r="B603" t="inlineStr">
        <is>
          <t xml:space="preserve">1365/در کمیته اد اره کل، تغییرات اعمال شده در لینک ویرایش ، داخل گرید اعمال نشده و فقط  اضافه می شود </t>
        </is>
      </c>
      <c r="D603" t="inlineStr">
        <is>
          <t>Medium</t>
        </is>
      </c>
      <c r="E603" t="n">
        <v>2</v>
      </c>
      <c r="F603" t="inlineStr">
        <is>
          <t>Closed</t>
        </is>
      </c>
      <c r="G603" t="inlineStr">
        <is>
          <t>Other</t>
        </is>
      </c>
      <c r="J603" t="inlineStr">
        <is>
          <t>Dem</t>
        </is>
      </c>
      <c r="K603" t="inlineStr">
        <is>
          <t>DemBiz</t>
        </is>
      </c>
      <c r="M603" t="inlineStr">
        <is>
          <t>Moradi Mohammad</t>
        </is>
      </c>
      <c r="N603" t="inlineStr">
        <is>
          <t>Hajizadeh Elnaz</t>
        </is>
      </c>
      <c r="O603" s="42" t="n">
        <v>45977.68722222222</v>
      </c>
      <c r="Q603" s="42" t="n">
        <v>45977.68722222222</v>
      </c>
      <c r="S603" t="n">
        <v>0</v>
      </c>
      <c r="T603" s="42" t="n">
        <v>45977.68722222222</v>
      </c>
      <c r="Z603" s="42" t="n">
        <v>45977.68722222222</v>
      </c>
      <c r="AA603" t="n">
        <v>0</v>
      </c>
      <c r="AD603" t="n">
        <v>2</v>
      </c>
      <c r="AE603" t="n">
        <v>2</v>
      </c>
      <c r="AF603" t="n">
        <v>0</v>
      </c>
      <c r="AI603" t="n">
        <v>0</v>
      </c>
      <c r="AJ603" t="n">
        <v>0</v>
      </c>
      <c r="AK603" t="n">
        <v>0</v>
      </c>
      <c r="AL603" t="n">
        <v>0</v>
      </c>
      <c r="AN603" t="n">
        <v>0</v>
      </c>
      <c r="AO603" t="n">
        <v>0</v>
      </c>
      <c r="AP603" t="n">
        <v>0</v>
      </c>
      <c r="AQ603" t="n">
        <v>24</v>
      </c>
      <c r="AR603" t="n">
        <v>0</v>
      </c>
    </row>
    <row r="604">
      <c r="A604" t="n">
        <v>192256</v>
      </c>
      <c r="B604" t="inlineStr">
        <is>
          <t xml:space="preserve">وجود رکورد نال درکنار اسم مشتری در کمبو مشتری  </t>
        </is>
      </c>
      <c r="D604" t="inlineStr">
        <is>
          <t>Medium</t>
        </is>
      </c>
      <c r="E604" t="n">
        <v>2</v>
      </c>
      <c r="F604" t="inlineStr">
        <is>
          <t>Closed</t>
        </is>
      </c>
      <c r="G604" t="inlineStr">
        <is>
          <t>Other</t>
        </is>
      </c>
      <c r="J604" t="inlineStr">
        <is>
          <t>Dem</t>
        </is>
      </c>
      <c r="K604" t="inlineStr">
        <is>
          <t>DemBiz</t>
        </is>
      </c>
      <c r="M604" t="inlineStr">
        <is>
          <t>Moradi Mohammad</t>
        </is>
      </c>
      <c r="N604" t="inlineStr">
        <is>
          <t>Mohseni Hadise</t>
        </is>
      </c>
      <c r="O604" s="42" t="n">
        <v>45972.38840277777</v>
      </c>
      <c r="Q604" s="42" t="n">
        <v>45972.38840277777</v>
      </c>
      <c r="S604" t="n">
        <v>0</v>
      </c>
      <c r="T604" s="42" t="n">
        <v>45972.38840277777</v>
      </c>
      <c r="Z604" s="42" t="n">
        <v>45972.38840277777</v>
      </c>
      <c r="AA604" t="n">
        <v>0</v>
      </c>
      <c r="AD604" t="n">
        <v>2</v>
      </c>
      <c r="AE604" t="n">
        <v>2</v>
      </c>
      <c r="AF604" t="n">
        <v>0</v>
      </c>
      <c r="AI604" t="n">
        <v>0</v>
      </c>
      <c r="AJ604" t="n">
        <v>0</v>
      </c>
      <c r="AK604" t="n">
        <v>0</v>
      </c>
      <c r="AL604" t="n">
        <v>0</v>
      </c>
      <c r="AN604" t="n">
        <v>0</v>
      </c>
      <c r="AO604" t="n">
        <v>0</v>
      </c>
      <c r="AP604" t="n">
        <v>0</v>
      </c>
      <c r="AQ604" t="n">
        <v>24</v>
      </c>
      <c r="AR604" t="n">
        <v>0</v>
      </c>
    </row>
    <row r="605">
      <c r="A605" t="n">
        <v>192261</v>
      </c>
      <c r="B605" t="inlineStr">
        <is>
          <t xml:space="preserve">کمبو شعبه اعتباری کد اول و دوم </t>
        </is>
      </c>
      <c r="D605" t="inlineStr">
        <is>
          <t>Medium</t>
        </is>
      </c>
      <c r="E605" t="n">
        <v>1</v>
      </c>
      <c r="F605" t="inlineStr">
        <is>
          <t>Closed</t>
        </is>
      </c>
      <c r="G605" t="inlineStr">
        <is>
          <t>Other</t>
        </is>
      </c>
      <c r="J605" t="inlineStr">
        <is>
          <t>Dem</t>
        </is>
      </c>
      <c r="K605" t="inlineStr">
        <is>
          <t>DemBiz</t>
        </is>
      </c>
      <c r="M605" t="inlineStr">
        <is>
          <t>Moradi Mohammad</t>
        </is>
      </c>
      <c r="N605" t="inlineStr">
        <is>
          <t>Baniamer Shaghayegh</t>
        </is>
      </c>
      <c r="O605" s="42" t="n">
        <v>45962.63152777778</v>
      </c>
      <c r="Q605" s="42" t="n">
        <v>45962.63152777778</v>
      </c>
      <c r="S605" t="n">
        <v>0</v>
      </c>
      <c r="T605" s="42" t="n">
        <v>45962.63152777778</v>
      </c>
      <c r="Z605" s="42" t="n">
        <v>45962.63152777778</v>
      </c>
      <c r="AA605" t="n">
        <v>0</v>
      </c>
      <c r="AD605" t="n">
        <v>2</v>
      </c>
      <c r="AE605" t="n">
        <v>2</v>
      </c>
      <c r="AF605" t="n">
        <v>0</v>
      </c>
      <c r="AI605" t="n">
        <v>0</v>
      </c>
      <c r="AJ605" t="n">
        <v>0</v>
      </c>
      <c r="AK605" t="n">
        <v>0</v>
      </c>
      <c r="AL605" t="n">
        <v>0</v>
      </c>
      <c r="AN605" t="n">
        <v>0</v>
      </c>
      <c r="AO605" t="n">
        <v>0</v>
      </c>
      <c r="AP605" t="n">
        <v>0</v>
      </c>
      <c r="AQ605" t="n">
        <v>24</v>
      </c>
      <c r="AR605" t="n">
        <v>0</v>
      </c>
    </row>
    <row r="606">
      <c r="A606" t="n">
        <v>192262</v>
      </c>
      <c r="B606" t="inlineStr">
        <is>
          <t xml:space="preserve">کمبو مالک مربوطه در تغییر املاک/ درج تغییرات شرکت ، رکورد  نال نمایش میدهد </t>
        </is>
      </c>
      <c r="D606" t="inlineStr">
        <is>
          <t>Medium</t>
        </is>
      </c>
      <c r="E606" t="n">
        <v>1</v>
      </c>
      <c r="F606" t="inlineStr">
        <is>
          <t>Closed</t>
        </is>
      </c>
      <c r="G606" t="inlineStr">
        <is>
          <t>Other</t>
        </is>
      </c>
      <c r="J606" t="inlineStr">
        <is>
          <t>Dem</t>
        </is>
      </c>
      <c r="K606" t="inlineStr">
        <is>
          <t>DemBiz</t>
        </is>
      </c>
      <c r="M606" t="inlineStr">
        <is>
          <t>Hoseini Fatemeh</t>
        </is>
      </c>
      <c r="N606" t="inlineStr">
        <is>
          <t>Hajizadeh Elnaz</t>
        </is>
      </c>
      <c r="O606" s="42" t="n">
        <v>45965.62567129629</v>
      </c>
      <c r="Q606" s="42" t="n">
        <v>45965.62567129629</v>
      </c>
      <c r="S606" t="n">
        <v>0</v>
      </c>
      <c r="T606" s="42" t="n">
        <v>45965.62567129629</v>
      </c>
      <c r="Z606" s="42" t="n">
        <v>45965.62567129629</v>
      </c>
      <c r="AA606" t="n">
        <v>0</v>
      </c>
      <c r="AD606" t="n">
        <v>2</v>
      </c>
      <c r="AE606" t="n">
        <v>2</v>
      </c>
      <c r="AF606" t="n">
        <v>0</v>
      </c>
      <c r="AI606" t="n">
        <v>0</v>
      </c>
      <c r="AJ606" t="n">
        <v>0</v>
      </c>
      <c r="AK606" t="n">
        <v>0</v>
      </c>
      <c r="AL606" t="n">
        <v>0</v>
      </c>
      <c r="AN606" t="n">
        <v>0</v>
      </c>
      <c r="AO606" t="n">
        <v>0</v>
      </c>
      <c r="AP606" t="n">
        <v>0</v>
      </c>
      <c r="AQ606" t="n">
        <v>24</v>
      </c>
      <c r="AR606" t="n">
        <v>0</v>
      </c>
    </row>
    <row r="607">
      <c r="A607" t="n">
        <v>192267</v>
      </c>
      <c r="B607" t="inlineStr">
        <is>
          <t xml:space="preserve"> عدم ذخیره دیتا ثبت مجموع تعداد سهام لینک سهامدارن در ویرایش مشتری //NFWDem</t>
        </is>
      </c>
      <c r="D607" t="inlineStr">
        <is>
          <t>Medium</t>
        </is>
      </c>
      <c r="E607" t="n">
        <v>1</v>
      </c>
      <c r="F607" t="inlineStr">
        <is>
          <t>Closed</t>
        </is>
      </c>
      <c r="G607" t="inlineStr">
        <is>
          <t>Other</t>
        </is>
      </c>
      <c r="J607" t="inlineStr">
        <is>
          <t>Infrastructure Bizagi Extension</t>
        </is>
      </c>
      <c r="K607" t="inlineStr">
        <is>
          <t>SP-87</t>
        </is>
      </c>
      <c r="M607" t="inlineStr">
        <is>
          <t>Rezaee Reza</t>
        </is>
      </c>
      <c r="N607" t="inlineStr">
        <is>
          <t>Baniamer Shaghayegh</t>
        </is>
      </c>
      <c r="O607" s="42" t="n">
        <v>45972.43228009259</v>
      </c>
      <c r="Q607" s="42" t="n">
        <v>45972.43228009259</v>
      </c>
      <c r="S607" t="n">
        <v>0</v>
      </c>
      <c r="T607" s="42" t="n">
        <v>45972.43228009259</v>
      </c>
      <c r="Z607" s="42" t="n">
        <v>45972.43228009259</v>
      </c>
      <c r="AA607" t="n">
        <v>0</v>
      </c>
      <c r="AD607" t="n">
        <v>2</v>
      </c>
      <c r="AE607" t="n">
        <v>2</v>
      </c>
      <c r="AF607" t="n">
        <v>0</v>
      </c>
      <c r="AI607" t="n">
        <v>0</v>
      </c>
      <c r="AJ607" t="n">
        <v>0</v>
      </c>
      <c r="AK607" t="n">
        <v>0</v>
      </c>
      <c r="AL607" t="n">
        <v>0</v>
      </c>
      <c r="AN607" t="n">
        <v>0</v>
      </c>
      <c r="AO607" t="n">
        <v>0</v>
      </c>
      <c r="AP607" t="n">
        <v>0</v>
      </c>
      <c r="AQ607" t="n">
        <v>24</v>
      </c>
      <c r="AR607" t="n">
        <v>0</v>
      </c>
    </row>
    <row r="608">
      <c r="A608" t="n">
        <v>192292</v>
      </c>
      <c r="B608" t="inlineStr">
        <is>
          <t xml:space="preserve">خالی بودن زیر بخش  گزینه های ، منو سامانه </t>
        </is>
      </c>
      <c r="D608" t="inlineStr">
        <is>
          <t>Medium</t>
        </is>
      </c>
      <c r="E608" t="n">
        <v>2</v>
      </c>
      <c r="F608" t="inlineStr">
        <is>
          <t>Closed</t>
        </is>
      </c>
      <c r="G608" t="inlineStr">
        <is>
          <t>Other</t>
        </is>
      </c>
      <c r="J608" t="inlineStr">
        <is>
          <t>Dem</t>
        </is>
      </c>
      <c r="K608" t="inlineStr">
        <is>
          <t>DemBiz</t>
        </is>
      </c>
      <c r="M608" t="inlineStr">
        <is>
          <t>Hoseini Fatemeh</t>
        </is>
      </c>
      <c r="N608" t="inlineStr">
        <is>
          <t>Baniamer Shaghayegh</t>
        </is>
      </c>
      <c r="O608" s="42" t="n">
        <v>45962.67854166667</v>
      </c>
      <c r="Q608" s="42" t="n">
        <v>45962.67854166667</v>
      </c>
      <c r="S608" t="n">
        <v>0</v>
      </c>
      <c r="T608" s="42" t="n">
        <v>45962.67854166667</v>
      </c>
      <c r="Z608" s="42" t="n">
        <v>45962.67854166667</v>
      </c>
      <c r="AA608" t="n">
        <v>0</v>
      </c>
      <c r="AD608" t="n">
        <v>2</v>
      </c>
      <c r="AE608" t="n">
        <v>2</v>
      </c>
      <c r="AF608" t="n">
        <v>0</v>
      </c>
      <c r="AI608" t="n">
        <v>0</v>
      </c>
      <c r="AJ608" t="n">
        <v>0</v>
      </c>
      <c r="AK608" t="n">
        <v>0</v>
      </c>
      <c r="AL608" t="n">
        <v>0</v>
      </c>
      <c r="AN608" t="n">
        <v>0</v>
      </c>
      <c r="AO608" t="n">
        <v>0</v>
      </c>
      <c r="AP608" t="n">
        <v>0</v>
      </c>
      <c r="AQ608" t="n">
        <v>24</v>
      </c>
      <c r="AR608" t="n">
        <v>0</v>
      </c>
    </row>
    <row r="609">
      <c r="A609" t="n">
        <v>192322</v>
      </c>
      <c r="B609" t="inlineStr">
        <is>
          <t xml:space="preserve">داپلیکیت شدن سند در یوزر صندوق </t>
        </is>
      </c>
      <c r="D609" t="inlineStr">
        <is>
          <t>Medium</t>
        </is>
      </c>
      <c r="E609" t="n">
        <v>1</v>
      </c>
      <c r="F609" t="inlineStr">
        <is>
          <t>Closed</t>
        </is>
      </c>
      <c r="G609" t="inlineStr">
        <is>
          <t>Other</t>
        </is>
      </c>
      <c r="J609" t="inlineStr">
        <is>
          <t>Dem</t>
        </is>
      </c>
      <c r="K609" t="inlineStr">
        <is>
          <t>DemBiz</t>
        </is>
      </c>
      <c r="M609" t="inlineStr">
        <is>
          <t>Hoseini Fatemeh</t>
        </is>
      </c>
      <c r="N609" t="inlineStr">
        <is>
          <t>Hajizadeh Elnaz</t>
        </is>
      </c>
      <c r="O609" s="42" t="n">
        <v>45962.47431712963</v>
      </c>
      <c r="Q609" s="42" t="n">
        <v>45962.47431712963</v>
      </c>
      <c r="S609" t="n">
        <v>0</v>
      </c>
      <c r="T609" s="42" t="n">
        <v>45962.47431712963</v>
      </c>
      <c r="Z609" s="42" t="n">
        <v>45962.47431712963</v>
      </c>
      <c r="AA609" t="n">
        <v>0</v>
      </c>
      <c r="AD609" t="n">
        <v>2</v>
      </c>
      <c r="AE609" t="n">
        <v>2</v>
      </c>
      <c r="AF609" t="n">
        <v>0</v>
      </c>
      <c r="AI609" t="n">
        <v>0</v>
      </c>
      <c r="AJ609" t="n">
        <v>0</v>
      </c>
      <c r="AK609" t="n">
        <v>0</v>
      </c>
      <c r="AL609" t="n">
        <v>0</v>
      </c>
      <c r="AN609" t="n">
        <v>0</v>
      </c>
      <c r="AO609" t="n">
        <v>0</v>
      </c>
      <c r="AP609" t="n">
        <v>0</v>
      </c>
      <c r="AQ609" t="n">
        <v>24</v>
      </c>
      <c r="AR609" t="n">
        <v>0</v>
      </c>
    </row>
    <row r="610">
      <c r="A610" t="n">
        <v>192336</v>
      </c>
      <c r="B610" t="inlineStr">
        <is>
          <t>خطا در فراخوانی سرویس سوم ساماندهی</t>
        </is>
      </c>
      <c r="D610" t="inlineStr">
        <is>
          <t>Medium</t>
        </is>
      </c>
      <c r="E610" t="n">
        <v>1</v>
      </c>
      <c r="F610" t="inlineStr">
        <is>
          <t>Closed</t>
        </is>
      </c>
      <c r="G610" t="inlineStr">
        <is>
          <t>Other</t>
        </is>
      </c>
      <c r="I610" t="inlineStr">
        <is>
          <t>Kadastr_Team</t>
        </is>
      </c>
      <c r="J610" t="inlineStr">
        <is>
          <t>SAJAK</t>
        </is>
      </c>
      <c r="K610" t="inlineStr">
        <is>
          <t>GIS_Sprint 43</t>
        </is>
      </c>
      <c r="M610" t="inlineStr">
        <is>
          <t>GanjiRad Mohammad</t>
        </is>
      </c>
      <c r="N610" t="inlineStr">
        <is>
          <t>GanjiRad Mohammad</t>
        </is>
      </c>
      <c r="O610" s="42" t="n">
        <v>45976.34299768518</v>
      </c>
      <c r="Q610" s="42" t="n">
        <v>45976.34299768518</v>
      </c>
      <c r="S610" t="n">
        <v>0</v>
      </c>
      <c r="T610" s="42" t="n">
        <v>45976.34299768518</v>
      </c>
      <c r="Z610" s="42" t="n">
        <v>45976.34299768518</v>
      </c>
      <c r="AA610" t="n">
        <v>0</v>
      </c>
      <c r="AD610" t="n">
        <v>2</v>
      </c>
      <c r="AE610" t="n">
        <v>2</v>
      </c>
      <c r="AF610" t="n">
        <v>0</v>
      </c>
      <c r="AI610" t="n">
        <v>0</v>
      </c>
      <c r="AJ610" t="n">
        <v>0</v>
      </c>
      <c r="AK610" t="n">
        <v>0</v>
      </c>
      <c r="AL610" t="n">
        <v>0</v>
      </c>
      <c r="AN610" t="n">
        <v>0</v>
      </c>
      <c r="AO610" t="n">
        <v>0</v>
      </c>
      <c r="AP610" t="n">
        <v>0</v>
      </c>
      <c r="AQ610" t="n">
        <v>24</v>
      </c>
      <c r="AR610" t="n">
        <v>0</v>
      </c>
    </row>
    <row r="611">
      <c r="A611" t="n">
        <v>192340</v>
      </c>
      <c r="B611" t="inlineStr">
        <is>
          <t>مجوز خروج امحاء - فرم ثبت برگ باسکول. فیلد وزن اسناد(کیلوگرم) NFWARCH</t>
        </is>
      </c>
      <c r="D611" t="inlineStr">
        <is>
          <t>Medium</t>
        </is>
      </c>
      <c r="E611" t="n">
        <v>2</v>
      </c>
      <c r="F611" t="inlineStr">
        <is>
          <t>Closed</t>
        </is>
      </c>
      <c r="G611" t="inlineStr">
        <is>
          <t>Other</t>
        </is>
      </c>
      <c r="J611" t="inlineStr">
        <is>
          <t>Infrastructure Bizagi Extension</t>
        </is>
      </c>
      <c r="K611" t="inlineStr">
        <is>
          <t>SP-87</t>
        </is>
      </c>
      <c r="M611" t="inlineStr">
        <is>
          <t>Jafari Saeed</t>
        </is>
      </c>
      <c r="N611" t="inlineStr">
        <is>
          <t>Sharifi Shayan</t>
        </is>
      </c>
      <c r="O611" s="42" t="n">
        <v>45969.67958333333</v>
      </c>
      <c r="Q611" s="42" t="n">
        <v>45969.67958333333</v>
      </c>
      <c r="S611" t="n">
        <v>0</v>
      </c>
      <c r="T611" s="42" t="n">
        <v>45969.67958333333</v>
      </c>
      <c r="Z611" s="42" t="n">
        <v>45969.67958333333</v>
      </c>
      <c r="AA611" t="n">
        <v>0</v>
      </c>
      <c r="AD611" t="n">
        <v>2</v>
      </c>
      <c r="AE611" t="n">
        <v>2</v>
      </c>
      <c r="AF611" t="n">
        <v>0</v>
      </c>
      <c r="AI611" t="n">
        <v>0</v>
      </c>
      <c r="AJ611" t="n">
        <v>0</v>
      </c>
      <c r="AK611" t="n">
        <v>0</v>
      </c>
      <c r="AL611" t="n">
        <v>0</v>
      </c>
      <c r="AN611" t="n">
        <v>0</v>
      </c>
      <c r="AO611" t="n">
        <v>0</v>
      </c>
      <c r="AP611" t="n">
        <v>0</v>
      </c>
      <c r="AQ611" t="n">
        <v>24</v>
      </c>
      <c r="AR611" t="n">
        <v>0</v>
      </c>
    </row>
    <row r="612">
      <c r="A612" t="n">
        <v>192341</v>
      </c>
      <c r="B612" t="inlineStr">
        <is>
          <t>لاگین سامانه</t>
        </is>
      </c>
      <c r="D612" t="inlineStr">
        <is>
          <t>Medium</t>
        </is>
      </c>
      <c r="E612" t="n">
        <v>1</v>
      </c>
      <c r="F612" t="inlineStr">
        <is>
          <t>Closed</t>
        </is>
      </c>
      <c r="G612" t="inlineStr">
        <is>
          <t>Other</t>
        </is>
      </c>
      <c r="J612" t="inlineStr">
        <is>
          <t>Transportation</t>
        </is>
      </c>
      <c r="K612" t="inlineStr">
        <is>
          <t>Sp_23</t>
        </is>
      </c>
      <c r="M612" t="inlineStr">
        <is>
          <t>Navab Erfan</t>
        </is>
      </c>
      <c r="N612" t="inlineStr">
        <is>
          <t>Ghafarian Ghazaleh</t>
        </is>
      </c>
      <c r="O612" s="42" t="n">
        <v>45965.42689814815</v>
      </c>
      <c r="Q612" s="42" t="n">
        <v>45965.42689814815</v>
      </c>
      <c r="S612" t="n">
        <v>0</v>
      </c>
      <c r="T612" s="42" t="n">
        <v>45965.42689814815</v>
      </c>
      <c r="Z612" s="42" t="n">
        <v>45965.42689814815</v>
      </c>
      <c r="AA612" t="n">
        <v>0</v>
      </c>
      <c r="AD612" t="n">
        <v>2</v>
      </c>
      <c r="AE612" t="n">
        <v>2</v>
      </c>
      <c r="AF612" t="n">
        <v>0</v>
      </c>
      <c r="AI612" t="n">
        <v>0</v>
      </c>
      <c r="AJ612" t="n">
        <v>0</v>
      </c>
      <c r="AK612" t="n">
        <v>0</v>
      </c>
      <c r="AL612" t="n">
        <v>0</v>
      </c>
      <c r="AN612" t="n">
        <v>0</v>
      </c>
      <c r="AO612" t="n">
        <v>0</v>
      </c>
      <c r="AP612" t="n">
        <v>0</v>
      </c>
      <c r="AQ612" t="n">
        <v>24</v>
      </c>
      <c r="AR612" t="n">
        <v>0</v>
      </c>
    </row>
    <row r="613">
      <c r="A613" t="n">
        <v>192347</v>
      </c>
      <c r="B613" t="inlineStr">
        <is>
          <t>AE_SAJA\\  عدم نمایش اطلاعات مالتی سکلکت کومبو فیلد موارد نقص اطلاعات</t>
        </is>
      </c>
      <c r="D613" t="inlineStr">
        <is>
          <t>Medium</t>
        </is>
      </c>
      <c r="E613" t="n">
        <v>1</v>
      </c>
      <c r="F613" t="inlineStr">
        <is>
          <t>Closed</t>
        </is>
      </c>
      <c r="G613" t="inlineStr">
        <is>
          <t>Other</t>
        </is>
      </c>
      <c r="J613" t="inlineStr">
        <is>
          <t>Infrastructure Bizagi Extension</t>
        </is>
      </c>
      <c r="K613" t="inlineStr">
        <is>
          <t>SP-86</t>
        </is>
      </c>
      <c r="M613" t="inlineStr">
        <is>
          <t>Nemati Hasan</t>
        </is>
      </c>
      <c r="N613" t="inlineStr">
        <is>
          <t>Tedadi Abbas</t>
        </is>
      </c>
      <c r="O613" s="42" t="n">
        <v>45998.68989583333</v>
      </c>
      <c r="Q613" s="42" t="n">
        <v>45998.68989583333</v>
      </c>
      <c r="S613" t="n">
        <v>0</v>
      </c>
      <c r="T613" s="42" t="n">
        <v>45998.68989583333</v>
      </c>
      <c r="Z613" s="42" t="n">
        <v>45998.68989583333</v>
      </c>
      <c r="AA613" t="n">
        <v>0</v>
      </c>
      <c r="AD613" t="n">
        <v>2</v>
      </c>
      <c r="AE613" t="n">
        <v>2</v>
      </c>
      <c r="AF613" t="n">
        <v>0</v>
      </c>
      <c r="AI613" t="n">
        <v>0</v>
      </c>
      <c r="AJ613" t="n">
        <v>0</v>
      </c>
      <c r="AK613" t="n">
        <v>0</v>
      </c>
      <c r="AL613" t="n">
        <v>0</v>
      </c>
      <c r="AN613" t="n">
        <v>0</v>
      </c>
      <c r="AO613" t="n">
        <v>0</v>
      </c>
      <c r="AP613" t="n">
        <v>0</v>
      </c>
      <c r="AQ613" t="n">
        <v>24</v>
      </c>
      <c r="AR613" t="n">
        <v>0</v>
      </c>
    </row>
    <row r="614">
      <c r="A614" t="n">
        <v>192350</v>
      </c>
      <c r="B614" t="inlineStr">
        <is>
          <t xml:space="preserve">بعداز حذف تعدادی سهامداراز لیست ، امکان ویرایش  سهامدار موجود ، نمی باشد </t>
        </is>
      </c>
      <c r="D614" t="inlineStr">
        <is>
          <t>Medium</t>
        </is>
      </c>
      <c r="E614" t="n">
        <v>1</v>
      </c>
      <c r="F614" t="inlineStr">
        <is>
          <t>Closed</t>
        </is>
      </c>
      <c r="G614" t="inlineStr">
        <is>
          <t>Other</t>
        </is>
      </c>
      <c r="J614" t="inlineStr">
        <is>
          <t>Dem</t>
        </is>
      </c>
      <c r="K614" t="inlineStr">
        <is>
          <t>DemBiz</t>
        </is>
      </c>
      <c r="M614" t="inlineStr">
        <is>
          <t>Hoseini Fatemeh</t>
        </is>
      </c>
      <c r="N614" t="inlineStr">
        <is>
          <t>Hajizadeh Elnaz</t>
        </is>
      </c>
      <c r="O614" s="42" t="n">
        <v>45962.50674768518</v>
      </c>
      <c r="Q614" s="42" t="n">
        <v>45962.50674768518</v>
      </c>
      <c r="S614" t="n">
        <v>0</v>
      </c>
      <c r="T614" s="42" t="n">
        <v>45962.50674768518</v>
      </c>
      <c r="Z614" s="42" t="n">
        <v>45962.50674768518</v>
      </c>
      <c r="AA614" t="n">
        <v>0</v>
      </c>
      <c r="AD614" t="n">
        <v>2</v>
      </c>
      <c r="AE614" t="n">
        <v>2</v>
      </c>
      <c r="AF614" t="n">
        <v>0</v>
      </c>
      <c r="AI614" t="n">
        <v>0</v>
      </c>
      <c r="AJ614" t="n">
        <v>0</v>
      </c>
      <c r="AK614" t="n">
        <v>0</v>
      </c>
      <c r="AL614" t="n">
        <v>0</v>
      </c>
      <c r="AN614" t="n">
        <v>0</v>
      </c>
      <c r="AO614" t="n">
        <v>0</v>
      </c>
      <c r="AP614" t="n">
        <v>0</v>
      </c>
      <c r="AQ614" t="n">
        <v>24</v>
      </c>
      <c r="AR614" t="n">
        <v>0</v>
      </c>
    </row>
    <row r="615">
      <c r="A615" t="n">
        <v>192351</v>
      </c>
      <c r="B615" t="inlineStr">
        <is>
          <t>ثبت خودرو - فرم مشاهده جزئیات. اصلاح املایی عنوان مربوط به فیلد مرکز تعویض پلاک</t>
        </is>
      </c>
      <c r="D615" t="inlineStr">
        <is>
          <t>Medium</t>
        </is>
      </c>
      <c r="E615" t="n">
        <v>2</v>
      </c>
      <c r="F615" t="inlineStr">
        <is>
          <t>Closed</t>
        </is>
      </c>
      <c r="G615" t="inlineStr">
        <is>
          <t>Other</t>
        </is>
      </c>
      <c r="J615" t="inlineStr">
        <is>
          <t>Transportation</t>
        </is>
      </c>
      <c r="K615" t="inlineStr">
        <is>
          <t>Sp_23</t>
        </is>
      </c>
      <c r="M615" t="inlineStr">
        <is>
          <t>Homayoun Mohammad</t>
        </is>
      </c>
      <c r="N615" t="inlineStr">
        <is>
          <t>Ghafarian Ghazaleh</t>
        </is>
      </c>
      <c r="O615" s="42" t="n">
        <v>45965.49263888889</v>
      </c>
      <c r="Q615" s="42" t="n">
        <v>45965.49263888889</v>
      </c>
      <c r="S615" t="n">
        <v>0</v>
      </c>
      <c r="T615" s="42" t="n">
        <v>45965.49263888889</v>
      </c>
      <c r="Z615" s="42" t="n">
        <v>45965.49263888889</v>
      </c>
      <c r="AA615" t="n">
        <v>0</v>
      </c>
      <c r="AD615" t="n">
        <v>2</v>
      </c>
      <c r="AE615" t="n">
        <v>2</v>
      </c>
      <c r="AF615" t="n">
        <v>0</v>
      </c>
      <c r="AI615" t="n">
        <v>0</v>
      </c>
      <c r="AJ615" t="n">
        <v>0</v>
      </c>
      <c r="AK615" t="n">
        <v>0</v>
      </c>
      <c r="AL615" t="n">
        <v>0</v>
      </c>
      <c r="AN615" t="n">
        <v>0</v>
      </c>
      <c r="AO615" t="n">
        <v>0</v>
      </c>
      <c r="AP615" t="n">
        <v>0</v>
      </c>
      <c r="AQ615" t="n">
        <v>24</v>
      </c>
      <c r="AR615" t="n">
        <v>0</v>
      </c>
    </row>
    <row r="616">
      <c r="A616" t="n">
        <v>192361</v>
      </c>
      <c r="B616" t="inlineStr">
        <is>
          <t>گزارش خودروهای ترابری - فیلد پلاک اموال</t>
        </is>
      </c>
      <c r="D616" t="inlineStr">
        <is>
          <t>Medium</t>
        </is>
      </c>
      <c r="E616" t="n">
        <v>2</v>
      </c>
      <c r="F616" t="inlineStr">
        <is>
          <t>Closed</t>
        </is>
      </c>
      <c r="G616" t="inlineStr">
        <is>
          <t>Other</t>
        </is>
      </c>
      <c r="J616" t="inlineStr">
        <is>
          <t>Transportation</t>
        </is>
      </c>
      <c r="K616" t="inlineStr">
        <is>
          <t>Sp_23</t>
        </is>
      </c>
      <c r="M616" t="inlineStr">
        <is>
          <t>Homayoun Mohammad</t>
        </is>
      </c>
      <c r="N616" t="inlineStr">
        <is>
          <t>Ghafarian Ghazaleh</t>
        </is>
      </c>
      <c r="O616" s="42" t="n">
        <v>45965.49494212963</v>
      </c>
      <c r="Q616" s="42" t="n">
        <v>45965.49494212963</v>
      </c>
      <c r="S616" t="n">
        <v>0</v>
      </c>
      <c r="T616" s="42" t="n">
        <v>45965.49494212963</v>
      </c>
      <c r="Z616" s="42" t="n">
        <v>45965.49494212963</v>
      </c>
      <c r="AA616" t="n">
        <v>0</v>
      </c>
      <c r="AD616" t="n">
        <v>2</v>
      </c>
      <c r="AE616" t="n">
        <v>2</v>
      </c>
      <c r="AF616" t="n">
        <v>0</v>
      </c>
      <c r="AI616" t="n">
        <v>0</v>
      </c>
      <c r="AJ616" t="n">
        <v>0</v>
      </c>
      <c r="AK616" t="n">
        <v>0</v>
      </c>
      <c r="AL616" t="n">
        <v>0</v>
      </c>
      <c r="AN616" t="n">
        <v>0</v>
      </c>
      <c r="AO616" t="n">
        <v>0</v>
      </c>
      <c r="AP616" t="n">
        <v>0</v>
      </c>
      <c r="AQ616" t="n">
        <v>24</v>
      </c>
      <c r="AR616" t="n">
        <v>0</v>
      </c>
    </row>
    <row r="617">
      <c r="A617" t="n">
        <v>192367</v>
      </c>
      <c r="B617" t="inlineStr">
        <is>
          <t>خودرو - ویرایش مرکز تعویض پلاک</t>
        </is>
      </c>
      <c r="D617" t="inlineStr">
        <is>
          <t>Medium</t>
        </is>
      </c>
      <c r="E617" t="n">
        <v>2</v>
      </c>
      <c r="F617" t="inlineStr">
        <is>
          <t>Closed</t>
        </is>
      </c>
      <c r="G617" t="inlineStr">
        <is>
          <t>Other</t>
        </is>
      </c>
      <c r="J617" t="inlineStr">
        <is>
          <t>Transportation</t>
        </is>
      </c>
      <c r="K617" t="inlineStr">
        <is>
          <t>Sp_23</t>
        </is>
      </c>
      <c r="M617" t="inlineStr">
        <is>
          <t>Homayoun Mohammad</t>
        </is>
      </c>
      <c r="N617" t="inlineStr">
        <is>
          <t>Sharifi Shayan</t>
        </is>
      </c>
      <c r="O617" s="42" t="n">
        <v>45966.5821875</v>
      </c>
      <c r="Q617" s="42" t="n">
        <v>45966.5821875</v>
      </c>
      <c r="S617" t="n">
        <v>0</v>
      </c>
      <c r="T617" s="42" t="n">
        <v>45966.5821875</v>
      </c>
      <c r="Z617" s="42" t="n">
        <v>45966.5821875</v>
      </c>
      <c r="AA617" t="n">
        <v>0</v>
      </c>
      <c r="AD617" t="n">
        <v>2</v>
      </c>
      <c r="AE617" t="n">
        <v>2</v>
      </c>
      <c r="AF617" t="n">
        <v>0</v>
      </c>
      <c r="AI617" t="n">
        <v>0</v>
      </c>
      <c r="AJ617" t="n">
        <v>0</v>
      </c>
      <c r="AK617" t="n">
        <v>0</v>
      </c>
      <c r="AL617" t="n">
        <v>0</v>
      </c>
      <c r="AN617" t="n">
        <v>0</v>
      </c>
      <c r="AO617" t="n">
        <v>0</v>
      </c>
      <c r="AP617" t="n">
        <v>0</v>
      </c>
      <c r="AQ617" t="n">
        <v>24</v>
      </c>
      <c r="AR617" t="n">
        <v>0</v>
      </c>
    </row>
    <row r="618">
      <c r="A618" t="n">
        <v>192373</v>
      </c>
      <c r="B618" t="inlineStr">
        <is>
          <t>گزارش خودروهای ترابری - فیلد شماره موتور در فیلترهای گزارش</t>
        </is>
      </c>
      <c r="D618" t="inlineStr">
        <is>
          <t>Medium</t>
        </is>
      </c>
      <c r="E618" t="n">
        <v>2</v>
      </c>
      <c r="F618" t="inlineStr">
        <is>
          <t>Closed</t>
        </is>
      </c>
      <c r="G618" t="inlineStr">
        <is>
          <t>Other</t>
        </is>
      </c>
      <c r="J618" t="inlineStr">
        <is>
          <t>Transportation</t>
        </is>
      </c>
      <c r="K618" t="inlineStr">
        <is>
          <t>Sp_23</t>
        </is>
      </c>
      <c r="M618" t="inlineStr">
        <is>
          <t>Homayoun Mohammad</t>
        </is>
      </c>
      <c r="N618" t="inlineStr">
        <is>
          <t>Ghafarian Ghazaleh</t>
        </is>
      </c>
      <c r="O618" s="42" t="n">
        <v>45965.52289351852</v>
      </c>
      <c r="Q618" s="42" t="n">
        <v>45965.52289351852</v>
      </c>
      <c r="S618" t="n">
        <v>0</v>
      </c>
      <c r="T618" s="42" t="n">
        <v>45965.52289351852</v>
      </c>
      <c r="Z618" s="42" t="n">
        <v>45965.52289351852</v>
      </c>
      <c r="AA618" t="n">
        <v>0</v>
      </c>
      <c r="AD618" t="n">
        <v>2</v>
      </c>
      <c r="AE618" t="n">
        <v>2</v>
      </c>
      <c r="AF618" t="n">
        <v>0</v>
      </c>
      <c r="AI618" t="n">
        <v>0</v>
      </c>
      <c r="AJ618" t="n">
        <v>0</v>
      </c>
      <c r="AK618" t="n">
        <v>0</v>
      </c>
      <c r="AL618" t="n">
        <v>0</v>
      </c>
      <c r="AN618" t="n">
        <v>0</v>
      </c>
      <c r="AO618" t="n">
        <v>0</v>
      </c>
      <c r="AP618" t="n">
        <v>0</v>
      </c>
      <c r="AQ618" t="n">
        <v>24</v>
      </c>
      <c r="AR618" t="n">
        <v>0</v>
      </c>
    </row>
    <row r="619">
      <c r="A619" t="n">
        <v>192380</v>
      </c>
      <c r="B619" t="inlineStr">
        <is>
          <t xml:space="preserve">نمایشی بودن فرم ویرایش در عقد مشارکتی </t>
        </is>
      </c>
      <c r="D619" t="inlineStr">
        <is>
          <t>Medium</t>
        </is>
      </c>
      <c r="E619" t="n">
        <v>2</v>
      </c>
      <c r="F619" t="inlineStr">
        <is>
          <t>Closed</t>
        </is>
      </c>
      <c r="G619" t="inlineStr">
        <is>
          <t>Other</t>
        </is>
      </c>
      <c r="J619" t="inlineStr">
        <is>
          <t>Dem</t>
        </is>
      </c>
      <c r="K619" t="inlineStr">
        <is>
          <t>DemBiz</t>
        </is>
      </c>
      <c r="M619" t="inlineStr">
        <is>
          <t>Arshi Mahmood</t>
        </is>
      </c>
      <c r="N619" t="inlineStr">
        <is>
          <t>Baniamer Shaghayegh</t>
        </is>
      </c>
      <c r="O619" s="42" t="n">
        <v>45963.89094907408</v>
      </c>
      <c r="Q619" s="42" t="n">
        <v>45963.89094907408</v>
      </c>
      <c r="S619" t="n">
        <v>0</v>
      </c>
      <c r="T619" s="42" t="n">
        <v>45963.89094907408</v>
      </c>
      <c r="Z619" s="42" t="n">
        <v>45963.89094907408</v>
      </c>
      <c r="AA619" t="n">
        <v>0</v>
      </c>
      <c r="AD619" t="n">
        <v>2</v>
      </c>
      <c r="AE619" t="n">
        <v>2</v>
      </c>
      <c r="AF619" t="n">
        <v>0</v>
      </c>
      <c r="AI619" t="n">
        <v>0</v>
      </c>
      <c r="AJ619" t="n">
        <v>0</v>
      </c>
      <c r="AK619" t="n">
        <v>0</v>
      </c>
      <c r="AL619" t="n">
        <v>0</v>
      </c>
      <c r="AN619" t="n">
        <v>0</v>
      </c>
      <c r="AO619" t="n">
        <v>0</v>
      </c>
      <c r="AP619" t="n">
        <v>0</v>
      </c>
      <c r="AQ619" t="n">
        <v>24</v>
      </c>
      <c r="AR619" t="n">
        <v>0</v>
      </c>
    </row>
    <row r="620">
      <c r="A620" t="n">
        <v>192382</v>
      </c>
      <c r="B620" t="inlineStr">
        <is>
          <t>منفی شدن درصد سهامداران//NFWDem</t>
        </is>
      </c>
      <c r="D620" t="inlineStr">
        <is>
          <t>Medium</t>
        </is>
      </c>
      <c r="E620" t="n">
        <v>1</v>
      </c>
      <c r="F620" t="inlineStr">
        <is>
          <t>Closed</t>
        </is>
      </c>
      <c r="G620" t="inlineStr">
        <is>
          <t>Other</t>
        </is>
      </c>
      <c r="J620" t="inlineStr">
        <is>
          <t>Infrastructure Bizagi Extension</t>
        </is>
      </c>
      <c r="K620" t="inlineStr">
        <is>
          <t>SP-87</t>
        </is>
      </c>
      <c r="M620" t="inlineStr">
        <is>
          <t>Rezaee Reza</t>
        </is>
      </c>
      <c r="N620" t="inlineStr">
        <is>
          <t>Baniamer Shaghayegh</t>
        </is>
      </c>
      <c r="O620" s="42" t="n">
        <v>45965.49748842593</v>
      </c>
      <c r="Q620" s="42" t="n">
        <v>45965.49748842593</v>
      </c>
      <c r="S620" t="n">
        <v>0</v>
      </c>
      <c r="T620" s="42" t="n">
        <v>45965.49748842593</v>
      </c>
      <c r="Z620" s="42" t="n">
        <v>45965.49748842593</v>
      </c>
      <c r="AA620" t="n">
        <v>0</v>
      </c>
      <c r="AD620" t="n">
        <v>2</v>
      </c>
      <c r="AE620" t="n">
        <v>2</v>
      </c>
      <c r="AF620" t="n">
        <v>0</v>
      </c>
      <c r="AI620" t="n">
        <v>0</v>
      </c>
      <c r="AJ620" t="n">
        <v>0</v>
      </c>
      <c r="AK620" t="n">
        <v>0</v>
      </c>
      <c r="AL620" t="n">
        <v>0</v>
      </c>
      <c r="AN620" t="n">
        <v>0</v>
      </c>
      <c r="AO620" t="n">
        <v>0</v>
      </c>
      <c r="AP620" t="n">
        <v>0</v>
      </c>
      <c r="AQ620" t="n">
        <v>24</v>
      </c>
      <c r="AR620" t="n">
        <v>0</v>
      </c>
    </row>
    <row r="621">
      <c r="A621" t="n">
        <v>192393</v>
      </c>
      <c r="B621" t="inlineStr">
        <is>
          <t>عدم نیاز دکمه جست و جو در جداول با تعداد رکوردهای کم</t>
        </is>
      </c>
      <c r="D621" t="inlineStr">
        <is>
          <t>Medium</t>
        </is>
      </c>
      <c r="E621" t="n">
        <v>4</v>
      </c>
      <c r="F621" t="inlineStr">
        <is>
          <t>Closed</t>
        </is>
      </c>
      <c r="G621" t="inlineStr">
        <is>
          <t>Other</t>
        </is>
      </c>
      <c r="I621" t="inlineStr">
        <is>
          <t>Bizagi_Team</t>
        </is>
      </c>
      <c r="J621" t="inlineStr">
        <is>
          <t>SAJAK</t>
        </is>
      </c>
      <c r="K621" t="inlineStr">
        <is>
          <t>GIS_Sprint 43</t>
        </is>
      </c>
      <c r="M621" t="inlineStr">
        <is>
          <t>Zeynali Masoud</t>
        </is>
      </c>
      <c r="N621" t="inlineStr">
        <is>
          <t>Moradnoori Parinaz</t>
        </is>
      </c>
      <c r="O621" s="42" t="n">
        <v>45978.7437037037</v>
      </c>
      <c r="Q621" s="42" t="n">
        <v>45978.7437037037</v>
      </c>
      <c r="S621" t="n">
        <v>0</v>
      </c>
      <c r="T621" s="42" t="n">
        <v>45978.7437037037</v>
      </c>
      <c r="Z621" s="42" t="n">
        <v>45978.7437037037</v>
      </c>
      <c r="AA621" t="n">
        <v>0</v>
      </c>
      <c r="AD621" t="n">
        <v>2</v>
      </c>
      <c r="AE621" t="n">
        <v>2</v>
      </c>
      <c r="AF621" t="n">
        <v>0</v>
      </c>
      <c r="AI621" t="n">
        <v>0</v>
      </c>
      <c r="AJ621" t="n">
        <v>0</v>
      </c>
      <c r="AK621" t="n">
        <v>0</v>
      </c>
      <c r="AL621" t="n">
        <v>0</v>
      </c>
      <c r="AN621" t="n">
        <v>0</v>
      </c>
      <c r="AO621" t="n">
        <v>0</v>
      </c>
      <c r="AP621" t="n">
        <v>0</v>
      </c>
      <c r="AQ621" t="n">
        <v>24</v>
      </c>
      <c r="AR621" t="n">
        <v>0</v>
      </c>
    </row>
    <row r="622">
      <c r="A622" t="n">
        <v>192398</v>
      </c>
      <c r="B622" t="inlineStr">
        <is>
          <t>خلافی - گزارش خلافی خودرو. فیلد مبلغ</t>
        </is>
      </c>
      <c r="D622" t="inlineStr">
        <is>
          <t>Medium</t>
        </is>
      </c>
      <c r="E622" t="n">
        <v>2</v>
      </c>
      <c r="F622" t="inlineStr">
        <is>
          <t>Closed</t>
        </is>
      </c>
      <c r="G622" t="inlineStr">
        <is>
          <t>Other</t>
        </is>
      </c>
      <c r="J622" t="inlineStr">
        <is>
          <t>Transportation</t>
        </is>
      </c>
      <c r="K622" t="inlineStr">
        <is>
          <t>Sp_23</t>
        </is>
      </c>
      <c r="M622" t="inlineStr">
        <is>
          <t>Homayoun Mohammad</t>
        </is>
      </c>
      <c r="N622" t="inlineStr">
        <is>
          <t>Ghafarian Ghazaleh</t>
        </is>
      </c>
      <c r="O622" s="42" t="n">
        <v>45965.53472222222</v>
      </c>
      <c r="Q622" s="42" t="n">
        <v>45965.53472222222</v>
      </c>
      <c r="S622" t="n">
        <v>0</v>
      </c>
      <c r="T622" s="42" t="n">
        <v>45965.53472222222</v>
      </c>
      <c r="Z622" s="42" t="n">
        <v>45965.53472222222</v>
      </c>
      <c r="AA622" t="n">
        <v>0</v>
      </c>
      <c r="AD622" t="n">
        <v>2</v>
      </c>
      <c r="AE622" t="n">
        <v>2</v>
      </c>
      <c r="AF622" t="n">
        <v>0</v>
      </c>
      <c r="AI622" t="n">
        <v>0</v>
      </c>
      <c r="AJ622" t="n">
        <v>0</v>
      </c>
      <c r="AK622" t="n">
        <v>0</v>
      </c>
      <c r="AL622" t="n">
        <v>0</v>
      </c>
      <c r="AN622" t="n">
        <v>0</v>
      </c>
      <c r="AO622" t="n">
        <v>0</v>
      </c>
      <c r="AP622" t="n">
        <v>0</v>
      </c>
      <c r="AQ622" t="n">
        <v>24</v>
      </c>
      <c r="AR622" t="n">
        <v>0</v>
      </c>
    </row>
    <row r="623">
      <c r="A623" t="n">
        <v>192404</v>
      </c>
      <c r="B623" t="inlineStr">
        <is>
          <t xml:space="preserve">عدم تغییر پراگرس بار در کمیته اعتباری منطقه </t>
        </is>
      </c>
      <c r="D623" t="inlineStr">
        <is>
          <t>Medium</t>
        </is>
      </c>
      <c r="E623" t="n">
        <v>2</v>
      </c>
      <c r="F623" t="inlineStr">
        <is>
          <t>Closed</t>
        </is>
      </c>
      <c r="G623" t="inlineStr">
        <is>
          <t>Other</t>
        </is>
      </c>
      <c r="J623" t="inlineStr">
        <is>
          <t>Dem</t>
        </is>
      </c>
      <c r="K623" t="inlineStr">
        <is>
          <t>DemBiz</t>
        </is>
      </c>
      <c r="M623" t="inlineStr">
        <is>
          <t>Hoseini Fatemeh</t>
        </is>
      </c>
      <c r="N623" t="inlineStr">
        <is>
          <t>Baniamer Shaghayegh</t>
        </is>
      </c>
      <c r="O623" s="42" t="n">
        <v>45963.4880324074</v>
      </c>
      <c r="Q623" s="42" t="n">
        <v>45963.4880324074</v>
      </c>
      <c r="S623" t="n">
        <v>0</v>
      </c>
      <c r="T623" s="42" t="n">
        <v>45963.4880324074</v>
      </c>
      <c r="Z623" s="42" t="n">
        <v>45963.4880324074</v>
      </c>
      <c r="AA623" t="n">
        <v>0</v>
      </c>
      <c r="AD623" t="n">
        <v>2</v>
      </c>
      <c r="AE623" t="n">
        <v>2</v>
      </c>
      <c r="AF623" t="n">
        <v>0</v>
      </c>
      <c r="AI623" t="n">
        <v>0</v>
      </c>
      <c r="AJ623" t="n">
        <v>0</v>
      </c>
      <c r="AK623" t="n">
        <v>0</v>
      </c>
      <c r="AL623" t="n">
        <v>0</v>
      </c>
      <c r="AN623" t="n">
        <v>0</v>
      </c>
      <c r="AO623" t="n">
        <v>0</v>
      </c>
      <c r="AP623" t="n">
        <v>0</v>
      </c>
      <c r="AQ623" t="n">
        <v>24</v>
      </c>
      <c r="AR623" t="n">
        <v>0</v>
      </c>
    </row>
    <row r="624">
      <c r="A624" t="n">
        <v>192406</v>
      </c>
      <c r="B624" t="inlineStr">
        <is>
          <t>تاریخچه کمیته اعتباری منطقه ،  تغییرات پرونده را تکراری نمایش می دهد</t>
        </is>
      </c>
      <c r="D624" t="inlineStr">
        <is>
          <t>Medium</t>
        </is>
      </c>
      <c r="E624" t="n">
        <v>1</v>
      </c>
      <c r="F624" t="inlineStr">
        <is>
          <t>Closed</t>
        </is>
      </c>
      <c r="G624" t="inlineStr">
        <is>
          <t>Other</t>
        </is>
      </c>
      <c r="J624" t="inlineStr">
        <is>
          <t>Dem</t>
        </is>
      </c>
      <c r="K624" t="inlineStr">
        <is>
          <t>DemBiz</t>
        </is>
      </c>
      <c r="M624" t="inlineStr">
        <is>
          <t>Hoseini Fatemeh</t>
        </is>
      </c>
      <c r="N624" t="inlineStr">
        <is>
          <t>Baniamer Shaghayegh</t>
        </is>
      </c>
      <c r="O624" s="42" t="n">
        <v>45963.88861111111</v>
      </c>
      <c r="Q624" s="42" t="n">
        <v>45963.88861111111</v>
      </c>
      <c r="S624" t="n">
        <v>0</v>
      </c>
      <c r="T624" s="42" t="n">
        <v>45963.88861111111</v>
      </c>
      <c r="Z624" s="42" t="n">
        <v>45963.88861111111</v>
      </c>
      <c r="AA624" t="n">
        <v>0</v>
      </c>
      <c r="AD624" t="n">
        <v>2</v>
      </c>
      <c r="AE624" t="n">
        <v>2</v>
      </c>
      <c r="AF624" t="n">
        <v>0</v>
      </c>
      <c r="AI624" t="n">
        <v>0</v>
      </c>
      <c r="AJ624" t="n">
        <v>0</v>
      </c>
      <c r="AK624" t="n">
        <v>0</v>
      </c>
      <c r="AL624" t="n">
        <v>0</v>
      </c>
      <c r="AN624" t="n">
        <v>0</v>
      </c>
      <c r="AO624" t="n">
        <v>0</v>
      </c>
      <c r="AP624" t="n">
        <v>0</v>
      </c>
      <c r="AQ624" t="n">
        <v>24</v>
      </c>
      <c r="AR624" t="n">
        <v>0</v>
      </c>
    </row>
    <row r="625">
      <c r="A625" t="n">
        <v>192455</v>
      </c>
      <c r="B625" t="inlineStr">
        <is>
          <t xml:space="preserve">اتچ شدن فایل پی دی اف پیش نویس در فرم تکمیل اطلاعات </t>
        </is>
      </c>
      <c r="D625" t="inlineStr">
        <is>
          <t>Medium</t>
        </is>
      </c>
      <c r="E625" t="n">
        <v>2</v>
      </c>
      <c r="F625" t="inlineStr">
        <is>
          <t>Closed</t>
        </is>
      </c>
      <c r="G625" t="inlineStr">
        <is>
          <t>Other</t>
        </is>
      </c>
      <c r="J625" t="inlineStr">
        <is>
          <t>Dem</t>
        </is>
      </c>
      <c r="K625" t="inlineStr">
        <is>
          <t>DemBiz</t>
        </is>
      </c>
      <c r="M625" t="inlineStr">
        <is>
          <t>Moradi Mohammad</t>
        </is>
      </c>
      <c r="N625" t="inlineStr">
        <is>
          <t>Baniamer Shaghayegh</t>
        </is>
      </c>
      <c r="O625" s="42" t="n">
        <v>45962.82895833333</v>
      </c>
      <c r="Q625" s="42" t="n">
        <v>45962.82895833333</v>
      </c>
      <c r="S625" t="n">
        <v>0</v>
      </c>
      <c r="T625" s="42" t="n">
        <v>45962.82895833333</v>
      </c>
      <c r="Z625" s="42" t="n">
        <v>45962.82895833333</v>
      </c>
      <c r="AA625" t="n">
        <v>0</v>
      </c>
      <c r="AD625" t="n">
        <v>2</v>
      </c>
      <c r="AE625" t="n">
        <v>2</v>
      </c>
      <c r="AF625" t="n">
        <v>0</v>
      </c>
      <c r="AI625" t="n">
        <v>0</v>
      </c>
      <c r="AJ625" t="n">
        <v>0</v>
      </c>
      <c r="AK625" t="n">
        <v>0</v>
      </c>
      <c r="AL625" t="n">
        <v>0</v>
      </c>
      <c r="AN625" t="n">
        <v>0</v>
      </c>
      <c r="AO625" t="n">
        <v>0</v>
      </c>
      <c r="AP625" t="n">
        <v>0</v>
      </c>
      <c r="AQ625" t="n">
        <v>24</v>
      </c>
      <c r="AR625" t="n">
        <v>0</v>
      </c>
    </row>
    <row r="626">
      <c r="A626" t="n">
        <v>192477</v>
      </c>
      <c r="B626" t="inlineStr">
        <is>
          <t xml:space="preserve">خطای دکمه امضا در کمیته اعتباری نفر دوم کمیته </t>
        </is>
      </c>
      <c r="D626" t="inlineStr">
        <is>
          <t>Medium</t>
        </is>
      </c>
      <c r="E626" t="n">
        <v>2</v>
      </c>
      <c r="F626" t="inlineStr">
        <is>
          <t>Closed</t>
        </is>
      </c>
      <c r="G626" t="inlineStr">
        <is>
          <t>Other</t>
        </is>
      </c>
      <c r="J626" t="inlineStr">
        <is>
          <t>Dem</t>
        </is>
      </c>
      <c r="K626" t="inlineStr">
        <is>
          <t>DemBiz</t>
        </is>
      </c>
      <c r="M626" t="inlineStr">
        <is>
          <t>Moradi Mohammad</t>
        </is>
      </c>
      <c r="N626" t="inlineStr">
        <is>
          <t>Hajizadeh Elnaz</t>
        </is>
      </c>
      <c r="O626" s="42" t="n">
        <v>45963.46891203704</v>
      </c>
      <c r="Q626" s="42" t="n">
        <v>45963.46891203704</v>
      </c>
      <c r="S626" t="n">
        <v>0</v>
      </c>
      <c r="T626" s="42" t="n">
        <v>45963.46891203704</v>
      </c>
      <c r="Z626" s="42" t="n">
        <v>45963.46891203704</v>
      </c>
      <c r="AA626" t="n">
        <v>0</v>
      </c>
      <c r="AD626" t="n">
        <v>2</v>
      </c>
      <c r="AE626" t="n">
        <v>2</v>
      </c>
      <c r="AF626" t="n">
        <v>0</v>
      </c>
      <c r="AI626" t="n">
        <v>0</v>
      </c>
      <c r="AJ626" t="n">
        <v>0</v>
      </c>
      <c r="AK626" t="n">
        <v>0</v>
      </c>
      <c r="AL626" t="n">
        <v>0</v>
      </c>
      <c r="AN626" t="n">
        <v>0</v>
      </c>
      <c r="AO626" t="n">
        <v>0</v>
      </c>
      <c r="AP626" t="n">
        <v>0</v>
      </c>
      <c r="AQ626" t="n">
        <v>24</v>
      </c>
      <c r="AR626" t="n">
        <v>0</v>
      </c>
    </row>
    <row r="627">
      <c r="A627" t="n">
        <v>192503</v>
      </c>
      <c r="B627" t="inlineStr">
        <is>
          <t xml:space="preserve">در تمامی گزارشات در صورتی که جداول دیتایی نداشتند ، نمایش داده نشوند </t>
        </is>
      </c>
      <c r="D627" t="inlineStr">
        <is>
          <t>Medium</t>
        </is>
      </c>
      <c r="E627" t="n">
        <v>4</v>
      </c>
      <c r="F627" t="inlineStr">
        <is>
          <t>Closed</t>
        </is>
      </c>
      <c r="G627" t="inlineStr">
        <is>
          <t>Other</t>
        </is>
      </c>
      <c r="J627" t="inlineStr">
        <is>
          <t>Dem</t>
        </is>
      </c>
      <c r="K627" t="inlineStr">
        <is>
          <t>DemBiz</t>
        </is>
      </c>
      <c r="M627" t="inlineStr">
        <is>
          <t>Moradi Mohammad</t>
        </is>
      </c>
      <c r="N627" t="inlineStr">
        <is>
          <t>Hajizadeh Elnaz</t>
        </is>
      </c>
      <c r="O627" s="42" t="n">
        <v>45993.45356481482</v>
      </c>
      <c r="Q627" s="42" t="n">
        <v>45993.45356481482</v>
      </c>
      <c r="S627" t="n">
        <v>0</v>
      </c>
      <c r="T627" s="42" t="n">
        <v>45993.45356481482</v>
      </c>
      <c r="Z627" s="42" t="n">
        <v>45993.45356481482</v>
      </c>
      <c r="AA627" t="n">
        <v>0</v>
      </c>
      <c r="AD627" t="n">
        <v>2</v>
      </c>
      <c r="AE627" t="n">
        <v>2</v>
      </c>
      <c r="AF627" t="n">
        <v>0</v>
      </c>
      <c r="AI627" t="n">
        <v>0</v>
      </c>
      <c r="AJ627" t="n">
        <v>0</v>
      </c>
      <c r="AK627" t="n">
        <v>0</v>
      </c>
      <c r="AL627" t="n">
        <v>0</v>
      </c>
      <c r="AN627" t="n">
        <v>0</v>
      </c>
      <c r="AO627" t="n">
        <v>0</v>
      </c>
      <c r="AP627" t="n">
        <v>0</v>
      </c>
      <c r="AQ627" t="n">
        <v>24</v>
      </c>
      <c r="AR627" t="n">
        <v>0</v>
      </c>
    </row>
    <row r="628">
      <c r="A628" t="n">
        <v>192517</v>
      </c>
      <c r="B628" t="inlineStr">
        <is>
          <t>سوخت /باگ نمایش پلاک_NFWTR</t>
        </is>
      </c>
      <c r="D628" t="inlineStr">
        <is>
          <t>Medium</t>
        </is>
      </c>
      <c r="E628" t="n">
        <v>2</v>
      </c>
      <c r="F628" t="inlineStr">
        <is>
          <t>Closed</t>
        </is>
      </c>
      <c r="G628" t="inlineStr">
        <is>
          <t>Other</t>
        </is>
      </c>
      <c r="J628" t="inlineStr">
        <is>
          <t>Transportation</t>
        </is>
      </c>
      <c r="K628" t="inlineStr">
        <is>
          <t>Sp_23</t>
        </is>
      </c>
      <c r="M628" t="inlineStr">
        <is>
          <t>Davar Hamed</t>
        </is>
      </c>
      <c r="N628" t="inlineStr">
        <is>
          <t>Ghafarian Ghazaleh</t>
        </is>
      </c>
      <c r="O628" s="42" t="n">
        <v>45965.42222222222</v>
      </c>
      <c r="Q628" s="42" t="n">
        <v>45965.42222222222</v>
      </c>
      <c r="S628" t="n">
        <v>0</v>
      </c>
      <c r="T628" s="42" t="n">
        <v>45965.42222222222</v>
      </c>
      <c r="Z628" s="42" t="n">
        <v>45965.42222222222</v>
      </c>
      <c r="AA628" t="n">
        <v>0</v>
      </c>
      <c r="AD628" t="n">
        <v>2</v>
      </c>
      <c r="AE628" t="n">
        <v>2</v>
      </c>
      <c r="AF628" t="n">
        <v>0</v>
      </c>
      <c r="AI628" t="n">
        <v>0</v>
      </c>
      <c r="AJ628" t="n">
        <v>0</v>
      </c>
      <c r="AK628" t="n">
        <v>0</v>
      </c>
      <c r="AL628" t="n">
        <v>0</v>
      </c>
      <c r="AN628" t="n">
        <v>0</v>
      </c>
      <c r="AO628" t="n">
        <v>0</v>
      </c>
      <c r="AP628" t="n">
        <v>0</v>
      </c>
      <c r="AQ628" t="n">
        <v>24</v>
      </c>
      <c r="AR628" t="n">
        <v>0</v>
      </c>
    </row>
    <row r="629">
      <c r="A629" t="n">
        <v>192518</v>
      </c>
      <c r="B629" t="inlineStr">
        <is>
          <t xml:space="preserve">دکمه اتمام در فرم ثبت درخواست پیغام خطا می دهد/ NFWDem </t>
        </is>
      </c>
      <c r="D629" t="inlineStr">
        <is>
          <t>Medium</t>
        </is>
      </c>
      <c r="E629" t="n">
        <v>1</v>
      </c>
      <c r="F629" t="inlineStr">
        <is>
          <t>Closed</t>
        </is>
      </c>
      <c r="G629" t="inlineStr">
        <is>
          <t>Other</t>
        </is>
      </c>
      <c r="J629" t="inlineStr">
        <is>
          <t>Infrastructure Bizagi Extension</t>
        </is>
      </c>
      <c r="K629" t="inlineStr">
        <is>
          <t>SP-87</t>
        </is>
      </c>
      <c r="M629" t="inlineStr">
        <is>
          <t>Rezaee Reza</t>
        </is>
      </c>
      <c r="N629" t="inlineStr">
        <is>
          <t>Baniamer Shaghayegh</t>
        </is>
      </c>
      <c r="O629" s="42" t="n">
        <v>45965.70644675926</v>
      </c>
      <c r="Q629" s="42" t="n">
        <v>45965.70644675926</v>
      </c>
      <c r="S629" t="n">
        <v>0</v>
      </c>
      <c r="T629" s="42" t="n">
        <v>45965.70644675926</v>
      </c>
      <c r="Z629" s="42" t="n">
        <v>45965.70644675926</v>
      </c>
      <c r="AA629" t="n">
        <v>0</v>
      </c>
      <c r="AD629" t="n">
        <v>2</v>
      </c>
      <c r="AE629" t="n">
        <v>2</v>
      </c>
      <c r="AF629" t="n">
        <v>0</v>
      </c>
      <c r="AI629" t="n">
        <v>0</v>
      </c>
      <c r="AJ629" t="n">
        <v>0</v>
      </c>
      <c r="AK629" t="n">
        <v>0</v>
      </c>
      <c r="AL629" t="n">
        <v>0</v>
      </c>
      <c r="AN629" t="n">
        <v>0</v>
      </c>
      <c r="AO629" t="n">
        <v>0</v>
      </c>
      <c r="AP629" t="n">
        <v>0</v>
      </c>
      <c r="AQ629" t="n">
        <v>24</v>
      </c>
      <c r="AR629" t="n">
        <v>0</v>
      </c>
    </row>
    <row r="630">
      <c r="A630" t="n">
        <v>192520</v>
      </c>
      <c r="B630" t="inlineStr">
        <is>
          <t xml:space="preserve">AE_SAJA\\ فیلتر انتخاب هیئت </t>
        </is>
      </c>
      <c r="D630" t="inlineStr">
        <is>
          <t>Medium</t>
        </is>
      </c>
      <c r="E630" t="n">
        <v>1</v>
      </c>
      <c r="F630" t="inlineStr">
        <is>
          <t>Closed</t>
        </is>
      </c>
      <c r="G630" t="inlineStr">
        <is>
          <t>Other</t>
        </is>
      </c>
      <c r="J630" t="inlineStr">
        <is>
          <t>Infrastructure Bizagi Extension</t>
        </is>
      </c>
      <c r="K630" t="inlineStr">
        <is>
          <t>SP-87</t>
        </is>
      </c>
      <c r="M630" t="inlineStr">
        <is>
          <t>Nemati Hasan</t>
        </is>
      </c>
      <c r="N630" t="inlineStr">
        <is>
          <t>Shamsfard Ahmad</t>
        </is>
      </c>
      <c r="O630" s="42" t="n">
        <v>45970.40517361111</v>
      </c>
      <c r="Q630" s="42" t="n">
        <v>45970.40517361111</v>
      </c>
      <c r="S630" t="n">
        <v>0</v>
      </c>
      <c r="T630" s="42" t="n">
        <v>45970.40517361111</v>
      </c>
      <c r="Z630" s="42" t="n">
        <v>45970.40517361111</v>
      </c>
      <c r="AA630" t="n">
        <v>0</v>
      </c>
      <c r="AD630" t="n">
        <v>2</v>
      </c>
      <c r="AE630" t="n">
        <v>2</v>
      </c>
      <c r="AF630" t="n">
        <v>0</v>
      </c>
      <c r="AI630" t="n">
        <v>0</v>
      </c>
      <c r="AJ630" t="n">
        <v>0</v>
      </c>
      <c r="AK630" t="n">
        <v>0</v>
      </c>
      <c r="AL630" t="n">
        <v>0</v>
      </c>
      <c r="AN630" t="n">
        <v>0</v>
      </c>
      <c r="AO630" t="n">
        <v>0</v>
      </c>
      <c r="AP630" t="n">
        <v>0</v>
      </c>
      <c r="AQ630" t="n">
        <v>24</v>
      </c>
      <c r="AR630" t="n">
        <v>0</v>
      </c>
    </row>
    <row r="631">
      <c r="A631" t="n">
        <v>192521</v>
      </c>
      <c r="B631" t="inlineStr">
        <is>
          <t xml:space="preserve">در درخواست ( تسهیلاتی ) می توان مبالغ و اعداد را - منفی وارد کرد </t>
        </is>
      </c>
      <c r="D631" t="inlineStr">
        <is>
          <t>Medium</t>
        </is>
      </c>
      <c r="E631" t="n">
        <v>4</v>
      </c>
      <c r="F631" t="inlineStr">
        <is>
          <t>Closed</t>
        </is>
      </c>
      <c r="G631" t="inlineStr">
        <is>
          <t>Other</t>
        </is>
      </c>
      <c r="J631" t="inlineStr">
        <is>
          <t>Dem</t>
        </is>
      </c>
      <c r="K631" t="inlineStr">
        <is>
          <t>DemBiz</t>
        </is>
      </c>
      <c r="M631" t="inlineStr">
        <is>
          <t>Hoseini Fatemeh</t>
        </is>
      </c>
      <c r="N631" t="inlineStr">
        <is>
          <t>Mohseni Hadise</t>
        </is>
      </c>
      <c r="O631" s="42" t="n">
        <v>45987.45597222223</v>
      </c>
      <c r="Q631" s="42" t="n">
        <v>45987.45597222223</v>
      </c>
      <c r="S631" t="n">
        <v>0</v>
      </c>
      <c r="T631" s="42" t="n">
        <v>45987.45597222223</v>
      </c>
      <c r="Z631" s="42" t="n">
        <v>45987.45597222223</v>
      </c>
      <c r="AA631" t="n">
        <v>0</v>
      </c>
      <c r="AD631" t="n">
        <v>2</v>
      </c>
      <c r="AE631" t="n">
        <v>2</v>
      </c>
      <c r="AF631" t="n">
        <v>0</v>
      </c>
      <c r="AI631" t="n">
        <v>0</v>
      </c>
      <c r="AJ631" t="n">
        <v>0</v>
      </c>
      <c r="AK631" t="n">
        <v>0</v>
      </c>
      <c r="AL631" t="n">
        <v>0</v>
      </c>
      <c r="AN631" t="n">
        <v>0</v>
      </c>
      <c r="AO631" t="n">
        <v>0</v>
      </c>
      <c r="AP631" t="n">
        <v>0</v>
      </c>
      <c r="AQ631" t="n">
        <v>24</v>
      </c>
      <c r="AR631" t="n">
        <v>0</v>
      </c>
    </row>
    <row r="632">
      <c r="A632" t="n">
        <v>192523</v>
      </c>
      <c r="B632" t="inlineStr">
        <is>
          <t>ارور هنگام کلیک روی دکمه ذخیره بیرونی پس از ویرایش درخواست</t>
        </is>
      </c>
      <c r="D632" t="inlineStr">
        <is>
          <t>Medium</t>
        </is>
      </c>
      <c r="E632" t="n">
        <v>2</v>
      </c>
      <c r="F632" t="inlineStr">
        <is>
          <t>Closed</t>
        </is>
      </c>
      <c r="G632" t="inlineStr">
        <is>
          <t>Other</t>
        </is>
      </c>
      <c r="J632" t="inlineStr">
        <is>
          <t>Dem</t>
        </is>
      </c>
      <c r="K632" t="inlineStr">
        <is>
          <t>DemBiz</t>
        </is>
      </c>
      <c r="M632" t="inlineStr">
        <is>
          <t>Hoseini Fatemeh</t>
        </is>
      </c>
      <c r="N632" t="inlineStr">
        <is>
          <t>Baniamer Shaghayegh</t>
        </is>
      </c>
      <c r="O632" s="42" t="n">
        <v>45963.63157407408</v>
      </c>
      <c r="Q632" s="42" t="n">
        <v>45963.63157407408</v>
      </c>
      <c r="S632" t="n">
        <v>0</v>
      </c>
      <c r="T632" s="42" t="n">
        <v>45963.63157407408</v>
      </c>
      <c r="Z632" s="42" t="n">
        <v>45963.63157407408</v>
      </c>
      <c r="AA632" t="n">
        <v>0</v>
      </c>
      <c r="AD632" t="n">
        <v>2</v>
      </c>
      <c r="AE632" t="n">
        <v>2</v>
      </c>
      <c r="AF632" t="n">
        <v>0</v>
      </c>
      <c r="AI632" t="n">
        <v>0</v>
      </c>
      <c r="AJ632" t="n">
        <v>0</v>
      </c>
      <c r="AK632" t="n">
        <v>0</v>
      </c>
      <c r="AL632" t="n">
        <v>0</v>
      </c>
      <c r="AN632" t="n">
        <v>0</v>
      </c>
      <c r="AO632" t="n">
        <v>0</v>
      </c>
      <c r="AP632" t="n">
        <v>0</v>
      </c>
      <c r="AQ632" t="n">
        <v>24</v>
      </c>
      <c r="AR632" t="n">
        <v>0</v>
      </c>
    </row>
    <row r="633">
      <c r="A633" t="n">
        <v>192531</v>
      </c>
      <c r="B633" t="inlineStr">
        <is>
          <t xml:space="preserve">بدون در نظر گرفتن مرجع تصویب ، با اظهار نظر ارجاع به مراجع بالاتر سند نکست می شود </t>
        </is>
      </c>
      <c r="D633" t="inlineStr">
        <is>
          <t>Medium</t>
        </is>
      </c>
      <c r="E633" t="n">
        <v>1</v>
      </c>
      <c r="F633" t="inlineStr">
        <is>
          <t>Closed</t>
        </is>
      </c>
      <c r="G633" t="inlineStr">
        <is>
          <t>Other</t>
        </is>
      </c>
      <c r="J633" t="inlineStr">
        <is>
          <t>Dem</t>
        </is>
      </c>
      <c r="K633" t="inlineStr">
        <is>
          <t>DemBiz</t>
        </is>
      </c>
      <c r="M633" t="inlineStr">
        <is>
          <t>Hoseini Fatemeh</t>
        </is>
      </c>
      <c r="N633" t="inlineStr">
        <is>
          <t>Baniamer Shaghayegh</t>
        </is>
      </c>
      <c r="O633" s="42" t="n">
        <v>45963.63265046296</v>
      </c>
      <c r="Q633" s="42" t="n">
        <v>45963.63265046296</v>
      </c>
      <c r="S633" t="n">
        <v>0</v>
      </c>
      <c r="T633" s="42" t="n">
        <v>45963.63265046296</v>
      </c>
      <c r="Z633" s="42" t="n">
        <v>45963.63265046296</v>
      </c>
      <c r="AA633" t="n">
        <v>0</v>
      </c>
      <c r="AD633" t="n">
        <v>2</v>
      </c>
      <c r="AE633" t="n">
        <v>2</v>
      </c>
      <c r="AF633" t="n">
        <v>0</v>
      </c>
      <c r="AI633" t="n">
        <v>0</v>
      </c>
      <c r="AJ633" t="n">
        <v>0</v>
      </c>
      <c r="AK633" t="n">
        <v>0</v>
      </c>
      <c r="AL633" t="n">
        <v>0</v>
      </c>
      <c r="AN633" t="n">
        <v>0</v>
      </c>
      <c r="AO633" t="n">
        <v>0</v>
      </c>
      <c r="AP633" t="n">
        <v>0</v>
      </c>
      <c r="AQ633" t="n">
        <v>24</v>
      </c>
      <c r="AR633" t="n">
        <v>0</v>
      </c>
    </row>
    <row r="634">
      <c r="A634" t="n">
        <v>192532</v>
      </c>
      <c r="B634" t="inlineStr">
        <is>
          <t>عدم نمایش نقشه در درخواست ارسالی سرویس سوم</t>
        </is>
      </c>
      <c r="D634" t="inlineStr">
        <is>
          <t>Medium</t>
        </is>
      </c>
      <c r="E634" t="n">
        <v>1</v>
      </c>
      <c r="F634" t="inlineStr">
        <is>
          <t>Closed</t>
        </is>
      </c>
      <c r="G634" t="inlineStr">
        <is>
          <t>Other</t>
        </is>
      </c>
      <c r="I634" t="inlineStr">
        <is>
          <t>Bizagi_Team</t>
        </is>
      </c>
      <c r="J634" t="inlineStr">
        <is>
          <t>SAJAK</t>
        </is>
      </c>
      <c r="K634" t="inlineStr">
        <is>
          <t>Estate_Sprint 44</t>
        </is>
      </c>
      <c r="M634" t="inlineStr">
        <is>
          <t>GanjiRad Mohammad</t>
        </is>
      </c>
      <c r="N634" t="inlineStr">
        <is>
          <t>GanjiRad Mohammad</t>
        </is>
      </c>
      <c r="O634" s="42" t="n">
        <v>45976.33824074074</v>
      </c>
      <c r="Q634" s="42" t="n">
        <v>45976.33824074074</v>
      </c>
      <c r="S634" t="n">
        <v>0</v>
      </c>
      <c r="T634" s="42" t="n">
        <v>45976.33824074074</v>
      </c>
      <c r="Z634" s="42" t="n">
        <v>45976.33824074074</v>
      </c>
      <c r="AA634" t="n">
        <v>0</v>
      </c>
      <c r="AD634" t="n">
        <v>2</v>
      </c>
      <c r="AE634" t="n">
        <v>2</v>
      </c>
      <c r="AF634" t="n">
        <v>0</v>
      </c>
      <c r="AI634" t="n">
        <v>0</v>
      </c>
      <c r="AJ634" t="n">
        <v>0</v>
      </c>
      <c r="AK634" t="n">
        <v>0</v>
      </c>
      <c r="AL634" t="n">
        <v>0</v>
      </c>
      <c r="AN634" t="n">
        <v>0</v>
      </c>
      <c r="AO634" t="n">
        <v>0</v>
      </c>
      <c r="AP634" t="n">
        <v>0</v>
      </c>
      <c r="AQ634" t="n">
        <v>24</v>
      </c>
      <c r="AR634" t="n">
        <v>0</v>
      </c>
    </row>
    <row r="635">
      <c r="A635" t="n">
        <v>192537</v>
      </c>
      <c r="B635" t="inlineStr">
        <is>
          <t>با بازگشت سند  از  مشاهده/ ابلاغیه   به کارشناس منطقه،گزارشات پیغام خطا در فرایند می دهد</t>
        </is>
      </c>
      <c r="D635" t="inlineStr">
        <is>
          <t>Medium</t>
        </is>
      </c>
      <c r="E635" t="n">
        <v>1</v>
      </c>
      <c r="F635" t="inlineStr">
        <is>
          <t>Closed</t>
        </is>
      </c>
      <c r="G635" t="inlineStr">
        <is>
          <t>Other</t>
        </is>
      </c>
      <c r="J635" t="inlineStr">
        <is>
          <t>Dem</t>
        </is>
      </c>
      <c r="K635" t="inlineStr">
        <is>
          <t>DemBiz</t>
        </is>
      </c>
      <c r="M635" t="inlineStr">
        <is>
          <t>Hoseini Fatemeh</t>
        </is>
      </c>
      <c r="N635" t="inlineStr">
        <is>
          <t>Baniamer Shaghayegh</t>
        </is>
      </c>
      <c r="O635" s="42" t="n">
        <v>45963.89935185185</v>
      </c>
      <c r="Q635" s="42" t="n">
        <v>45963.89935185185</v>
      </c>
      <c r="S635" t="n">
        <v>0</v>
      </c>
      <c r="T635" s="42" t="n">
        <v>45963.89935185185</v>
      </c>
      <c r="Z635" s="42" t="n">
        <v>45963.89935185185</v>
      </c>
      <c r="AA635" t="n">
        <v>0</v>
      </c>
      <c r="AD635" t="n">
        <v>2</v>
      </c>
      <c r="AE635" t="n">
        <v>2</v>
      </c>
      <c r="AF635" t="n">
        <v>0</v>
      </c>
      <c r="AI635" t="n">
        <v>0</v>
      </c>
      <c r="AJ635" t="n">
        <v>0</v>
      </c>
      <c r="AK635" t="n">
        <v>0</v>
      </c>
      <c r="AL635" t="n">
        <v>0</v>
      </c>
      <c r="AN635" t="n">
        <v>0</v>
      </c>
      <c r="AO635" t="n">
        <v>0</v>
      </c>
      <c r="AP635" t="n">
        <v>0</v>
      </c>
      <c r="AQ635" t="n">
        <v>24</v>
      </c>
      <c r="AR635" t="n">
        <v>0</v>
      </c>
    </row>
    <row r="636">
      <c r="A636" t="n">
        <v>192540</v>
      </c>
      <c r="B636" t="inlineStr">
        <is>
          <t>تکرار چرخه امضا بین اعضای کمیته اول و دوم و عدم ارسال به نفر سوم</t>
        </is>
      </c>
      <c r="D636" t="inlineStr">
        <is>
          <t>Medium</t>
        </is>
      </c>
      <c r="E636" t="n">
        <v>2</v>
      </c>
      <c r="F636" t="inlineStr">
        <is>
          <t>Closed</t>
        </is>
      </c>
      <c r="G636" t="inlineStr">
        <is>
          <t>Other</t>
        </is>
      </c>
      <c r="J636" t="inlineStr">
        <is>
          <t>Dem</t>
        </is>
      </c>
      <c r="K636" t="inlineStr">
        <is>
          <t>DemBiz</t>
        </is>
      </c>
      <c r="M636" t="inlineStr">
        <is>
          <t>Hoseini Fatemeh</t>
        </is>
      </c>
      <c r="N636" t="inlineStr">
        <is>
          <t>Mohseni Hadise</t>
        </is>
      </c>
      <c r="O636" s="42" t="n">
        <v>45963.71317129629</v>
      </c>
      <c r="Q636" s="42" t="n">
        <v>45963.71317129629</v>
      </c>
      <c r="S636" t="n">
        <v>0</v>
      </c>
      <c r="T636" s="42" t="n">
        <v>45963.71317129629</v>
      </c>
      <c r="Z636" s="42" t="n">
        <v>45963.71317129629</v>
      </c>
      <c r="AA636" t="n">
        <v>0</v>
      </c>
      <c r="AD636" t="n">
        <v>2</v>
      </c>
      <c r="AE636" t="n">
        <v>2</v>
      </c>
      <c r="AF636" t="n">
        <v>0</v>
      </c>
      <c r="AI636" t="n">
        <v>0</v>
      </c>
      <c r="AJ636" t="n">
        <v>0</v>
      </c>
      <c r="AK636" t="n">
        <v>0</v>
      </c>
      <c r="AL636" t="n">
        <v>0</v>
      </c>
      <c r="AN636" t="n">
        <v>0</v>
      </c>
      <c r="AO636" t="n">
        <v>0</v>
      </c>
      <c r="AP636" t="n">
        <v>0</v>
      </c>
      <c r="AQ636" t="n">
        <v>24</v>
      </c>
      <c r="AR636" t="n">
        <v>0</v>
      </c>
    </row>
    <row r="637">
      <c r="A637" t="n">
        <v>192542</v>
      </c>
      <c r="B637" t="inlineStr">
        <is>
          <t>دکمه تایید و ادامه در فرم انتخاب پیشنهاد جهت اصلاح  پیغام  متن پیشنهاد اصلاحی را  می دهد</t>
        </is>
      </c>
      <c r="D637" t="inlineStr">
        <is>
          <t>Medium</t>
        </is>
      </c>
      <c r="E637" t="n">
        <v>1</v>
      </c>
      <c r="F637" t="inlineStr">
        <is>
          <t>Closed</t>
        </is>
      </c>
      <c r="G637" t="inlineStr">
        <is>
          <t>Other</t>
        </is>
      </c>
      <c r="J637" t="inlineStr">
        <is>
          <t>Dem</t>
        </is>
      </c>
      <c r="K637" t="inlineStr">
        <is>
          <t>DemBiz</t>
        </is>
      </c>
      <c r="M637" t="inlineStr">
        <is>
          <t>Arshi Mahmood</t>
        </is>
      </c>
      <c r="N637" t="inlineStr">
        <is>
          <t>Baniamer Shaghayegh</t>
        </is>
      </c>
      <c r="O637" s="42" t="n">
        <v>45963.89375</v>
      </c>
      <c r="Q637" s="42" t="n">
        <v>45963.89375</v>
      </c>
      <c r="S637" t="n">
        <v>0</v>
      </c>
      <c r="T637" s="42" t="n">
        <v>45963.89375</v>
      </c>
      <c r="Z637" s="42" t="n">
        <v>45963.89375</v>
      </c>
      <c r="AA637" t="n">
        <v>0</v>
      </c>
      <c r="AD637" t="n">
        <v>2</v>
      </c>
      <c r="AE637" t="n">
        <v>2</v>
      </c>
      <c r="AF637" t="n">
        <v>0</v>
      </c>
      <c r="AI637" t="n">
        <v>0</v>
      </c>
      <c r="AJ637" t="n">
        <v>0</v>
      </c>
      <c r="AK637" t="n">
        <v>0</v>
      </c>
      <c r="AL637" t="n">
        <v>0</v>
      </c>
      <c r="AN637" t="n">
        <v>0</v>
      </c>
      <c r="AO637" t="n">
        <v>0</v>
      </c>
      <c r="AP637" t="n">
        <v>0</v>
      </c>
      <c r="AQ637" t="n">
        <v>24</v>
      </c>
      <c r="AR637" t="n">
        <v>0</v>
      </c>
    </row>
    <row r="638">
      <c r="A638" t="n">
        <v>192543</v>
      </c>
      <c r="B638" t="inlineStr">
        <is>
          <t xml:space="preserve">بدون در نظر گرفتن مرجع تصمیم گیری در اداره کل ( صندوق شکوفایی) امضا شد </t>
        </is>
      </c>
      <c r="D638" t="inlineStr">
        <is>
          <t>Medium</t>
        </is>
      </c>
      <c r="E638" t="n">
        <v>1</v>
      </c>
      <c r="F638" t="inlineStr">
        <is>
          <t>Closed</t>
        </is>
      </c>
      <c r="G638" t="inlineStr">
        <is>
          <t>Other</t>
        </is>
      </c>
      <c r="J638" t="inlineStr">
        <is>
          <t>Dem</t>
        </is>
      </c>
      <c r="K638" t="inlineStr">
        <is>
          <t>DemBiz</t>
        </is>
      </c>
      <c r="M638" t="inlineStr">
        <is>
          <t>Hoseini Fatemeh</t>
        </is>
      </c>
      <c r="N638" t="inlineStr">
        <is>
          <t>Baniamer Shaghayegh</t>
        </is>
      </c>
      <c r="O638" s="42" t="n">
        <v>45963.6424537037</v>
      </c>
      <c r="Q638" s="42" t="n">
        <v>45963.6424537037</v>
      </c>
      <c r="S638" t="n">
        <v>0</v>
      </c>
      <c r="T638" s="42" t="n">
        <v>45963.6424537037</v>
      </c>
      <c r="Z638" s="42" t="n">
        <v>45963.6424537037</v>
      </c>
      <c r="AA638" t="n">
        <v>0</v>
      </c>
      <c r="AD638" t="n">
        <v>2</v>
      </c>
      <c r="AE638" t="n">
        <v>2</v>
      </c>
      <c r="AF638" t="n">
        <v>0</v>
      </c>
      <c r="AI638" t="n">
        <v>0</v>
      </c>
      <c r="AJ638" t="n">
        <v>0</v>
      </c>
      <c r="AK638" t="n">
        <v>0</v>
      </c>
      <c r="AL638" t="n">
        <v>0</v>
      </c>
      <c r="AN638" t="n">
        <v>0</v>
      </c>
      <c r="AO638" t="n">
        <v>0</v>
      </c>
      <c r="AP638" t="n">
        <v>0</v>
      </c>
      <c r="AQ638" t="n">
        <v>24</v>
      </c>
      <c r="AR638" t="n">
        <v>0</v>
      </c>
    </row>
    <row r="639">
      <c r="A639" t="n">
        <v>192565</v>
      </c>
      <c r="B639" t="inlineStr">
        <is>
          <t>مشاهده تکراری یک درخواست در دو وضعیت متفاوت</t>
        </is>
      </c>
      <c r="D639" t="inlineStr">
        <is>
          <t>Medium</t>
        </is>
      </c>
      <c r="E639" t="n">
        <v>2</v>
      </c>
      <c r="F639" t="inlineStr">
        <is>
          <t>Closed</t>
        </is>
      </c>
      <c r="G639" t="inlineStr">
        <is>
          <t>Other</t>
        </is>
      </c>
      <c r="I639" t="inlineStr">
        <is>
          <t>Bizagi_Team</t>
        </is>
      </c>
      <c r="J639" t="inlineStr">
        <is>
          <t>SAJAK</t>
        </is>
      </c>
      <c r="K639" t="inlineStr">
        <is>
          <t>Estate_Sprint 43</t>
        </is>
      </c>
      <c r="M639" t="inlineStr">
        <is>
          <t>Tedadi Abbas</t>
        </is>
      </c>
      <c r="N639" t="inlineStr">
        <is>
          <t>Moradnoori Parinaz</t>
        </is>
      </c>
      <c r="O639" s="42" t="n">
        <v>45999.47092592593</v>
      </c>
      <c r="Q639" s="42" t="n">
        <v>45999.47092592593</v>
      </c>
      <c r="S639" t="n">
        <v>0</v>
      </c>
      <c r="T639" s="42" t="n">
        <v>45999.47092592593</v>
      </c>
      <c r="Z639" s="42" t="n">
        <v>45999.47092592593</v>
      </c>
      <c r="AA639" t="n">
        <v>0</v>
      </c>
      <c r="AD639" t="n">
        <v>2</v>
      </c>
      <c r="AE639" t="n">
        <v>2</v>
      </c>
      <c r="AF639" t="n">
        <v>0</v>
      </c>
      <c r="AI639" t="n">
        <v>0</v>
      </c>
      <c r="AJ639" t="n">
        <v>0</v>
      </c>
      <c r="AK639" t="n">
        <v>0</v>
      </c>
      <c r="AL639" t="n">
        <v>0</v>
      </c>
      <c r="AN639" t="n">
        <v>0</v>
      </c>
      <c r="AO639" t="n">
        <v>0</v>
      </c>
      <c r="AP639" t="n">
        <v>0</v>
      </c>
      <c r="AQ639" t="n">
        <v>24</v>
      </c>
      <c r="AR639" t="n">
        <v>0</v>
      </c>
    </row>
    <row r="640">
      <c r="A640" t="n">
        <v>192568</v>
      </c>
      <c r="B640" t="inlineStr">
        <is>
          <t>دکمه تایید و ارجاع مدیریت شعب در فرم بررسی علت برگشت به مدیریت شعب پیغام خطا می دهد</t>
        </is>
      </c>
      <c r="D640" t="inlineStr">
        <is>
          <t>Medium</t>
        </is>
      </c>
      <c r="E640" t="n">
        <v>1</v>
      </c>
      <c r="F640" t="inlineStr">
        <is>
          <t>Closed</t>
        </is>
      </c>
      <c r="G640" t="inlineStr">
        <is>
          <t>Other</t>
        </is>
      </c>
      <c r="J640" t="inlineStr">
        <is>
          <t>Dem</t>
        </is>
      </c>
      <c r="K640" t="inlineStr">
        <is>
          <t>DemBiz</t>
        </is>
      </c>
      <c r="M640" t="inlineStr">
        <is>
          <t>Hoseini Fatemeh</t>
        </is>
      </c>
      <c r="N640" t="inlineStr">
        <is>
          <t>Baniamer Shaghayegh</t>
        </is>
      </c>
      <c r="O640" s="42" t="n">
        <v>45963.88707175926</v>
      </c>
      <c r="Q640" s="42" t="n">
        <v>45963.88707175926</v>
      </c>
      <c r="S640" t="n">
        <v>0</v>
      </c>
      <c r="T640" s="42" t="n">
        <v>45963.88707175926</v>
      </c>
      <c r="Z640" s="42" t="n">
        <v>45963.88707175926</v>
      </c>
      <c r="AA640" t="n">
        <v>0</v>
      </c>
      <c r="AD640" t="n">
        <v>2</v>
      </c>
      <c r="AE640" t="n">
        <v>2</v>
      </c>
      <c r="AF640" t="n">
        <v>0</v>
      </c>
      <c r="AI640" t="n">
        <v>0</v>
      </c>
      <c r="AJ640" t="n">
        <v>0</v>
      </c>
      <c r="AK640" t="n">
        <v>0</v>
      </c>
      <c r="AL640" t="n">
        <v>0</v>
      </c>
      <c r="AN640" t="n">
        <v>0</v>
      </c>
      <c r="AO640" t="n">
        <v>0</v>
      </c>
      <c r="AP640" t="n">
        <v>0</v>
      </c>
      <c r="AQ640" t="n">
        <v>24</v>
      </c>
      <c r="AR640" t="n">
        <v>0</v>
      </c>
    </row>
    <row r="641">
      <c r="A641" t="n">
        <v>192578</v>
      </c>
      <c r="B641" t="inlineStr">
        <is>
          <t>خودرو - فرم ثبت، ویرایش و. تکمیل اطلاعات خودرو _NFWTR</t>
        </is>
      </c>
      <c r="D641" t="inlineStr">
        <is>
          <t>Medium</t>
        </is>
      </c>
      <c r="E641" t="n">
        <v>1</v>
      </c>
      <c r="F641" t="inlineStr">
        <is>
          <t>Closed</t>
        </is>
      </c>
      <c r="G641" t="inlineStr">
        <is>
          <t>Other</t>
        </is>
      </c>
      <c r="J641" t="inlineStr">
        <is>
          <t>Infrastructure Bizagi Extension</t>
        </is>
      </c>
      <c r="K641" t="inlineStr">
        <is>
          <t>SP-87</t>
        </is>
      </c>
      <c r="M641" t="inlineStr">
        <is>
          <t>Jafari Saeed</t>
        </is>
      </c>
      <c r="N641" t="inlineStr">
        <is>
          <t>Sharifi Shayan</t>
        </is>
      </c>
      <c r="O641" s="42" t="n">
        <v>45966.38168981481</v>
      </c>
      <c r="Q641" s="42" t="n">
        <v>45966.38168981481</v>
      </c>
      <c r="S641" t="n">
        <v>0</v>
      </c>
      <c r="T641" s="42" t="n">
        <v>45966.38168981481</v>
      </c>
      <c r="Z641" s="42" t="n">
        <v>45966.38168981481</v>
      </c>
      <c r="AA641" t="n">
        <v>0</v>
      </c>
      <c r="AD641" t="n">
        <v>2</v>
      </c>
      <c r="AE641" t="n">
        <v>2</v>
      </c>
      <c r="AF641" t="n">
        <v>0</v>
      </c>
      <c r="AI641" t="n">
        <v>0</v>
      </c>
      <c r="AJ641" t="n">
        <v>0</v>
      </c>
      <c r="AK641" t="n">
        <v>0</v>
      </c>
      <c r="AL641" t="n">
        <v>0</v>
      </c>
      <c r="AN641" t="n">
        <v>0</v>
      </c>
      <c r="AO641" t="n">
        <v>0</v>
      </c>
      <c r="AP641" t="n">
        <v>0</v>
      </c>
      <c r="AQ641" t="n">
        <v>24</v>
      </c>
      <c r="AR641" t="n">
        <v>0</v>
      </c>
    </row>
    <row r="642">
      <c r="A642" t="n">
        <v>192597</v>
      </c>
      <c r="B642" t="inlineStr">
        <is>
          <t>خودرو - فرم تکمیل اطلاعات خودرو. نمایش پنل پلاک - NFWTR</t>
        </is>
      </c>
      <c r="D642" t="inlineStr">
        <is>
          <t>Medium</t>
        </is>
      </c>
      <c r="E642" t="n">
        <v>2</v>
      </c>
      <c r="F642" t="inlineStr">
        <is>
          <t>Closed</t>
        </is>
      </c>
      <c r="G642" t="inlineStr">
        <is>
          <t>Other</t>
        </is>
      </c>
      <c r="J642" t="inlineStr">
        <is>
          <t>Transportation</t>
        </is>
      </c>
      <c r="K642" t="inlineStr">
        <is>
          <t>Sp_23</t>
        </is>
      </c>
      <c r="M642" t="inlineStr">
        <is>
          <t>Ghafarian Ghazaleh</t>
        </is>
      </c>
      <c r="N642" t="inlineStr">
        <is>
          <t>Ghafarian Ghazaleh</t>
        </is>
      </c>
      <c r="O642" s="42" t="n">
        <v>45973.32910879629</v>
      </c>
      <c r="Q642" s="42" t="n">
        <v>45973.32910879629</v>
      </c>
      <c r="S642" t="n">
        <v>0</v>
      </c>
      <c r="T642" s="42" t="n">
        <v>45973.32910879629</v>
      </c>
      <c r="Z642" s="42" t="n">
        <v>45973.32910879629</v>
      </c>
      <c r="AA642" t="n">
        <v>0</v>
      </c>
      <c r="AD642" t="n">
        <v>2</v>
      </c>
      <c r="AE642" t="n">
        <v>2</v>
      </c>
      <c r="AF642" t="n">
        <v>0</v>
      </c>
      <c r="AI642" t="n">
        <v>0</v>
      </c>
      <c r="AJ642" t="n">
        <v>0</v>
      </c>
      <c r="AK642" t="n">
        <v>0</v>
      </c>
      <c r="AL642" t="n">
        <v>0</v>
      </c>
      <c r="AN642" t="n">
        <v>0</v>
      </c>
      <c r="AO642" t="n">
        <v>0</v>
      </c>
      <c r="AP642" t="n">
        <v>0</v>
      </c>
      <c r="AQ642" t="n">
        <v>24</v>
      </c>
      <c r="AR642" t="n">
        <v>0</v>
      </c>
    </row>
    <row r="643">
      <c r="A643" t="n">
        <v>192599</v>
      </c>
      <c r="B643" t="inlineStr">
        <is>
          <t xml:space="preserve">ستون ویرایش عقد در فرم نمایش جزییات عقود </t>
        </is>
      </c>
      <c r="D643" t="inlineStr">
        <is>
          <t>Medium</t>
        </is>
      </c>
      <c r="E643" t="n">
        <v>2</v>
      </c>
      <c r="F643" t="inlineStr">
        <is>
          <t>Closed</t>
        </is>
      </c>
      <c r="G643" t="inlineStr">
        <is>
          <t>Other</t>
        </is>
      </c>
      <c r="J643" t="inlineStr">
        <is>
          <t>Dem</t>
        </is>
      </c>
      <c r="K643" t="inlineStr">
        <is>
          <t>DemBiz</t>
        </is>
      </c>
      <c r="M643" t="inlineStr">
        <is>
          <t>Hoseini Fatemeh</t>
        </is>
      </c>
      <c r="N643" t="inlineStr">
        <is>
          <t>Baniamer Shaghayegh</t>
        </is>
      </c>
      <c r="O643" s="42" t="n">
        <v>45964.01418981481</v>
      </c>
      <c r="Q643" s="42" t="n">
        <v>45964.01418981481</v>
      </c>
      <c r="S643" t="n">
        <v>0</v>
      </c>
      <c r="T643" s="42" t="n">
        <v>45964.01418981481</v>
      </c>
      <c r="Z643" s="42" t="n">
        <v>45964.01418981481</v>
      </c>
      <c r="AA643" t="n">
        <v>0</v>
      </c>
      <c r="AD643" t="n">
        <v>2</v>
      </c>
      <c r="AE643" t="n">
        <v>2</v>
      </c>
      <c r="AF643" t="n">
        <v>0</v>
      </c>
      <c r="AI643" t="n">
        <v>0</v>
      </c>
      <c r="AJ643" t="n">
        <v>0</v>
      </c>
      <c r="AK643" t="n">
        <v>0</v>
      </c>
      <c r="AL643" t="n">
        <v>0</v>
      </c>
      <c r="AN643" t="n">
        <v>0</v>
      </c>
      <c r="AO643" t="n">
        <v>0</v>
      </c>
      <c r="AP643" t="n">
        <v>0</v>
      </c>
      <c r="AQ643" t="n">
        <v>24</v>
      </c>
      <c r="AR643" t="n">
        <v>0</v>
      </c>
    </row>
    <row r="644">
      <c r="A644" t="n">
        <v>192605</v>
      </c>
      <c r="B644" t="inlineStr">
        <is>
          <t>عدم امکان پیگیری درخواست های قبلی</t>
        </is>
      </c>
      <c r="D644" t="inlineStr">
        <is>
          <t>Medium</t>
        </is>
      </c>
      <c r="E644" t="n">
        <v>2</v>
      </c>
      <c r="F644" t="inlineStr">
        <is>
          <t>Closed</t>
        </is>
      </c>
      <c r="G644" t="inlineStr">
        <is>
          <t>Other</t>
        </is>
      </c>
      <c r="I644" t="inlineStr">
        <is>
          <t>Bizagi_Team</t>
        </is>
      </c>
      <c r="J644" t="inlineStr">
        <is>
          <t>SAJAK</t>
        </is>
      </c>
      <c r="K644" t="inlineStr">
        <is>
          <t>Estate_Sprint 43</t>
        </is>
      </c>
      <c r="M644" t="inlineStr">
        <is>
          <t>Taleb Amirreza</t>
        </is>
      </c>
      <c r="N644" t="inlineStr">
        <is>
          <t>Moradnoori Parinaz</t>
        </is>
      </c>
      <c r="O644" s="42" t="n">
        <v>45992.62440972222</v>
      </c>
      <c r="Q644" s="42" t="n">
        <v>45992.62440972222</v>
      </c>
      <c r="S644" t="n">
        <v>0</v>
      </c>
      <c r="T644" s="42" t="n">
        <v>45992.62440972222</v>
      </c>
      <c r="Z644" s="42" t="n">
        <v>45992.62440972222</v>
      </c>
      <c r="AA644" t="n">
        <v>0</v>
      </c>
      <c r="AD644" t="n">
        <v>2</v>
      </c>
      <c r="AE644" t="n">
        <v>2</v>
      </c>
      <c r="AF644" t="n">
        <v>0</v>
      </c>
      <c r="AI644" t="n">
        <v>0</v>
      </c>
      <c r="AJ644" t="n">
        <v>0</v>
      </c>
      <c r="AK644" t="n">
        <v>0</v>
      </c>
      <c r="AL644" t="n">
        <v>0</v>
      </c>
      <c r="AN644" t="n">
        <v>0</v>
      </c>
      <c r="AO644" t="n">
        <v>0</v>
      </c>
      <c r="AP644" t="n">
        <v>0</v>
      </c>
      <c r="AQ644" t="n">
        <v>24</v>
      </c>
      <c r="AR644" t="n">
        <v>0</v>
      </c>
    </row>
    <row r="645">
      <c r="A645" t="n">
        <v>192609</v>
      </c>
      <c r="B645" t="inlineStr">
        <is>
          <t>بایگانی اسناد ریالی - کنترل اشتباه تاریخ های انتخاب شده در کارتن</t>
        </is>
      </c>
      <c r="D645" t="inlineStr">
        <is>
          <t>Medium</t>
        </is>
      </c>
      <c r="E645" t="n">
        <v>1</v>
      </c>
      <c r="F645" t="inlineStr">
        <is>
          <t>Closed</t>
        </is>
      </c>
      <c r="G645" t="inlineStr">
        <is>
          <t>Other</t>
        </is>
      </c>
      <c r="J645" t="inlineStr">
        <is>
          <t>Stagnant Archive</t>
        </is>
      </c>
      <c r="K645" t="inlineStr">
        <is>
          <t>Sp_22</t>
        </is>
      </c>
      <c r="M645" t="inlineStr">
        <is>
          <t>Hajkhalil Mehrzad</t>
        </is>
      </c>
      <c r="N645" t="inlineStr">
        <is>
          <t>Monfared Mobina</t>
        </is>
      </c>
      <c r="O645" s="42" t="n">
        <v>45998.54805555556</v>
      </c>
      <c r="Q645" s="42" t="n">
        <v>45998.54805555556</v>
      </c>
      <c r="S645" t="n">
        <v>0</v>
      </c>
      <c r="T645" s="42" t="n">
        <v>45998.54805555556</v>
      </c>
      <c r="Z645" s="42" t="n">
        <v>45998.54805555556</v>
      </c>
      <c r="AA645" t="n">
        <v>0</v>
      </c>
      <c r="AD645" t="n">
        <v>2</v>
      </c>
      <c r="AE645" t="n">
        <v>2</v>
      </c>
      <c r="AF645" t="n">
        <v>0</v>
      </c>
      <c r="AI645" t="n">
        <v>0</v>
      </c>
      <c r="AJ645" t="n">
        <v>0</v>
      </c>
      <c r="AK645" t="n">
        <v>0</v>
      </c>
      <c r="AL645" t="n">
        <v>0</v>
      </c>
      <c r="AN645" t="n">
        <v>0</v>
      </c>
      <c r="AO645" t="n">
        <v>0</v>
      </c>
      <c r="AP645" t="n">
        <v>0</v>
      </c>
      <c r="AQ645" t="n">
        <v>24</v>
      </c>
      <c r="AR645" t="n">
        <v>0</v>
      </c>
    </row>
    <row r="646">
      <c r="A646" t="n">
        <v>192659</v>
      </c>
      <c r="B646" t="inlineStr">
        <is>
          <t>تکمیل شهرهای وقوع تخلف در ثبت خلافی</t>
        </is>
      </c>
      <c r="D646" t="inlineStr">
        <is>
          <t>Medium</t>
        </is>
      </c>
      <c r="E646" t="n">
        <v>1</v>
      </c>
      <c r="F646" t="inlineStr">
        <is>
          <t>Closed</t>
        </is>
      </c>
      <c r="G646" t="inlineStr">
        <is>
          <t>Other</t>
        </is>
      </c>
      <c r="J646" t="inlineStr">
        <is>
          <t>Transportation</t>
        </is>
      </c>
      <c r="K646" t="inlineStr">
        <is>
          <t>Sp_23</t>
        </is>
      </c>
      <c r="M646" t="inlineStr">
        <is>
          <t>Homayoun Mohammad</t>
        </is>
      </c>
      <c r="N646" t="inlineStr">
        <is>
          <t>Ghafarian Ghazaleh</t>
        </is>
      </c>
      <c r="O646" s="42" t="n">
        <v>45965.53282407407</v>
      </c>
      <c r="Q646" s="42" t="n">
        <v>45965.53282407407</v>
      </c>
      <c r="S646" t="n">
        <v>0</v>
      </c>
      <c r="T646" s="42" t="n">
        <v>45965.53282407407</v>
      </c>
      <c r="Z646" s="42" t="n">
        <v>45965.53282407407</v>
      </c>
      <c r="AA646" t="n">
        <v>0</v>
      </c>
      <c r="AD646" t="n">
        <v>2</v>
      </c>
      <c r="AE646" t="n">
        <v>2</v>
      </c>
      <c r="AF646" t="n">
        <v>0</v>
      </c>
      <c r="AI646" t="n">
        <v>0</v>
      </c>
      <c r="AJ646" t="n">
        <v>0</v>
      </c>
      <c r="AK646" t="n">
        <v>0</v>
      </c>
      <c r="AL646" t="n">
        <v>0</v>
      </c>
      <c r="AN646" t="n">
        <v>0</v>
      </c>
      <c r="AO646" t="n">
        <v>0</v>
      </c>
      <c r="AP646" t="n">
        <v>0</v>
      </c>
      <c r="AQ646" t="n">
        <v>24</v>
      </c>
      <c r="AR646" t="n">
        <v>0</v>
      </c>
    </row>
    <row r="647">
      <c r="A647" t="n">
        <v>192660</v>
      </c>
      <c r="B647" t="inlineStr">
        <is>
          <t>گرفتن خطا وقتی روی صفحه ای مدت زمان زیادی باز میمونه</t>
        </is>
      </c>
      <c r="D647" t="inlineStr">
        <is>
          <t>Medium</t>
        </is>
      </c>
      <c r="E647" t="n">
        <v>1</v>
      </c>
      <c r="F647" t="inlineStr">
        <is>
          <t>Closed</t>
        </is>
      </c>
      <c r="G647" t="inlineStr">
        <is>
          <t>Other</t>
        </is>
      </c>
      <c r="J647" t="inlineStr">
        <is>
          <t>Transportation</t>
        </is>
      </c>
      <c r="K647" t="inlineStr">
        <is>
          <t>Sp_23</t>
        </is>
      </c>
      <c r="M647" t="inlineStr">
        <is>
          <t>Navab Erfan</t>
        </is>
      </c>
      <c r="N647" t="inlineStr">
        <is>
          <t>Ghafarian Ghazaleh</t>
        </is>
      </c>
      <c r="O647" s="42" t="n">
        <v>45976.67736111111</v>
      </c>
      <c r="Q647" s="42" t="n">
        <v>45976.67736111111</v>
      </c>
      <c r="S647" t="n">
        <v>0</v>
      </c>
      <c r="T647" s="42" t="n">
        <v>45976.67736111111</v>
      </c>
      <c r="Z647" s="42" t="n">
        <v>45976.67736111111</v>
      </c>
      <c r="AA647" t="n">
        <v>0</v>
      </c>
      <c r="AD647" t="n">
        <v>2</v>
      </c>
      <c r="AE647" t="n">
        <v>2</v>
      </c>
      <c r="AF647" t="n">
        <v>0</v>
      </c>
      <c r="AI647" t="n">
        <v>0</v>
      </c>
      <c r="AJ647" t="n">
        <v>0</v>
      </c>
      <c r="AK647" t="n">
        <v>0</v>
      </c>
      <c r="AL647" t="n">
        <v>0</v>
      </c>
      <c r="AN647" t="n">
        <v>0</v>
      </c>
      <c r="AO647" t="n">
        <v>0</v>
      </c>
      <c r="AP647" t="n">
        <v>0</v>
      </c>
      <c r="AQ647" t="n">
        <v>24</v>
      </c>
      <c r="AR647" t="n">
        <v>0</v>
      </c>
    </row>
    <row r="648">
      <c r="A648" t="n">
        <v>192667</v>
      </c>
      <c r="B648" t="inlineStr">
        <is>
          <t>ثبت و ارسال نشدن سند ها NFWarch</t>
        </is>
      </c>
      <c r="D648" t="inlineStr">
        <is>
          <t>Medium</t>
        </is>
      </c>
      <c r="E648" t="n">
        <v>2</v>
      </c>
      <c r="F648" t="inlineStr">
        <is>
          <t>Closed</t>
        </is>
      </c>
      <c r="G648" t="inlineStr">
        <is>
          <t>Other</t>
        </is>
      </c>
      <c r="J648" t="inlineStr">
        <is>
          <t>Infrastructure Bizagi Extension</t>
        </is>
      </c>
      <c r="K648" t="inlineStr">
        <is>
          <t>SP-87</t>
        </is>
      </c>
      <c r="M648" t="inlineStr">
        <is>
          <t>Mirshomali Pouya</t>
        </is>
      </c>
      <c r="N648" t="inlineStr">
        <is>
          <t>Mojtaba MohammadGholi</t>
        </is>
      </c>
      <c r="O648" s="42" t="n">
        <v>45971.36328703703</v>
      </c>
      <c r="Q648" s="42" t="n">
        <v>45971.36328703703</v>
      </c>
      <c r="S648" t="n">
        <v>0</v>
      </c>
      <c r="T648" s="42" t="n">
        <v>45971.36328703703</v>
      </c>
      <c r="Z648" s="42" t="n">
        <v>45971.36328703703</v>
      </c>
      <c r="AA648" t="n">
        <v>0</v>
      </c>
      <c r="AD648" t="n">
        <v>2</v>
      </c>
      <c r="AE648" t="n">
        <v>2</v>
      </c>
      <c r="AF648" t="n">
        <v>0</v>
      </c>
      <c r="AI648" t="n">
        <v>0</v>
      </c>
      <c r="AJ648" t="n">
        <v>0</v>
      </c>
      <c r="AK648" t="n">
        <v>0</v>
      </c>
      <c r="AL648" t="n">
        <v>0</v>
      </c>
      <c r="AN648" t="n">
        <v>0</v>
      </c>
      <c r="AO648" t="n">
        <v>0</v>
      </c>
      <c r="AP648" t="n">
        <v>0</v>
      </c>
      <c r="AQ648" t="n">
        <v>24</v>
      </c>
      <c r="AR648" t="n">
        <v>0</v>
      </c>
    </row>
    <row r="649">
      <c r="A649" t="n">
        <v>192677</v>
      </c>
      <c r="B649" t="inlineStr">
        <is>
          <t>کمبو هایی که فقط با کلیک روی مثلث گوشه آنها باز میشوند/NFWPB</t>
        </is>
      </c>
      <c r="D649" t="inlineStr">
        <is>
          <t>Medium</t>
        </is>
      </c>
      <c r="E649" t="n">
        <v>3</v>
      </c>
      <c r="F649" t="inlineStr">
        <is>
          <t>Closed</t>
        </is>
      </c>
      <c r="G649" t="inlineStr">
        <is>
          <t>Other</t>
        </is>
      </c>
      <c r="J649" t="inlineStr">
        <is>
          <t>Infrastructure Bizagi Extension</t>
        </is>
      </c>
      <c r="K649" t="inlineStr">
        <is>
          <t>SP_88</t>
        </is>
      </c>
      <c r="L649" t="inlineStr">
        <is>
          <t>Completed</t>
        </is>
      </c>
      <c r="M649" t="inlineStr">
        <is>
          <t>Parvaz Maryam</t>
        </is>
      </c>
      <c r="N649" t="inlineStr">
        <is>
          <t>Mohseni Hadise</t>
        </is>
      </c>
      <c r="O649" s="42" t="n">
        <v>46012.68106481482</v>
      </c>
      <c r="Q649" s="42" t="n">
        <v>46012.68106481482</v>
      </c>
      <c r="S649" t="n">
        <v>0</v>
      </c>
      <c r="T649" s="42" t="n">
        <v>46012.68106481482</v>
      </c>
      <c r="Z649" s="42" t="n">
        <v>46012.68106481482</v>
      </c>
      <c r="AA649" t="n">
        <v>0</v>
      </c>
      <c r="AD649" t="n">
        <v>2</v>
      </c>
      <c r="AE649" t="n">
        <v>2</v>
      </c>
      <c r="AF649" t="n">
        <v>0</v>
      </c>
      <c r="AI649" t="n">
        <v>0</v>
      </c>
      <c r="AJ649" t="n">
        <v>0</v>
      </c>
      <c r="AK649" t="n">
        <v>0</v>
      </c>
      <c r="AL649" t="n">
        <v>0</v>
      </c>
      <c r="AN649" t="n">
        <v>0</v>
      </c>
      <c r="AO649" t="n">
        <v>0</v>
      </c>
      <c r="AP649" t="n">
        <v>0</v>
      </c>
      <c r="AQ649" t="n">
        <v>24</v>
      </c>
      <c r="AR649" t="n">
        <v>0</v>
      </c>
    </row>
    <row r="650">
      <c r="A650" t="n">
        <v>192686</v>
      </c>
      <c r="B650" t="inlineStr">
        <is>
          <t>عدم نمایش نام مدیر در گزارش چاپ فهرست</t>
        </is>
      </c>
      <c r="D650" t="inlineStr">
        <is>
          <t>Medium</t>
        </is>
      </c>
      <c r="E650" t="n">
        <v>1</v>
      </c>
      <c r="F650" t="inlineStr">
        <is>
          <t>Closed</t>
        </is>
      </c>
      <c r="G650" t="inlineStr">
        <is>
          <t>Other</t>
        </is>
      </c>
      <c r="J650" t="inlineStr">
        <is>
          <t>Transportation</t>
        </is>
      </c>
      <c r="K650" t="inlineStr">
        <is>
          <t>Sp_23</t>
        </is>
      </c>
      <c r="M650" t="inlineStr">
        <is>
          <t>Homayoun Mohammad</t>
        </is>
      </c>
      <c r="N650" t="inlineStr">
        <is>
          <t>Ghafarian Ghazaleh</t>
        </is>
      </c>
      <c r="O650" s="42" t="n">
        <v>45965.53197916667</v>
      </c>
      <c r="Q650" s="42" t="n">
        <v>45965.53197916667</v>
      </c>
      <c r="S650" t="n">
        <v>0</v>
      </c>
      <c r="T650" s="42" t="n">
        <v>45965.53197916667</v>
      </c>
      <c r="Z650" s="42" t="n">
        <v>45965.53197916667</v>
      </c>
      <c r="AA650" t="n">
        <v>0</v>
      </c>
      <c r="AD650" t="n">
        <v>2</v>
      </c>
      <c r="AE650" t="n">
        <v>2</v>
      </c>
      <c r="AF650" t="n">
        <v>0</v>
      </c>
      <c r="AI650" t="n">
        <v>0</v>
      </c>
      <c r="AJ650" t="n">
        <v>0</v>
      </c>
      <c r="AK650" t="n">
        <v>0</v>
      </c>
      <c r="AL650" t="n">
        <v>0</v>
      </c>
      <c r="AN650" t="n">
        <v>0</v>
      </c>
      <c r="AO650" t="n">
        <v>0</v>
      </c>
      <c r="AP650" t="n">
        <v>0</v>
      </c>
      <c r="AQ650" t="n">
        <v>24</v>
      </c>
      <c r="AR650" t="n">
        <v>0</v>
      </c>
    </row>
    <row r="651">
      <c r="A651" t="n">
        <v>192693</v>
      </c>
      <c r="B651" t="inlineStr">
        <is>
          <t>عدم درست نمایش ردگیری</t>
        </is>
      </c>
      <c r="D651" t="inlineStr">
        <is>
          <t>Medium</t>
        </is>
      </c>
      <c r="E651" t="n">
        <v>1</v>
      </c>
      <c r="F651" t="inlineStr">
        <is>
          <t>Closed</t>
        </is>
      </c>
      <c r="G651" t="inlineStr">
        <is>
          <t>Other</t>
        </is>
      </c>
      <c r="J651" t="inlineStr">
        <is>
          <t>Transportation</t>
        </is>
      </c>
      <c r="K651" t="inlineStr">
        <is>
          <t>Sp_23</t>
        </is>
      </c>
      <c r="M651" t="inlineStr">
        <is>
          <t>Homayoun Mohammad</t>
        </is>
      </c>
      <c r="N651" t="inlineStr">
        <is>
          <t>Ghafarian Ghazaleh</t>
        </is>
      </c>
      <c r="O651" s="42" t="n">
        <v>45965.5262962963</v>
      </c>
      <c r="Q651" s="42" t="n">
        <v>45965.5262962963</v>
      </c>
      <c r="S651" t="n">
        <v>0</v>
      </c>
      <c r="T651" s="42" t="n">
        <v>45965.5262962963</v>
      </c>
      <c r="Z651" s="42" t="n">
        <v>45965.5262962963</v>
      </c>
      <c r="AA651" t="n">
        <v>0</v>
      </c>
      <c r="AD651" t="n">
        <v>2</v>
      </c>
      <c r="AE651" t="n">
        <v>2</v>
      </c>
      <c r="AF651" t="n">
        <v>0</v>
      </c>
      <c r="AI651" t="n">
        <v>0</v>
      </c>
      <c r="AJ651" t="n">
        <v>0</v>
      </c>
      <c r="AK651" t="n">
        <v>0</v>
      </c>
      <c r="AL651" t="n">
        <v>0</v>
      </c>
      <c r="AN651" t="n">
        <v>0</v>
      </c>
      <c r="AO651" t="n">
        <v>0</v>
      </c>
      <c r="AP651" t="n">
        <v>0</v>
      </c>
      <c r="AQ651" t="n">
        <v>24</v>
      </c>
      <c r="AR651" t="n">
        <v>0</v>
      </c>
    </row>
    <row r="652">
      <c r="A652" t="n">
        <v>192695</v>
      </c>
      <c r="B652" t="inlineStr">
        <is>
          <t>عدم نمایش گزارش فاکتور لیست_NFWTR</t>
        </is>
      </c>
      <c r="D652" t="inlineStr">
        <is>
          <t>Medium</t>
        </is>
      </c>
      <c r="E652" t="n">
        <v>1</v>
      </c>
      <c r="F652" t="inlineStr">
        <is>
          <t>Closed</t>
        </is>
      </c>
      <c r="G652" t="inlineStr">
        <is>
          <t>Other</t>
        </is>
      </c>
      <c r="J652" t="inlineStr">
        <is>
          <t>Infrastructure Bizagi Extension</t>
        </is>
      </c>
      <c r="K652" t="inlineStr">
        <is>
          <t>SP-87</t>
        </is>
      </c>
      <c r="M652" t="inlineStr">
        <is>
          <t>Jafari Saeed</t>
        </is>
      </c>
      <c r="N652" t="inlineStr">
        <is>
          <t>Homayoun Mohammad</t>
        </is>
      </c>
      <c r="O652" s="42" t="n">
        <v>45965.59629629629</v>
      </c>
      <c r="Q652" s="42" t="n">
        <v>45965.59629629629</v>
      </c>
      <c r="S652" t="n">
        <v>0</v>
      </c>
      <c r="T652" s="42" t="n">
        <v>45965.59629629629</v>
      </c>
      <c r="Z652" s="42" t="n">
        <v>45965.59629629629</v>
      </c>
      <c r="AA652" t="n">
        <v>0</v>
      </c>
      <c r="AD652" t="n">
        <v>2</v>
      </c>
      <c r="AE652" t="n">
        <v>2</v>
      </c>
      <c r="AF652" t="n">
        <v>0</v>
      </c>
      <c r="AI652" t="n">
        <v>0</v>
      </c>
      <c r="AJ652" t="n">
        <v>0</v>
      </c>
      <c r="AK652" t="n">
        <v>0</v>
      </c>
      <c r="AL652" t="n">
        <v>0</v>
      </c>
      <c r="AN652" t="n">
        <v>0</v>
      </c>
      <c r="AO652" t="n">
        <v>0</v>
      </c>
      <c r="AP652" t="n">
        <v>0</v>
      </c>
      <c r="AQ652" t="n">
        <v>24</v>
      </c>
      <c r="AR652" t="n">
        <v>0</v>
      </c>
    </row>
    <row r="653">
      <c r="A653" t="n">
        <v>192697</v>
      </c>
      <c r="B653" t="inlineStr">
        <is>
          <t>پر ماندن اطلاعات وارد شده بعد از لاگت اوت یا منقضی شدن توکن NFWarch</t>
        </is>
      </c>
      <c r="D653" t="inlineStr">
        <is>
          <t>Medium</t>
        </is>
      </c>
      <c r="E653" t="n">
        <v>2</v>
      </c>
      <c r="F653" t="inlineStr">
        <is>
          <t>Closed</t>
        </is>
      </c>
      <c r="G653" t="inlineStr">
        <is>
          <t>Other</t>
        </is>
      </c>
      <c r="J653" t="inlineStr">
        <is>
          <t>Infrastructure Bizagi Extension</t>
        </is>
      </c>
      <c r="K653" t="inlineStr">
        <is>
          <t>SP-87</t>
        </is>
      </c>
      <c r="M653" t="inlineStr">
        <is>
          <t>Jafari Saeed</t>
        </is>
      </c>
      <c r="N653" t="inlineStr">
        <is>
          <t>Mojtaba MohammadGholi</t>
        </is>
      </c>
      <c r="O653" s="42" t="n">
        <v>45990.47534722222</v>
      </c>
      <c r="Q653" s="42" t="n">
        <v>45990.47534722222</v>
      </c>
      <c r="S653" t="n">
        <v>0</v>
      </c>
      <c r="T653" s="42" t="n">
        <v>45990.47534722222</v>
      </c>
      <c r="Z653" s="42" t="n">
        <v>45990.47534722222</v>
      </c>
      <c r="AA653" t="n">
        <v>0</v>
      </c>
      <c r="AD653" t="n">
        <v>2</v>
      </c>
      <c r="AE653" t="n">
        <v>2</v>
      </c>
      <c r="AF653" t="n">
        <v>0</v>
      </c>
      <c r="AI653" t="n">
        <v>0</v>
      </c>
      <c r="AJ653" t="n">
        <v>0</v>
      </c>
      <c r="AK653" t="n">
        <v>0</v>
      </c>
      <c r="AL653" t="n">
        <v>0</v>
      </c>
      <c r="AN653" t="n">
        <v>0</v>
      </c>
      <c r="AO653" t="n">
        <v>0</v>
      </c>
      <c r="AP653" t="n">
        <v>0</v>
      </c>
      <c r="AQ653" t="n">
        <v>24</v>
      </c>
      <c r="AR653" t="n">
        <v>0</v>
      </c>
    </row>
    <row r="654">
      <c r="A654" t="n">
        <v>192698</v>
      </c>
      <c r="B654" t="inlineStr">
        <is>
          <t>اپدیت نشدن اطلاعات نسخه بعد از زدن دکمه بک موس NFWDEM</t>
        </is>
      </c>
      <c r="D654" t="inlineStr">
        <is>
          <t>Medium</t>
        </is>
      </c>
      <c r="E654" t="n">
        <v>2</v>
      </c>
      <c r="F654" t="inlineStr">
        <is>
          <t>Closed</t>
        </is>
      </c>
      <c r="G654" t="inlineStr">
        <is>
          <t>Other</t>
        </is>
      </c>
      <c r="J654" t="inlineStr">
        <is>
          <t>Infrastructure Bizagi Extension</t>
        </is>
      </c>
      <c r="K654" t="inlineStr">
        <is>
          <t>SP-87</t>
        </is>
      </c>
      <c r="M654" t="inlineStr">
        <is>
          <t>Parvaz Maryam</t>
        </is>
      </c>
      <c r="N654" t="inlineStr">
        <is>
          <t>Parvaz Maryam</t>
        </is>
      </c>
      <c r="O654" s="42" t="n">
        <v>45998.37972222222</v>
      </c>
      <c r="Q654" s="42" t="n">
        <v>45998.37972222222</v>
      </c>
      <c r="S654" t="n">
        <v>0</v>
      </c>
      <c r="T654" s="42" t="n">
        <v>45998.37972222222</v>
      </c>
      <c r="Z654" s="42" t="n">
        <v>45998.37972222222</v>
      </c>
      <c r="AA654" t="n">
        <v>0</v>
      </c>
      <c r="AD654" t="n">
        <v>2</v>
      </c>
      <c r="AE654" t="n">
        <v>2</v>
      </c>
      <c r="AF654" t="n">
        <v>0</v>
      </c>
      <c r="AI654" t="n">
        <v>0</v>
      </c>
      <c r="AJ654" t="n">
        <v>0</v>
      </c>
      <c r="AK654" t="n">
        <v>0</v>
      </c>
      <c r="AL654" t="n">
        <v>0</v>
      </c>
      <c r="AN654" t="n">
        <v>0</v>
      </c>
      <c r="AO654" t="n">
        <v>0</v>
      </c>
      <c r="AP654" t="n">
        <v>0</v>
      </c>
      <c r="AQ654" t="n">
        <v>24</v>
      </c>
      <c r="AR654" t="n">
        <v>0</v>
      </c>
    </row>
    <row r="655">
      <c r="A655" t="n">
        <v>192700</v>
      </c>
      <c r="B655" t="inlineStr">
        <is>
          <t>با کلیک بر باکس، تاریخ روز ثبت نمی شود/NFWDem</t>
        </is>
      </c>
      <c r="D655" t="inlineStr">
        <is>
          <t>Medium</t>
        </is>
      </c>
      <c r="E655" t="n">
        <v>3</v>
      </c>
      <c r="F655" t="inlineStr">
        <is>
          <t>Closed</t>
        </is>
      </c>
      <c r="G655" t="inlineStr">
        <is>
          <t>Other</t>
        </is>
      </c>
      <c r="J655" t="inlineStr">
        <is>
          <t>Infrastructure Bizagi Extension</t>
        </is>
      </c>
      <c r="K655" t="inlineStr">
        <is>
          <t>SP-87</t>
        </is>
      </c>
      <c r="M655" t="inlineStr">
        <is>
          <t>Parvaz Maryam</t>
        </is>
      </c>
      <c r="N655" t="inlineStr">
        <is>
          <t>Mohseni Hadise</t>
        </is>
      </c>
      <c r="O655" s="42" t="n">
        <v>45977.72667824074</v>
      </c>
      <c r="Q655" s="42" t="n">
        <v>45977.72667824074</v>
      </c>
      <c r="S655" t="n">
        <v>0</v>
      </c>
      <c r="T655" s="42" t="n">
        <v>45977.72667824074</v>
      </c>
      <c r="Z655" s="42" t="n">
        <v>45977.72667824074</v>
      </c>
      <c r="AA655" t="n">
        <v>0</v>
      </c>
      <c r="AD655" t="n">
        <v>2</v>
      </c>
      <c r="AE655" t="n">
        <v>2</v>
      </c>
      <c r="AF655" t="n">
        <v>0</v>
      </c>
      <c r="AI655" t="n">
        <v>0</v>
      </c>
      <c r="AJ655" t="n">
        <v>0</v>
      </c>
      <c r="AK655" t="n">
        <v>0</v>
      </c>
      <c r="AL655" t="n">
        <v>0</v>
      </c>
      <c r="AN655" t="n">
        <v>0</v>
      </c>
      <c r="AO655" t="n">
        <v>0</v>
      </c>
      <c r="AP655" t="n">
        <v>0</v>
      </c>
      <c r="AQ655" t="n">
        <v>24</v>
      </c>
      <c r="AR655" t="n">
        <v>0</v>
      </c>
    </row>
    <row r="656">
      <c r="A656" t="n">
        <v>192717</v>
      </c>
      <c r="B656" t="inlineStr">
        <is>
          <t>خطا گزارشات NFWarch</t>
        </is>
      </c>
      <c r="D656" t="inlineStr">
        <is>
          <t>Medium</t>
        </is>
      </c>
      <c r="E656" t="n">
        <v>2</v>
      </c>
      <c r="F656" t="inlineStr">
        <is>
          <t>Closed</t>
        </is>
      </c>
      <c r="G656" t="inlineStr">
        <is>
          <t>Other</t>
        </is>
      </c>
      <c r="J656" t="inlineStr">
        <is>
          <t>Infrastructure Bizagi Extension</t>
        </is>
      </c>
      <c r="K656" t="inlineStr">
        <is>
          <t>SP-87</t>
        </is>
      </c>
      <c r="M656" t="inlineStr">
        <is>
          <t>Mojtaba MohammadGholi</t>
        </is>
      </c>
      <c r="N656" t="inlineStr">
        <is>
          <t>Mojtaba MohammadGholi</t>
        </is>
      </c>
      <c r="O656" s="42" t="n">
        <v>45970.7087962963</v>
      </c>
      <c r="Q656" s="42" t="n">
        <v>45970.7087962963</v>
      </c>
      <c r="S656" t="n">
        <v>0</v>
      </c>
      <c r="T656" s="42" t="n">
        <v>45970.7087962963</v>
      </c>
      <c r="Z656" s="42" t="n">
        <v>45970.7087962963</v>
      </c>
      <c r="AA656" t="n">
        <v>0</v>
      </c>
      <c r="AD656" t="n">
        <v>2</v>
      </c>
      <c r="AE656" t="n">
        <v>2</v>
      </c>
      <c r="AF656" t="n">
        <v>0</v>
      </c>
      <c r="AI656" t="n">
        <v>0</v>
      </c>
      <c r="AJ656" t="n">
        <v>0</v>
      </c>
      <c r="AK656" t="n">
        <v>0</v>
      </c>
      <c r="AL656" t="n">
        <v>0</v>
      </c>
      <c r="AN656" t="n">
        <v>0</v>
      </c>
      <c r="AO656" t="n">
        <v>0</v>
      </c>
      <c r="AP656" t="n">
        <v>0</v>
      </c>
      <c r="AQ656" t="n">
        <v>24</v>
      </c>
      <c r="AR656" t="n">
        <v>0</v>
      </c>
    </row>
    <row r="657">
      <c r="A657" t="n">
        <v>192718</v>
      </c>
      <c r="B657" t="inlineStr">
        <is>
          <t xml:space="preserve"> کمبو  نوع محل در املاک و نشانی  لیست کامل را نمایش نمی دهد /79</t>
        </is>
      </c>
      <c r="D657" t="inlineStr">
        <is>
          <t>Medium</t>
        </is>
      </c>
      <c r="E657" t="n">
        <v>1</v>
      </c>
      <c r="F657" t="inlineStr">
        <is>
          <t>Closed</t>
        </is>
      </c>
      <c r="G657" t="inlineStr">
        <is>
          <t>Other</t>
        </is>
      </c>
      <c r="J657" t="inlineStr">
        <is>
          <t>Dem</t>
        </is>
      </c>
      <c r="K657" t="inlineStr">
        <is>
          <t>DemBiz</t>
        </is>
      </c>
      <c r="M657" t="inlineStr">
        <is>
          <t>Hoseini Fatemeh</t>
        </is>
      </c>
      <c r="N657" t="inlineStr">
        <is>
          <t>Hajizadeh Elnaz</t>
        </is>
      </c>
      <c r="O657" s="42" t="n">
        <v>45964.57822916667</v>
      </c>
      <c r="Q657" s="42" t="n">
        <v>45964.57822916667</v>
      </c>
      <c r="S657" t="n">
        <v>0</v>
      </c>
      <c r="T657" s="42" t="n">
        <v>45964.57822916667</v>
      </c>
      <c r="Z657" s="42" t="n">
        <v>45964.57822916667</v>
      </c>
      <c r="AA657" t="n">
        <v>0</v>
      </c>
      <c r="AD657" t="n">
        <v>2</v>
      </c>
      <c r="AE657" t="n">
        <v>2</v>
      </c>
      <c r="AF657" t="n">
        <v>0</v>
      </c>
      <c r="AI657" t="n">
        <v>0</v>
      </c>
      <c r="AJ657" t="n">
        <v>0</v>
      </c>
      <c r="AK657" t="n">
        <v>0</v>
      </c>
      <c r="AL657" t="n">
        <v>0</v>
      </c>
      <c r="AN657" t="n">
        <v>0</v>
      </c>
      <c r="AO657" t="n">
        <v>0</v>
      </c>
      <c r="AP657" t="n">
        <v>0</v>
      </c>
      <c r="AQ657" t="n">
        <v>24</v>
      </c>
      <c r="AR657" t="n">
        <v>0</v>
      </c>
    </row>
    <row r="658">
      <c r="A658" t="n">
        <v>192742</v>
      </c>
      <c r="B658" t="inlineStr">
        <is>
          <t>اصلاح گزارش فاکتور لیست صورت هزینه عوارض ازاد راهی</t>
        </is>
      </c>
      <c r="D658" t="inlineStr">
        <is>
          <t>Medium</t>
        </is>
      </c>
      <c r="E658" t="n">
        <v>1</v>
      </c>
      <c r="F658" t="inlineStr">
        <is>
          <t>Closed</t>
        </is>
      </c>
      <c r="G658" t="inlineStr">
        <is>
          <t>Other</t>
        </is>
      </c>
      <c r="J658" t="inlineStr">
        <is>
          <t>Transportation</t>
        </is>
      </c>
      <c r="K658" t="inlineStr">
        <is>
          <t>Sp_23</t>
        </is>
      </c>
      <c r="M658" t="inlineStr">
        <is>
          <t>Homayoun Mohammad</t>
        </is>
      </c>
      <c r="N658" t="inlineStr">
        <is>
          <t>Ghafarian Ghazaleh</t>
        </is>
      </c>
      <c r="O658" s="42" t="n">
        <v>45965.52594907407</v>
      </c>
      <c r="Q658" s="42" t="n">
        <v>45965.52594907407</v>
      </c>
      <c r="S658" t="n">
        <v>0</v>
      </c>
      <c r="T658" s="42" t="n">
        <v>45965.52594907407</v>
      </c>
      <c r="Z658" s="42" t="n">
        <v>45965.52594907407</v>
      </c>
      <c r="AA658" t="n">
        <v>0</v>
      </c>
      <c r="AD658" t="n">
        <v>2</v>
      </c>
      <c r="AE658" t="n">
        <v>2</v>
      </c>
      <c r="AF658" t="n">
        <v>0</v>
      </c>
      <c r="AI658" t="n">
        <v>0</v>
      </c>
      <c r="AJ658" t="n">
        <v>0</v>
      </c>
      <c r="AK658" t="n">
        <v>0</v>
      </c>
      <c r="AL658" t="n">
        <v>0</v>
      </c>
      <c r="AN658" t="n">
        <v>0</v>
      </c>
      <c r="AO658" t="n">
        <v>0</v>
      </c>
      <c r="AP658" t="n">
        <v>0</v>
      </c>
      <c r="AQ658" t="n">
        <v>24</v>
      </c>
      <c r="AR658" t="n">
        <v>0</v>
      </c>
    </row>
    <row r="659">
      <c r="A659" t="n">
        <v>192753</v>
      </c>
      <c r="B659" t="inlineStr">
        <is>
          <t>نمایش پر اطلاعات وقتی فرمی رو جدید باز میکنیم</t>
        </is>
      </c>
      <c r="D659" t="inlineStr">
        <is>
          <t>Medium</t>
        </is>
      </c>
      <c r="E659" t="n">
        <v>2</v>
      </c>
      <c r="F659" t="inlineStr">
        <is>
          <t>Closed</t>
        </is>
      </c>
      <c r="G659" t="inlineStr">
        <is>
          <t>Other</t>
        </is>
      </c>
      <c r="J659" t="inlineStr">
        <is>
          <t>Transportation</t>
        </is>
      </c>
      <c r="K659" t="inlineStr">
        <is>
          <t>Sp_23</t>
        </is>
      </c>
      <c r="M659" t="inlineStr">
        <is>
          <t>Ghafarian Ghazaleh</t>
        </is>
      </c>
      <c r="N659" t="inlineStr">
        <is>
          <t>Ghafarian Ghazaleh</t>
        </is>
      </c>
      <c r="O659" s="42" t="n">
        <v>45964.66030092593</v>
      </c>
      <c r="Q659" s="42" t="n">
        <v>45964.66030092593</v>
      </c>
      <c r="S659" t="n">
        <v>0</v>
      </c>
      <c r="T659" s="42" t="n">
        <v>45964.66030092593</v>
      </c>
      <c r="Z659" s="42" t="n">
        <v>45964.66030092593</v>
      </c>
      <c r="AA659" t="n">
        <v>0</v>
      </c>
      <c r="AD659" t="n">
        <v>2</v>
      </c>
      <c r="AE659" t="n">
        <v>2</v>
      </c>
      <c r="AF659" t="n">
        <v>0</v>
      </c>
      <c r="AI659" t="n">
        <v>0</v>
      </c>
      <c r="AJ659" t="n">
        <v>0</v>
      </c>
      <c r="AK659" t="n">
        <v>0</v>
      </c>
      <c r="AL659" t="n">
        <v>0</v>
      </c>
      <c r="AN659" t="n">
        <v>0</v>
      </c>
      <c r="AO659" t="n">
        <v>0</v>
      </c>
      <c r="AP659" t="n">
        <v>0</v>
      </c>
      <c r="AQ659" t="n">
        <v>24</v>
      </c>
      <c r="AR659" t="n">
        <v>0</v>
      </c>
    </row>
    <row r="660">
      <c r="A660" t="n">
        <v>192794</v>
      </c>
      <c r="B660" t="inlineStr">
        <is>
          <t>AE_SAJA\\ اجرا نشدن فیلتر جلسات د ایجاد جلسه هیئت</t>
        </is>
      </c>
      <c r="D660" t="inlineStr">
        <is>
          <t>Medium</t>
        </is>
      </c>
      <c r="E660" t="n">
        <v>1</v>
      </c>
      <c r="F660" t="inlineStr">
        <is>
          <t>Closed</t>
        </is>
      </c>
      <c r="G660" t="inlineStr">
        <is>
          <t>Other</t>
        </is>
      </c>
      <c r="J660" t="inlineStr">
        <is>
          <t>Infrastructure Bizagi Extension</t>
        </is>
      </c>
      <c r="K660" t="inlineStr">
        <is>
          <t>SP-87</t>
        </is>
      </c>
      <c r="M660" t="inlineStr">
        <is>
          <t>Nemati Hasan</t>
        </is>
      </c>
      <c r="N660" t="inlineStr">
        <is>
          <t>Tedadi Abbas</t>
        </is>
      </c>
      <c r="O660" s="42" t="n">
        <v>45998.70344907408</v>
      </c>
      <c r="Q660" s="42" t="n">
        <v>45998.70344907408</v>
      </c>
      <c r="S660" t="n">
        <v>0</v>
      </c>
      <c r="T660" s="42" t="n">
        <v>45998.70344907408</v>
      </c>
      <c r="Z660" s="42" t="n">
        <v>45998.70344907408</v>
      </c>
      <c r="AA660" t="n">
        <v>0</v>
      </c>
      <c r="AD660" t="n">
        <v>2</v>
      </c>
      <c r="AE660" t="n">
        <v>2</v>
      </c>
      <c r="AF660" t="n">
        <v>0</v>
      </c>
      <c r="AI660" t="n">
        <v>0</v>
      </c>
      <c r="AJ660" t="n">
        <v>0</v>
      </c>
      <c r="AK660" t="n">
        <v>0</v>
      </c>
      <c r="AL660" t="n">
        <v>0</v>
      </c>
      <c r="AN660" t="n">
        <v>0</v>
      </c>
      <c r="AO660" t="n">
        <v>0</v>
      </c>
      <c r="AP660" t="n">
        <v>0</v>
      </c>
      <c r="AQ660" t="n">
        <v>24</v>
      </c>
      <c r="AR660" t="n">
        <v>0</v>
      </c>
    </row>
    <row r="661">
      <c r="A661" t="n">
        <v>192807</v>
      </c>
      <c r="B661" t="inlineStr">
        <is>
          <t xml:space="preserve">بعداز ثبت تغییرات در لینک ویرایش ، دکمه ها در فرم تکمیل اطلاعات پیغام خطا می دهد </t>
        </is>
      </c>
      <c r="D661" t="inlineStr">
        <is>
          <t>Medium</t>
        </is>
      </c>
      <c r="E661" t="n">
        <v>1</v>
      </c>
      <c r="F661" t="inlineStr">
        <is>
          <t>Closed</t>
        </is>
      </c>
      <c r="G661" t="inlineStr">
        <is>
          <t>Other</t>
        </is>
      </c>
      <c r="J661" t="inlineStr">
        <is>
          <t>Dem</t>
        </is>
      </c>
      <c r="K661" t="inlineStr">
        <is>
          <t>DemBiz</t>
        </is>
      </c>
      <c r="M661" t="inlineStr">
        <is>
          <t>Hoseini Fatemeh</t>
        </is>
      </c>
      <c r="N661" t="inlineStr">
        <is>
          <t>Baniamer Shaghayegh</t>
        </is>
      </c>
      <c r="O661" s="42" t="n">
        <v>45967.94384259259</v>
      </c>
      <c r="Q661" s="42" t="n">
        <v>45967.94384259259</v>
      </c>
      <c r="S661" t="n">
        <v>0</v>
      </c>
      <c r="T661" s="42" t="n">
        <v>45967.94384259259</v>
      </c>
      <c r="Z661" s="42" t="n">
        <v>45967.94384259259</v>
      </c>
      <c r="AA661" t="n">
        <v>0</v>
      </c>
      <c r="AD661" t="n">
        <v>2</v>
      </c>
      <c r="AE661" t="n">
        <v>2</v>
      </c>
      <c r="AF661" t="n">
        <v>0</v>
      </c>
      <c r="AI661" t="n">
        <v>0</v>
      </c>
      <c r="AJ661" t="n">
        <v>0</v>
      </c>
      <c r="AK661" t="n">
        <v>0</v>
      </c>
      <c r="AL661" t="n">
        <v>0</v>
      </c>
      <c r="AN661" t="n">
        <v>0</v>
      </c>
      <c r="AO661" t="n">
        <v>0</v>
      </c>
      <c r="AP661" t="n">
        <v>0</v>
      </c>
      <c r="AQ661" t="n">
        <v>24</v>
      </c>
      <c r="AR661" t="n">
        <v>0</v>
      </c>
    </row>
    <row r="662">
      <c r="A662" t="n">
        <v>192812</v>
      </c>
      <c r="B662" t="inlineStr">
        <is>
          <t>بازیابی اسنا ریالی - ثبت تاریخ در فیلد NFWTR</t>
        </is>
      </c>
      <c r="D662" t="inlineStr">
        <is>
          <t>Medium</t>
        </is>
      </c>
      <c r="E662" t="n">
        <v>1</v>
      </c>
      <c r="F662" t="inlineStr">
        <is>
          <t>Closed</t>
        </is>
      </c>
      <c r="G662" t="inlineStr">
        <is>
          <t>Other</t>
        </is>
      </c>
      <c r="J662" t="inlineStr">
        <is>
          <t>Infrastructure Bizagi Extension</t>
        </is>
      </c>
      <c r="K662" t="inlineStr">
        <is>
          <t>SP-87</t>
        </is>
      </c>
      <c r="M662" t="inlineStr">
        <is>
          <t>Jafari Saeed</t>
        </is>
      </c>
      <c r="N662" t="inlineStr">
        <is>
          <t>Monfared Mobina</t>
        </is>
      </c>
      <c r="O662" s="42" t="n">
        <v>45976.59532407407</v>
      </c>
      <c r="Q662" s="42" t="n">
        <v>45976.59532407407</v>
      </c>
      <c r="S662" t="n">
        <v>0</v>
      </c>
      <c r="T662" s="42" t="n">
        <v>45976.59532407407</v>
      </c>
      <c r="Z662" s="42" t="n">
        <v>45976.59532407407</v>
      </c>
      <c r="AA662" t="n">
        <v>0</v>
      </c>
      <c r="AD662" t="n">
        <v>2</v>
      </c>
      <c r="AE662" t="n">
        <v>2</v>
      </c>
      <c r="AF662" t="n">
        <v>0</v>
      </c>
      <c r="AI662" t="n">
        <v>0</v>
      </c>
      <c r="AJ662" t="n">
        <v>0</v>
      </c>
      <c r="AK662" t="n">
        <v>0</v>
      </c>
      <c r="AL662" t="n">
        <v>0</v>
      </c>
      <c r="AN662" t="n">
        <v>0</v>
      </c>
      <c r="AO662" t="n">
        <v>0</v>
      </c>
      <c r="AP662" t="n">
        <v>0</v>
      </c>
      <c r="AQ662" t="n">
        <v>24</v>
      </c>
      <c r="AR662" t="n">
        <v>0</v>
      </c>
    </row>
    <row r="663">
      <c r="A663" t="n">
        <v>192817</v>
      </c>
      <c r="B663" t="inlineStr">
        <is>
          <t>نیمه باز شدن کمبوها، در فرم تکمیل اطلاعات  // NFWDem</t>
        </is>
      </c>
      <c r="D663" t="inlineStr">
        <is>
          <t>Medium</t>
        </is>
      </c>
      <c r="E663" t="n">
        <v>1</v>
      </c>
      <c r="F663" t="inlineStr">
        <is>
          <t>Closed</t>
        </is>
      </c>
      <c r="G663" t="inlineStr">
        <is>
          <t>Other</t>
        </is>
      </c>
      <c r="J663" t="inlineStr">
        <is>
          <t>Infrastructure Bizagi Extension</t>
        </is>
      </c>
      <c r="K663" t="inlineStr">
        <is>
          <t>SP-87</t>
        </is>
      </c>
      <c r="M663" t="inlineStr">
        <is>
          <t>Parvaz Maryam</t>
        </is>
      </c>
      <c r="N663" t="inlineStr">
        <is>
          <t>Baniamer Shaghayegh</t>
        </is>
      </c>
      <c r="O663" s="42" t="n">
        <v>45965.49857638889</v>
      </c>
      <c r="Q663" s="42" t="n">
        <v>45965.49857638889</v>
      </c>
      <c r="S663" t="n">
        <v>0</v>
      </c>
      <c r="T663" s="42" t="n">
        <v>45965.49857638889</v>
      </c>
      <c r="Z663" s="42" t="n">
        <v>45965.49857638889</v>
      </c>
      <c r="AA663" t="n">
        <v>0</v>
      </c>
      <c r="AD663" t="n">
        <v>2</v>
      </c>
      <c r="AE663" t="n">
        <v>2</v>
      </c>
      <c r="AF663" t="n">
        <v>0</v>
      </c>
      <c r="AI663" t="n">
        <v>0</v>
      </c>
      <c r="AJ663" t="n">
        <v>0</v>
      </c>
      <c r="AK663" t="n">
        <v>0</v>
      </c>
      <c r="AL663" t="n">
        <v>0</v>
      </c>
      <c r="AN663" t="n">
        <v>0</v>
      </c>
      <c r="AO663" t="n">
        <v>0</v>
      </c>
      <c r="AP663" t="n">
        <v>0</v>
      </c>
      <c r="AQ663" t="n">
        <v>24</v>
      </c>
      <c r="AR663" t="n">
        <v>0</v>
      </c>
    </row>
    <row r="664">
      <c r="A664" t="n">
        <v>192830</v>
      </c>
      <c r="B664" t="inlineStr">
        <is>
          <t>عدم فعال بودن یوزر در مدیریت کاربران</t>
        </is>
      </c>
      <c r="D664" t="inlineStr">
        <is>
          <t>Medium</t>
        </is>
      </c>
      <c r="E664" t="n">
        <v>2</v>
      </c>
      <c r="F664" t="inlineStr">
        <is>
          <t>Closed</t>
        </is>
      </c>
      <c r="G664" t="inlineStr">
        <is>
          <t>Other</t>
        </is>
      </c>
      <c r="J664" t="inlineStr">
        <is>
          <t>Transportation</t>
        </is>
      </c>
      <c r="K664" t="inlineStr">
        <is>
          <t>Sp_23</t>
        </is>
      </c>
      <c r="M664" t="inlineStr">
        <is>
          <t>Navab Erfan</t>
        </is>
      </c>
      <c r="N664" t="inlineStr">
        <is>
          <t>Ghafarian Ghazaleh</t>
        </is>
      </c>
      <c r="O664" s="42" t="n">
        <v>45965.42957175926</v>
      </c>
      <c r="Q664" s="42" t="n">
        <v>45965.42957175926</v>
      </c>
      <c r="S664" t="n">
        <v>0</v>
      </c>
      <c r="T664" s="42" t="n">
        <v>45965.42957175926</v>
      </c>
      <c r="Z664" s="42" t="n">
        <v>45965.42957175926</v>
      </c>
      <c r="AA664" t="n">
        <v>0</v>
      </c>
      <c r="AD664" t="n">
        <v>2</v>
      </c>
      <c r="AE664" t="n">
        <v>2</v>
      </c>
      <c r="AF664" t="n">
        <v>0</v>
      </c>
      <c r="AI664" t="n">
        <v>0</v>
      </c>
      <c r="AJ664" t="n">
        <v>0</v>
      </c>
      <c r="AK664" t="n">
        <v>0</v>
      </c>
      <c r="AL664" t="n">
        <v>0</v>
      </c>
      <c r="AN664" t="n">
        <v>0</v>
      </c>
      <c r="AO664" t="n">
        <v>0</v>
      </c>
      <c r="AP664" t="n">
        <v>0</v>
      </c>
      <c r="AQ664" t="n">
        <v>24</v>
      </c>
      <c r="AR664" t="n">
        <v>0</v>
      </c>
    </row>
    <row r="665">
      <c r="A665" t="n">
        <v>192834</v>
      </c>
      <c r="B665" t="inlineStr">
        <is>
          <t>با باز کردن  فرم ویرایش مشتری پیغام خطا داده و صفحه سفید میشود /// NFWDem</t>
        </is>
      </c>
      <c r="D665" t="inlineStr">
        <is>
          <t>Medium</t>
        </is>
      </c>
      <c r="E665" t="n">
        <v>1</v>
      </c>
      <c r="F665" t="inlineStr">
        <is>
          <t>Closed</t>
        </is>
      </c>
      <c r="G665" t="inlineStr">
        <is>
          <t>Other</t>
        </is>
      </c>
      <c r="J665" t="inlineStr">
        <is>
          <t>Infrastructure Bizagi Extension</t>
        </is>
      </c>
      <c r="K665" t="inlineStr">
        <is>
          <t>SP-87</t>
        </is>
      </c>
      <c r="M665" t="inlineStr">
        <is>
          <t>Rezaee Reza</t>
        </is>
      </c>
      <c r="N665" t="inlineStr">
        <is>
          <t>Baniamer Shaghayegh</t>
        </is>
      </c>
      <c r="O665" s="42" t="n">
        <v>45965.49799768518</v>
      </c>
      <c r="Q665" s="42" t="n">
        <v>45965.49799768518</v>
      </c>
      <c r="S665" t="n">
        <v>0</v>
      </c>
      <c r="T665" s="42" t="n">
        <v>45965.49799768518</v>
      </c>
      <c r="Z665" s="42" t="n">
        <v>45965.49799768518</v>
      </c>
      <c r="AA665" t="n">
        <v>0</v>
      </c>
      <c r="AD665" t="n">
        <v>2</v>
      </c>
      <c r="AE665" t="n">
        <v>2</v>
      </c>
      <c r="AF665" t="n">
        <v>0</v>
      </c>
      <c r="AI665" t="n">
        <v>0</v>
      </c>
      <c r="AJ665" t="n">
        <v>0</v>
      </c>
      <c r="AK665" t="n">
        <v>0</v>
      </c>
      <c r="AL665" t="n">
        <v>0</v>
      </c>
      <c r="AN665" t="n">
        <v>0</v>
      </c>
      <c r="AO665" t="n">
        <v>0</v>
      </c>
      <c r="AP665" t="n">
        <v>0</v>
      </c>
      <c r="AQ665" t="n">
        <v>24</v>
      </c>
      <c r="AR665" t="n">
        <v>0</v>
      </c>
    </row>
    <row r="666">
      <c r="A666" t="n">
        <v>192836</v>
      </c>
      <c r="B666" t="inlineStr">
        <is>
          <t>عدم ذخیره شدن ویرایش وثائق ، در لینک ویرایش/NFWDem</t>
        </is>
      </c>
      <c r="D666" t="inlineStr">
        <is>
          <t>Medium</t>
        </is>
      </c>
      <c r="E666" t="n">
        <v>1</v>
      </c>
      <c r="F666" t="inlineStr">
        <is>
          <t>Closed</t>
        </is>
      </c>
      <c r="G666" t="inlineStr">
        <is>
          <t>Other</t>
        </is>
      </c>
      <c r="J666" t="inlineStr">
        <is>
          <t>Dem</t>
        </is>
      </c>
      <c r="K666" t="inlineStr">
        <is>
          <t>DemBiz</t>
        </is>
      </c>
      <c r="M666" t="inlineStr">
        <is>
          <t>Hoseini Fatemeh</t>
        </is>
      </c>
      <c r="N666" t="inlineStr">
        <is>
          <t>Baniamer Shaghayegh</t>
        </is>
      </c>
      <c r="O666" s="42" t="n">
        <v>45967.94350694444</v>
      </c>
      <c r="Q666" s="42" t="n">
        <v>45967.94350694444</v>
      </c>
      <c r="S666" t="n">
        <v>0</v>
      </c>
      <c r="T666" s="42" t="n">
        <v>45967.94350694444</v>
      </c>
      <c r="Z666" s="42" t="n">
        <v>45967.94350694444</v>
      </c>
      <c r="AA666" t="n">
        <v>0</v>
      </c>
      <c r="AD666" t="n">
        <v>2</v>
      </c>
      <c r="AE666" t="n">
        <v>2</v>
      </c>
      <c r="AF666" t="n">
        <v>0</v>
      </c>
      <c r="AI666" t="n">
        <v>0</v>
      </c>
      <c r="AJ666" t="n">
        <v>0</v>
      </c>
      <c r="AK666" t="n">
        <v>0</v>
      </c>
      <c r="AL666" t="n">
        <v>0</v>
      </c>
      <c r="AN666" t="n">
        <v>0</v>
      </c>
      <c r="AO666" t="n">
        <v>0</v>
      </c>
      <c r="AP666" t="n">
        <v>0</v>
      </c>
      <c r="AQ666" t="n">
        <v>24</v>
      </c>
      <c r="AR666" t="n">
        <v>0</v>
      </c>
    </row>
    <row r="667">
      <c r="A667" t="n">
        <v>192869</v>
      </c>
      <c r="B667" t="inlineStr">
        <is>
          <t>عدم وجود دکمه نمایش نقشه تفکیکی</t>
        </is>
      </c>
      <c r="D667" t="inlineStr">
        <is>
          <t>Medium</t>
        </is>
      </c>
      <c r="E667" t="n">
        <v>1</v>
      </c>
      <c r="F667" t="inlineStr">
        <is>
          <t>Active</t>
        </is>
      </c>
      <c r="G667" t="inlineStr">
        <is>
          <t>Other</t>
        </is>
      </c>
      <c r="I667" t="inlineStr">
        <is>
          <t>Bizagi_Team</t>
        </is>
      </c>
      <c r="J667" t="inlineStr">
        <is>
          <t>SAJAK</t>
        </is>
      </c>
      <c r="K667" t="inlineStr">
        <is>
          <t>Estate_Sprint 43</t>
        </is>
      </c>
      <c r="M667" t="inlineStr">
        <is>
          <t>Kalaei Saman</t>
        </is>
      </c>
      <c r="Q667" s="42" t="n">
        <v>45983.44706018519</v>
      </c>
      <c r="S667" t="n">
        <v>0</v>
      </c>
      <c r="T667" s="42" t="n">
        <v>45983.44706018519</v>
      </c>
      <c r="AA667" t="n">
        <v>0</v>
      </c>
      <c r="AD667" t="n">
        <v>2</v>
      </c>
      <c r="AE667" t="n">
        <v>2</v>
      </c>
      <c r="AF667" t="n">
        <v>0</v>
      </c>
      <c r="AI667" t="n">
        <v>0</v>
      </c>
      <c r="AJ667" t="n">
        <v>0</v>
      </c>
      <c r="AM667" t="n">
        <v>34</v>
      </c>
      <c r="AN667" t="n">
        <v>0</v>
      </c>
      <c r="AO667" t="n">
        <v>0</v>
      </c>
      <c r="AP667" t="n">
        <v>0</v>
      </c>
      <c r="AQ667" t="n">
        <v>24</v>
      </c>
      <c r="AR667" t="n">
        <v>0</v>
      </c>
    </row>
    <row r="668">
      <c r="A668" t="n">
        <v>192872</v>
      </c>
      <c r="B668" t="inlineStr">
        <is>
          <t>دکمه های دریافت گزارش و دکمه جزییات صورت مالی پیغام خطا در فرایند می دهد</t>
        </is>
      </c>
      <c r="D668" t="inlineStr">
        <is>
          <t>Medium</t>
        </is>
      </c>
      <c r="E668" t="n">
        <v>1</v>
      </c>
      <c r="F668" t="inlineStr">
        <is>
          <t>Closed</t>
        </is>
      </c>
      <c r="G668" t="inlineStr">
        <is>
          <t>Other</t>
        </is>
      </c>
      <c r="J668" t="inlineStr">
        <is>
          <t>Dem</t>
        </is>
      </c>
      <c r="K668" t="inlineStr">
        <is>
          <t>DemBiz</t>
        </is>
      </c>
      <c r="M668" t="inlineStr">
        <is>
          <t>Moradi Mohammad</t>
        </is>
      </c>
      <c r="N668" t="inlineStr">
        <is>
          <t>Baniamer Shaghayegh</t>
        </is>
      </c>
      <c r="O668" s="42" t="n">
        <v>45966.45583333333</v>
      </c>
      <c r="Q668" s="42" t="n">
        <v>45966.45583333333</v>
      </c>
      <c r="S668" t="n">
        <v>0</v>
      </c>
      <c r="T668" s="42" t="n">
        <v>45966.45583333333</v>
      </c>
      <c r="Z668" s="42" t="n">
        <v>45966.45583333333</v>
      </c>
      <c r="AA668" t="n">
        <v>0</v>
      </c>
      <c r="AD668" t="n">
        <v>2</v>
      </c>
      <c r="AE668" t="n">
        <v>2</v>
      </c>
      <c r="AF668" t="n">
        <v>0</v>
      </c>
      <c r="AI668" t="n">
        <v>0</v>
      </c>
      <c r="AJ668" t="n">
        <v>0</v>
      </c>
      <c r="AK668" t="n">
        <v>0</v>
      </c>
      <c r="AL668" t="n">
        <v>0</v>
      </c>
      <c r="AN668" t="n">
        <v>0</v>
      </c>
      <c r="AO668" t="n">
        <v>0</v>
      </c>
      <c r="AP668" t="n">
        <v>0</v>
      </c>
      <c r="AQ668" t="n">
        <v>24</v>
      </c>
      <c r="AR668" t="n">
        <v>0</v>
      </c>
    </row>
    <row r="669">
      <c r="A669" t="n">
        <v>192876</v>
      </c>
      <c r="B669" t="inlineStr">
        <is>
          <t>ستون تاریخ اظهارنظر در تب تاریخچه باید بر اساس زمان مرتب باشد</t>
        </is>
      </c>
      <c r="D669" t="inlineStr">
        <is>
          <t>Medium</t>
        </is>
      </c>
      <c r="E669" t="n">
        <v>2</v>
      </c>
      <c r="F669" t="inlineStr">
        <is>
          <t>Ready for Retest</t>
        </is>
      </c>
      <c r="G669" t="inlineStr">
        <is>
          <t>Other</t>
        </is>
      </c>
      <c r="I669" t="inlineStr">
        <is>
          <t>Bizagi_Team</t>
        </is>
      </c>
      <c r="J669" t="inlineStr">
        <is>
          <t>SAJAK</t>
        </is>
      </c>
      <c r="K669" t="inlineStr">
        <is>
          <t>Estate_Sprint 43</t>
        </is>
      </c>
      <c r="M669" t="inlineStr">
        <is>
          <t>Tedadi Abbas</t>
        </is>
      </c>
      <c r="Q669" s="42" t="n">
        <v>46006.59596064815</v>
      </c>
      <c r="S669" t="n">
        <v>0</v>
      </c>
      <c r="T669" s="42" t="n">
        <v>46006.59596064815</v>
      </c>
      <c r="AA669" t="n">
        <v>0</v>
      </c>
      <c r="AD669" t="n">
        <v>2</v>
      </c>
      <c r="AE669" t="n">
        <v>2</v>
      </c>
      <c r="AF669" t="n">
        <v>0</v>
      </c>
      <c r="AI669" t="n">
        <v>0</v>
      </c>
      <c r="AJ669" t="n">
        <v>0</v>
      </c>
      <c r="AN669" t="n">
        <v>0</v>
      </c>
      <c r="AO669" t="n">
        <v>0</v>
      </c>
      <c r="AP669" t="n">
        <v>0</v>
      </c>
      <c r="AQ669" t="n">
        <v>24</v>
      </c>
      <c r="AR669" t="n">
        <v>0</v>
      </c>
    </row>
    <row r="670">
      <c r="A670" t="n">
        <v>192881</v>
      </c>
      <c r="B670" t="inlineStr">
        <is>
          <t>امکان نمایش توضیحات اظهار نظر کارشناسان در بررسی گزارش بازدید توسط رئیس</t>
        </is>
      </c>
      <c r="D670" t="inlineStr">
        <is>
          <t>Medium</t>
        </is>
      </c>
      <c r="E670" t="n">
        <v>1</v>
      </c>
      <c r="F670" t="inlineStr">
        <is>
          <t>Closed</t>
        </is>
      </c>
      <c r="G670" t="inlineStr">
        <is>
          <t>Other</t>
        </is>
      </c>
      <c r="I670" t="inlineStr">
        <is>
          <t>Bizagi_Team</t>
        </is>
      </c>
      <c r="J670" t="inlineStr">
        <is>
          <t>SAJAK</t>
        </is>
      </c>
      <c r="K670" t="inlineStr">
        <is>
          <t>Estate_Sprint 44</t>
        </is>
      </c>
      <c r="M670" t="inlineStr">
        <is>
          <t>Seyfollahi Artin</t>
        </is>
      </c>
      <c r="N670" t="inlineStr">
        <is>
          <t>Moradnoori Parinaz</t>
        </is>
      </c>
      <c r="O670" s="42" t="n">
        <v>45984.73556712963</v>
      </c>
      <c r="Q670" s="42" t="n">
        <v>45984.73556712963</v>
      </c>
      <c r="S670" t="n">
        <v>0</v>
      </c>
      <c r="T670" s="42" t="n">
        <v>45984.73556712963</v>
      </c>
      <c r="Z670" s="42" t="n">
        <v>45984.73556712963</v>
      </c>
      <c r="AA670" t="n">
        <v>0</v>
      </c>
      <c r="AD670" t="n">
        <v>2</v>
      </c>
      <c r="AE670" t="n">
        <v>2</v>
      </c>
      <c r="AF670" t="n">
        <v>0</v>
      </c>
      <c r="AI670" t="n">
        <v>0</v>
      </c>
      <c r="AJ670" t="n">
        <v>0</v>
      </c>
      <c r="AK670" t="n">
        <v>0</v>
      </c>
      <c r="AL670" t="n">
        <v>0</v>
      </c>
      <c r="AN670" t="n">
        <v>0</v>
      </c>
      <c r="AO670" t="n">
        <v>0</v>
      </c>
      <c r="AP670" t="n">
        <v>0</v>
      </c>
      <c r="AQ670" t="n">
        <v>24</v>
      </c>
      <c r="AR670" t="n">
        <v>0</v>
      </c>
    </row>
    <row r="671">
      <c r="A671" t="n">
        <v>192883</v>
      </c>
      <c r="B671" t="inlineStr">
        <is>
          <t>عدم نمایش اولویت اول در تعیین اعضای کمیته شعبه مستقل</t>
        </is>
      </c>
      <c r="D671" t="inlineStr">
        <is>
          <t>Medium</t>
        </is>
      </c>
      <c r="E671" t="n">
        <v>2</v>
      </c>
      <c r="F671" t="inlineStr">
        <is>
          <t>Closed</t>
        </is>
      </c>
      <c r="G671" t="inlineStr">
        <is>
          <t>Other</t>
        </is>
      </c>
      <c r="J671" t="inlineStr">
        <is>
          <t>Dem</t>
        </is>
      </c>
      <c r="K671" t="inlineStr">
        <is>
          <t>DemBiz</t>
        </is>
      </c>
      <c r="M671" t="inlineStr">
        <is>
          <t>Hoseini Fatemeh</t>
        </is>
      </c>
      <c r="N671" t="inlineStr">
        <is>
          <t>Hajizadeh Elnaz</t>
        </is>
      </c>
      <c r="O671" s="42" t="n">
        <v>45964.80775462963</v>
      </c>
      <c r="Q671" s="42" t="n">
        <v>45964.80775462963</v>
      </c>
      <c r="S671" t="n">
        <v>0</v>
      </c>
      <c r="T671" s="42" t="n">
        <v>45964.80775462963</v>
      </c>
      <c r="Z671" s="42" t="n">
        <v>45964.80775462963</v>
      </c>
      <c r="AA671" t="n">
        <v>0</v>
      </c>
      <c r="AD671" t="n">
        <v>2</v>
      </c>
      <c r="AE671" t="n">
        <v>2</v>
      </c>
      <c r="AF671" t="n">
        <v>0</v>
      </c>
      <c r="AI671" t="n">
        <v>0</v>
      </c>
      <c r="AJ671" t="n">
        <v>0</v>
      </c>
      <c r="AK671" t="n">
        <v>0</v>
      </c>
      <c r="AL671" t="n">
        <v>0</v>
      </c>
      <c r="AN671" t="n">
        <v>0</v>
      </c>
      <c r="AO671" t="n">
        <v>0</v>
      </c>
      <c r="AP671" t="n">
        <v>0</v>
      </c>
      <c r="AQ671" t="n">
        <v>24</v>
      </c>
      <c r="AR671" t="n">
        <v>0</v>
      </c>
    </row>
    <row r="672">
      <c r="A672" t="n">
        <v>192885</v>
      </c>
      <c r="B672" t="inlineStr">
        <is>
          <t>عدم وجود ماژول نمایش نقشه در این صفحه جزییات متصرفین</t>
        </is>
      </c>
      <c r="D672" t="inlineStr">
        <is>
          <t>Medium</t>
        </is>
      </c>
      <c r="E672" t="n">
        <v>1</v>
      </c>
      <c r="F672" t="inlineStr">
        <is>
          <t>Active</t>
        </is>
      </c>
      <c r="G672" t="inlineStr">
        <is>
          <t>Other</t>
        </is>
      </c>
      <c r="I672" t="inlineStr">
        <is>
          <t>Bizagi_Team</t>
        </is>
      </c>
      <c r="J672" t="inlineStr">
        <is>
          <t>SAJAK</t>
        </is>
      </c>
      <c r="K672" t="inlineStr">
        <is>
          <t>Estate_Sprint 43</t>
        </is>
      </c>
      <c r="M672" t="inlineStr">
        <is>
          <t>Tedadi Abbas</t>
        </is>
      </c>
      <c r="Q672" s="42" t="n">
        <v>45979.45866898148</v>
      </c>
      <c r="S672" t="n">
        <v>0</v>
      </c>
      <c r="T672" s="42" t="n">
        <v>45979.45866898148</v>
      </c>
      <c r="AA672" t="n">
        <v>0</v>
      </c>
      <c r="AD672" t="n">
        <v>2</v>
      </c>
      <c r="AE672" t="n">
        <v>2</v>
      </c>
      <c r="AF672" t="n">
        <v>0</v>
      </c>
      <c r="AI672" t="n">
        <v>0</v>
      </c>
      <c r="AJ672" t="n">
        <v>0</v>
      </c>
      <c r="AM672" t="n">
        <v>38</v>
      </c>
      <c r="AN672" t="n">
        <v>0</v>
      </c>
      <c r="AO672" t="n">
        <v>0</v>
      </c>
      <c r="AP672" t="n">
        <v>0</v>
      </c>
      <c r="AQ672" t="n">
        <v>24</v>
      </c>
      <c r="AR672" t="n">
        <v>0</v>
      </c>
    </row>
    <row r="673">
      <c r="A673" t="n">
        <v>192888</v>
      </c>
      <c r="B673" t="inlineStr">
        <is>
          <t>عدم امکان ویرایش اطلاعات توصیفی قطعه در صفحه جزییات متصرفین</t>
        </is>
      </c>
      <c r="D673" t="inlineStr">
        <is>
          <t>Medium</t>
        </is>
      </c>
      <c r="E673" t="n">
        <v>1</v>
      </c>
      <c r="F673" t="inlineStr">
        <is>
          <t>Closed</t>
        </is>
      </c>
      <c r="G673" t="inlineStr">
        <is>
          <t>Other</t>
        </is>
      </c>
      <c r="I673" t="inlineStr">
        <is>
          <t>Bizagi_Team</t>
        </is>
      </c>
      <c r="J673" t="inlineStr">
        <is>
          <t>SAJAK</t>
        </is>
      </c>
      <c r="K673" t="inlineStr">
        <is>
          <t>Estate_Sprint 43</t>
        </is>
      </c>
      <c r="M673" t="inlineStr">
        <is>
          <t>Tedadi Abbas</t>
        </is>
      </c>
      <c r="N673" t="inlineStr">
        <is>
          <t>Moradnoori Parinaz</t>
        </is>
      </c>
      <c r="O673" s="42" t="n">
        <v>45991.40174768519</v>
      </c>
      <c r="Q673" s="42" t="n">
        <v>45991.40174768519</v>
      </c>
      <c r="S673" t="n">
        <v>0</v>
      </c>
      <c r="T673" s="42" t="n">
        <v>45991.40174768519</v>
      </c>
      <c r="Z673" s="42" t="n">
        <v>45991.40174768519</v>
      </c>
      <c r="AA673" t="n">
        <v>0</v>
      </c>
      <c r="AD673" t="n">
        <v>2</v>
      </c>
      <c r="AE673" t="n">
        <v>2</v>
      </c>
      <c r="AF673" t="n">
        <v>0</v>
      </c>
      <c r="AI673" t="n">
        <v>0</v>
      </c>
      <c r="AJ673" t="n">
        <v>0</v>
      </c>
      <c r="AK673" t="n">
        <v>0</v>
      </c>
      <c r="AL673" t="n">
        <v>0</v>
      </c>
      <c r="AN673" t="n">
        <v>0</v>
      </c>
      <c r="AO673" t="n">
        <v>0</v>
      </c>
      <c r="AP673" t="n">
        <v>0</v>
      </c>
      <c r="AQ673" t="n">
        <v>24</v>
      </c>
      <c r="AR673" t="n">
        <v>0</v>
      </c>
    </row>
    <row r="674">
      <c r="A674" t="n">
        <v>192889</v>
      </c>
      <c r="B674" t="inlineStr">
        <is>
          <t>بازیابی - نمایش نتایج جستجو اسناد</t>
        </is>
      </c>
      <c r="D674" t="inlineStr">
        <is>
          <t>Medium</t>
        </is>
      </c>
      <c r="E674" t="n">
        <v>2</v>
      </c>
      <c r="F674" t="inlineStr">
        <is>
          <t>Closed</t>
        </is>
      </c>
      <c r="G674" t="inlineStr">
        <is>
          <t>Other</t>
        </is>
      </c>
      <c r="J674" t="inlineStr">
        <is>
          <t>Stagnant Archive</t>
        </is>
      </c>
      <c r="K674" t="inlineStr">
        <is>
          <t>Sp_22</t>
        </is>
      </c>
      <c r="M674" t="inlineStr">
        <is>
          <t>Homayoun Mohammad</t>
        </is>
      </c>
      <c r="N674" t="inlineStr">
        <is>
          <t>Monfared Mobina</t>
        </is>
      </c>
      <c r="O674" s="42" t="n">
        <v>45998.65009259259</v>
      </c>
      <c r="Q674" s="42" t="n">
        <v>45998.65009259259</v>
      </c>
      <c r="S674" t="n">
        <v>0</v>
      </c>
      <c r="T674" s="42" t="n">
        <v>45998.65009259259</v>
      </c>
      <c r="Z674" s="42" t="n">
        <v>45998.65009259259</v>
      </c>
      <c r="AA674" t="n">
        <v>0</v>
      </c>
      <c r="AD674" t="n">
        <v>2</v>
      </c>
      <c r="AE674" t="n">
        <v>2</v>
      </c>
      <c r="AF674" t="n">
        <v>0</v>
      </c>
      <c r="AI674" t="n">
        <v>0</v>
      </c>
      <c r="AJ674" t="n">
        <v>0</v>
      </c>
      <c r="AK674" t="n">
        <v>0</v>
      </c>
      <c r="AL674" t="n">
        <v>0</v>
      </c>
      <c r="AN674" t="n">
        <v>0</v>
      </c>
      <c r="AO674" t="n">
        <v>0</v>
      </c>
      <c r="AP674" t="n">
        <v>0</v>
      </c>
      <c r="AQ674" t="n">
        <v>24</v>
      </c>
      <c r="AR674" t="n">
        <v>0</v>
      </c>
    </row>
    <row r="675">
      <c r="A675" t="n">
        <v>192893</v>
      </c>
      <c r="B675" t="inlineStr">
        <is>
          <t>خطا در فراخوانی سرویس اول ساماندهی</t>
        </is>
      </c>
      <c r="D675" t="inlineStr">
        <is>
          <t>Medium</t>
        </is>
      </c>
      <c r="E675" t="n">
        <v>1</v>
      </c>
      <c r="F675" t="inlineStr">
        <is>
          <t>Closed</t>
        </is>
      </c>
      <c r="G675" t="inlineStr">
        <is>
          <t>Other</t>
        </is>
      </c>
      <c r="I675" t="inlineStr">
        <is>
          <t>Kadastr_Team</t>
        </is>
      </c>
      <c r="J675" t="inlineStr">
        <is>
          <t>SAJAK</t>
        </is>
      </c>
      <c r="K675" t="inlineStr">
        <is>
          <t>GIS_Sprint 43</t>
        </is>
      </c>
      <c r="M675" t="inlineStr">
        <is>
          <t>GanjiRad Mohammad</t>
        </is>
      </c>
      <c r="N675" t="inlineStr">
        <is>
          <t>GanjiRad Mohammad</t>
        </is>
      </c>
      <c r="O675" s="42" t="n">
        <v>45966.33023148148</v>
      </c>
      <c r="Q675" s="42" t="n">
        <v>45966.33023148148</v>
      </c>
      <c r="S675" t="n">
        <v>0</v>
      </c>
      <c r="T675" s="42" t="n">
        <v>45966.33023148148</v>
      </c>
      <c r="Z675" s="42" t="n">
        <v>45966.33023148148</v>
      </c>
      <c r="AA675" t="n">
        <v>0</v>
      </c>
      <c r="AD675" t="n">
        <v>2</v>
      </c>
      <c r="AE675" t="n">
        <v>2</v>
      </c>
      <c r="AF675" t="n">
        <v>0</v>
      </c>
      <c r="AI675" t="n">
        <v>0</v>
      </c>
      <c r="AJ675" t="n">
        <v>0</v>
      </c>
      <c r="AK675" t="n">
        <v>0</v>
      </c>
      <c r="AL675" t="n">
        <v>0</v>
      </c>
      <c r="AN675" t="n">
        <v>0</v>
      </c>
      <c r="AO675" t="n">
        <v>0</v>
      </c>
      <c r="AP675" t="n">
        <v>0</v>
      </c>
      <c r="AQ675" t="n">
        <v>24</v>
      </c>
      <c r="AR675" t="n">
        <v>0</v>
      </c>
    </row>
    <row r="676">
      <c r="A676" t="n">
        <v>192894</v>
      </c>
      <c r="B676" t="inlineStr">
        <is>
          <t>تاخیر چند ساعته در پردازش و پاسخ دهی به سرویس دوم ساماندهی</t>
        </is>
      </c>
      <c r="D676" t="inlineStr">
        <is>
          <t>Medium</t>
        </is>
      </c>
      <c r="E676" t="n">
        <v>1</v>
      </c>
      <c r="F676" t="inlineStr">
        <is>
          <t>Closed</t>
        </is>
      </c>
      <c r="G676" t="inlineStr">
        <is>
          <t>Other</t>
        </is>
      </c>
      <c r="I676" t="inlineStr">
        <is>
          <t>Kadastr_Team</t>
        </is>
      </c>
      <c r="J676" t="inlineStr">
        <is>
          <t>SAJAK</t>
        </is>
      </c>
      <c r="K676" t="inlineStr">
        <is>
          <t>GIS_Sprint 43</t>
        </is>
      </c>
      <c r="M676" t="inlineStr">
        <is>
          <t>GanjiRad Mohammad</t>
        </is>
      </c>
      <c r="N676" t="inlineStr">
        <is>
          <t>GanjiRad Mohammad</t>
        </is>
      </c>
      <c r="O676" s="42" t="n">
        <v>45966.69523148148</v>
      </c>
      <c r="Q676" s="42" t="n">
        <v>45966.69523148148</v>
      </c>
      <c r="S676" t="n">
        <v>0</v>
      </c>
      <c r="T676" s="42" t="n">
        <v>45966.69523148148</v>
      </c>
      <c r="Z676" s="42" t="n">
        <v>45966.69523148148</v>
      </c>
      <c r="AA676" t="n">
        <v>0</v>
      </c>
      <c r="AD676" t="n">
        <v>2</v>
      </c>
      <c r="AE676" t="n">
        <v>2</v>
      </c>
      <c r="AF676" t="n">
        <v>0</v>
      </c>
      <c r="AI676" t="n">
        <v>0</v>
      </c>
      <c r="AJ676" t="n">
        <v>0</v>
      </c>
      <c r="AK676" t="n">
        <v>0</v>
      </c>
      <c r="AL676" t="n">
        <v>0</v>
      </c>
      <c r="AN676" t="n">
        <v>0</v>
      </c>
      <c r="AO676" t="n">
        <v>0</v>
      </c>
      <c r="AP676" t="n">
        <v>0</v>
      </c>
      <c r="AQ676" t="n">
        <v>24</v>
      </c>
      <c r="AR676" t="n">
        <v>0</v>
      </c>
    </row>
    <row r="677">
      <c r="A677" t="n">
        <v>192895</v>
      </c>
      <c r="B677" t="inlineStr">
        <is>
          <t xml:space="preserve">وجود کد رهگیری تکراری </t>
        </is>
      </c>
      <c r="D677" t="inlineStr">
        <is>
          <t>Medium</t>
        </is>
      </c>
      <c r="E677" t="n">
        <v>1</v>
      </c>
      <c r="F677" t="inlineStr">
        <is>
          <t>Closed</t>
        </is>
      </c>
      <c r="G677" t="inlineStr">
        <is>
          <t>Other</t>
        </is>
      </c>
      <c r="I677" t="inlineStr">
        <is>
          <t>Bizagi_Team</t>
        </is>
      </c>
      <c r="J677" t="inlineStr">
        <is>
          <t>SAJAK</t>
        </is>
      </c>
      <c r="K677" t="inlineStr">
        <is>
          <t>Estate_Sprint 43</t>
        </is>
      </c>
      <c r="M677" t="inlineStr">
        <is>
          <t>Zeynali Masoud</t>
        </is>
      </c>
      <c r="N677" t="inlineStr">
        <is>
          <t>Moradnoori Parinaz</t>
        </is>
      </c>
      <c r="O677" s="42" t="n">
        <v>45978.73670138889</v>
      </c>
      <c r="Q677" s="42" t="n">
        <v>45978.73670138889</v>
      </c>
      <c r="S677" t="n">
        <v>0</v>
      </c>
      <c r="T677" s="42" t="n">
        <v>45978.73670138889</v>
      </c>
      <c r="Z677" s="42" t="n">
        <v>45978.73670138889</v>
      </c>
      <c r="AA677" t="n">
        <v>0</v>
      </c>
      <c r="AD677" t="n">
        <v>2</v>
      </c>
      <c r="AE677" t="n">
        <v>2</v>
      </c>
      <c r="AF677" t="n">
        <v>0</v>
      </c>
      <c r="AI677" t="n">
        <v>0</v>
      </c>
      <c r="AJ677" t="n">
        <v>0</v>
      </c>
      <c r="AK677" t="n">
        <v>0</v>
      </c>
      <c r="AL677" t="n">
        <v>0</v>
      </c>
      <c r="AN677" t="n">
        <v>0</v>
      </c>
      <c r="AO677" t="n">
        <v>0</v>
      </c>
      <c r="AP677" t="n">
        <v>0</v>
      </c>
      <c r="AQ677" t="n">
        <v>24</v>
      </c>
      <c r="AR677" t="n">
        <v>0</v>
      </c>
    </row>
    <row r="678">
      <c r="A678" t="n">
        <v>192898</v>
      </c>
      <c r="B678" t="inlineStr">
        <is>
          <t xml:space="preserve">اجباری شدن شماره پیشنهاد شعبه در فرم ثبت گزارش نویسی جدید </t>
        </is>
      </c>
      <c r="D678" t="inlineStr">
        <is>
          <t>Medium</t>
        </is>
      </c>
      <c r="E678" t="n">
        <v>1</v>
      </c>
      <c r="F678" t="inlineStr">
        <is>
          <t>Closed</t>
        </is>
      </c>
      <c r="G678" t="inlineStr">
        <is>
          <t>Other</t>
        </is>
      </c>
      <c r="J678" t="inlineStr">
        <is>
          <t>Dem</t>
        </is>
      </c>
      <c r="K678" t="inlineStr">
        <is>
          <t>DemBiz</t>
        </is>
      </c>
      <c r="M678" t="inlineStr">
        <is>
          <t>Moradi Mohammad</t>
        </is>
      </c>
      <c r="N678" t="inlineStr">
        <is>
          <t>Moradi Mohammad</t>
        </is>
      </c>
      <c r="O678" s="42" t="n">
        <v>45966.75643518518</v>
      </c>
      <c r="Q678" s="42" t="n">
        <v>45966.75643518518</v>
      </c>
      <c r="S678" t="n">
        <v>0</v>
      </c>
      <c r="T678" s="42" t="n">
        <v>45966.75643518518</v>
      </c>
      <c r="Z678" s="42" t="n">
        <v>45966.75643518518</v>
      </c>
      <c r="AA678" t="n">
        <v>0</v>
      </c>
      <c r="AD678" t="n">
        <v>2</v>
      </c>
      <c r="AE678" t="n">
        <v>2</v>
      </c>
      <c r="AF678" t="n">
        <v>0</v>
      </c>
      <c r="AI678" t="n">
        <v>0</v>
      </c>
      <c r="AJ678" t="n">
        <v>0</v>
      </c>
      <c r="AK678" t="n">
        <v>0</v>
      </c>
      <c r="AL678" t="n">
        <v>0</v>
      </c>
      <c r="AN678" t="n">
        <v>0</v>
      </c>
      <c r="AO678" t="n">
        <v>0</v>
      </c>
      <c r="AP678" t="n">
        <v>0</v>
      </c>
      <c r="AQ678" t="n">
        <v>24</v>
      </c>
      <c r="AR678" t="n">
        <v>0</v>
      </c>
    </row>
    <row r="679">
      <c r="A679" t="n">
        <v>192918</v>
      </c>
      <c r="B679" t="inlineStr">
        <is>
          <t>در تکمیل میتوان بدون پر کردن اسناد پیشنهاد ارسال به رئیس واحد کرد</t>
        </is>
      </c>
      <c r="D679" t="inlineStr">
        <is>
          <t>Medium</t>
        </is>
      </c>
      <c r="E679" t="n">
        <v>2</v>
      </c>
      <c r="F679" t="inlineStr">
        <is>
          <t>Closed</t>
        </is>
      </c>
      <c r="G679" t="inlineStr">
        <is>
          <t>Other</t>
        </is>
      </c>
      <c r="J679" t="inlineStr">
        <is>
          <t>Dem</t>
        </is>
      </c>
      <c r="K679" t="inlineStr">
        <is>
          <t>DemBiz</t>
        </is>
      </c>
      <c r="M679" t="inlineStr">
        <is>
          <t>Arshi Mahmood</t>
        </is>
      </c>
      <c r="N679" t="inlineStr">
        <is>
          <t>Arshi Mahmood</t>
        </is>
      </c>
      <c r="O679" s="42" t="n">
        <v>45964.83328703704</v>
      </c>
      <c r="Q679" s="42" t="n">
        <v>45964.83328703704</v>
      </c>
      <c r="S679" t="n">
        <v>0</v>
      </c>
      <c r="T679" s="42" t="n">
        <v>45964.83328703704</v>
      </c>
      <c r="Z679" s="42" t="n">
        <v>45964.83328703704</v>
      </c>
      <c r="AA679" t="n">
        <v>0</v>
      </c>
      <c r="AD679" t="n">
        <v>2</v>
      </c>
      <c r="AE679" t="n">
        <v>2</v>
      </c>
      <c r="AF679" t="n">
        <v>0</v>
      </c>
      <c r="AI679" t="n">
        <v>0</v>
      </c>
      <c r="AJ679" t="n">
        <v>0</v>
      </c>
      <c r="AK679" t="n">
        <v>0</v>
      </c>
      <c r="AL679" t="n">
        <v>0</v>
      </c>
      <c r="AN679" t="n">
        <v>0</v>
      </c>
      <c r="AO679" t="n">
        <v>0</v>
      </c>
      <c r="AP679" t="n">
        <v>0</v>
      </c>
      <c r="AQ679" t="n">
        <v>24</v>
      </c>
      <c r="AR679" t="n">
        <v>0</v>
      </c>
    </row>
    <row r="680">
      <c r="A680" t="n">
        <v>192923</v>
      </c>
      <c r="B680" t="inlineStr">
        <is>
          <t>NFWDEM خراب بودن فیلتر گرید</t>
        </is>
      </c>
      <c r="D680" t="inlineStr">
        <is>
          <t>Medium</t>
        </is>
      </c>
      <c r="E680" t="n">
        <v>2</v>
      </c>
      <c r="F680" t="inlineStr">
        <is>
          <t>Closed</t>
        </is>
      </c>
      <c r="G680" t="inlineStr">
        <is>
          <t>Other</t>
        </is>
      </c>
      <c r="J680" t="inlineStr">
        <is>
          <t>Infrastructure Bizagi Extension</t>
        </is>
      </c>
      <c r="K680" t="inlineStr">
        <is>
          <t>SP-87</t>
        </is>
      </c>
      <c r="M680" t="inlineStr">
        <is>
          <t>Parvaz Maryam</t>
        </is>
      </c>
      <c r="N680" t="inlineStr">
        <is>
          <t>Parvaz Maryam</t>
        </is>
      </c>
      <c r="O680" s="42" t="n">
        <v>45998.3792824074</v>
      </c>
      <c r="Q680" s="42" t="n">
        <v>45998.3792824074</v>
      </c>
      <c r="S680" t="n">
        <v>0</v>
      </c>
      <c r="T680" s="42" t="n">
        <v>45998.3792824074</v>
      </c>
      <c r="Z680" s="42" t="n">
        <v>45998.3792824074</v>
      </c>
      <c r="AA680" t="n">
        <v>0</v>
      </c>
      <c r="AD680" t="n">
        <v>2</v>
      </c>
      <c r="AE680" t="n">
        <v>2</v>
      </c>
      <c r="AF680" t="n">
        <v>0</v>
      </c>
      <c r="AI680" t="n">
        <v>0</v>
      </c>
      <c r="AJ680" t="n">
        <v>0</v>
      </c>
      <c r="AK680" t="n">
        <v>0</v>
      </c>
      <c r="AL680" t="n">
        <v>0</v>
      </c>
      <c r="AN680" t="n">
        <v>0</v>
      </c>
      <c r="AO680" t="n">
        <v>0</v>
      </c>
      <c r="AP680" t="n">
        <v>0</v>
      </c>
      <c r="AQ680" t="n">
        <v>24</v>
      </c>
      <c r="AR680" t="n">
        <v>0</v>
      </c>
    </row>
    <row r="681">
      <c r="A681" t="n">
        <v>192948</v>
      </c>
      <c r="B681" t="inlineStr">
        <is>
          <t>"نمایش اشتباه حرف «ف» در برخی کمبوها"/NFWDem</t>
        </is>
      </c>
      <c r="D681" t="inlineStr">
        <is>
          <t>Medium</t>
        </is>
      </c>
      <c r="E681" t="n">
        <v>2</v>
      </c>
      <c r="F681" t="inlineStr">
        <is>
          <t>Closed</t>
        </is>
      </c>
      <c r="G681" t="inlineStr">
        <is>
          <t>Other</t>
        </is>
      </c>
      <c r="J681" t="inlineStr">
        <is>
          <t>Infrastructure Bizagi Extension</t>
        </is>
      </c>
      <c r="K681" t="inlineStr">
        <is>
          <t>SP-87</t>
        </is>
      </c>
      <c r="M681" t="inlineStr">
        <is>
          <t>Parvaz Maryam</t>
        </is>
      </c>
      <c r="N681" t="inlineStr">
        <is>
          <t>Baniamer Shaghayegh</t>
        </is>
      </c>
      <c r="O681" s="42" t="n">
        <v>45972.41521990741</v>
      </c>
      <c r="Q681" s="42" t="n">
        <v>45972.41521990741</v>
      </c>
      <c r="S681" t="n">
        <v>0</v>
      </c>
      <c r="T681" s="42" t="n">
        <v>45972.41521990741</v>
      </c>
      <c r="Z681" s="42" t="n">
        <v>45972.41521990741</v>
      </c>
      <c r="AA681" t="n">
        <v>0</v>
      </c>
      <c r="AD681" t="n">
        <v>2</v>
      </c>
      <c r="AE681" t="n">
        <v>2</v>
      </c>
      <c r="AF681" t="n">
        <v>0</v>
      </c>
      <c r="AI681" t="n">
        <v>0</v>
      </c>
      <c r="AJ681" t="n">
        <v>0</v>
      </c>
      <c r="AK681" t="n">
        <v>0</v>
      </c>
      <c r="AL681" t="n">
        <v>0</v>
      </c>
      <c r="AN681" t="n">
        <v>0</v>
      </c>
      <c r="AO681" t="n">
        <v>0</v>
      </c>
      <c r="AP681" t="n">
        <v>0</v>
      </c>
      <c r="AQ681" t="n">
        <v>24</v>
      </c>
      <c r="AR681" t="n">
        <v>0</v>
      </c>
    </row>
    <row r="682">
      <c r="A682" t="n">
        <v>192951</v>
      </c>
      <c r="B682" t="inlineStr">
        <is>
          <t xml:space="preserve">ثبت هیات/نام هیات ایجاد شده </t>
        </is>
      </c>
      <c r="D682" t="inlineStr">
        <is>
          <t>Medium</t>
        </is>
      </c>
      <c r="E682" t="n">
        <v>2</v>
      </c>
      <c r="F682" t="inlineStr">
        <is>
          <t>Closed</t>
        </is>
      </c>
      <c r="G682" t="inlineStr">
        <is>
          <t>Other</t>
        </is>
      </c>
      <c r="I682" t="inlineStr">
        <is>
          <t>Bizagi_Team</t>
        </is>
      </c>
      <c r="J682" t="inlineStr">
        <is>
          <t>SAJAK</t>
        </is>
      </c>
      <c r="K682" t="inlineStr">
        <is>
          <t>Estate_Sprint 43</t>
        </is>
      </c>
      <c r="M682" t="inlineStr">
        <is>
          <t>Kalaei Saman</t>
        </is>
      </c>
      <c r="N682" t="inlineStr">
        <is>
          <t>Mousavi Azadeh</t>
        </is>
      </c>
      <c r="O682" s="42" t="n">
        <v>45977.56268518518</v>
      </c>
      <c r="Q682" s="42" t="n">
        <v>45977.56268518518</v>
      </c>
      <c r="S682" t="n">
        <v>0</v>
      </c>
      <c r="T682" s="42" t="n">
        <v>45977.56268518518</v>
      </c>
      <c r="Z682" s="42" t="n">
        <v>45977.56268518518</v>
      </c>
      <c r="AA682" t="n">
        <v>0</v>
      </c>
      <c r="AD682" t="n">
        <v>2</v>
      </c>
      <c r="AE682" t="n">
        <v>2</v>
      </c>
      <c r="AF682" t="n">
        <v>0</v>
      </c>
      <c r="AI682" t="n">
        <v>0</v>
      </c>
      <c r="AJ682" t="n">
        <v>0</v>
      </c>
      <c r="AK682" t="n">
        <v>0</v>
      </c>
      <c r="AL682" t="n">
        <v>0</v>
      </c>
      <c r="AN682" t="n">
        <v>0</v>
      </c>
      <c r="AO682" t="n">
        <v>0</v>
      </c>
      <c r="AP682" t="n">
        <v>0</v>
      </c>
      <c r="AQ682" t="n">
        <v>24</v>
      </c>
      <c r="AR682" t="n">
        <v>0</v>
      </c>
    </row>
    <row r="683">
      <c r="A683" t="n">
        <v>192952</v>
      </c>
      <c r="B683" t="inlineStr">
        <is>
          <t xml:space="preserve">ثبت هیات/محل برگزاری جلسه  </t>
        </is>
      </c>
      <c r="D683" t="inlineStr">
        <is>
          <t>Medium</t>
        </is>
      </c>
      <c r="E683" t="n">
        <v>2</v>
      </c>
      <c r="F683" t="inlineStr">
        <is>
          <t>Closed</t>
        </is>
      </c>
      <c r="G683" t="inlineStr">
        <is>
          <t>Other</t>
        </is>
      </c>
      <c r="I683" t="inlineStr">
        <is>
          <t>Bizagi_Team</t>
        </is>
      </c>
      <c r="J683" t="inlineStr">
        <is>
          <t>SAJAK</t>
        </is>
      </c>
      <c r="K683" t="inlineStr">
        <is>
          <t>Estate_Sprint 43</t>
        </is>
      </c>
      <c r="M683" t="inlineStr">
        <is>
          <t>Kalaei Saman</t>
        </is>
      </c>
      <c r="N683" t="inlineStr">
        <is>
          <t>Mousavi Azadeh</t>
        </is>
      </c>
      <c r="O683" s="42" t="n">
        <v>45977.56215277778</v>
      </c>
      <c r="Q683" s="42" t="n">
        <v>45977.56215277778</v>
      </c>
      <c r="S683" t="n">
        <v>0</v>
      </c>
      <c r="T683" s="42" t="n">
        <v>45977.56215277778</v>
      </c>
      <c r="Z683" s="42" t="n">
        <v>45977.56215277778</v>
      </c>
      <c r="AA683" t="n">
        <v>0</v>
      </c>
      <c r="AD683" t="n">
        <v>2</v>
      </c>
      <c r="AE683" t="n">
        <v>2</v>
      </c>
      <c r="AF683" t="n">
        <v>0</v>
      </c>
      <c r="AI683" t="n">
        <v>0</v>
      </c>
      <c r="AJ683" t="n">
        <v>0</v>
      </c>
      <c r="AK683" t="n">
        <v>0</v>
      </c>
      <c r="AL683" t="n">
        <v>0</v>
      </c>
      <c r="AN683" t="n">
        <v>0</v>
      </c>
      <c r="AO683" t="n">
        <v>0</v>
      </c>
      <c r="AP683" t="n">
        <v>0</v>
      </c>
      <c r="AQ683" t="n">
        <v>24</v>
      </c>
      <c r="AR683" t="n">
        <v>0</v>
      </c>
    </row>
    <row r="684">
      <c r="A684" t="n">
        <v>192954</v>
      </c>
      <c r="B684" t="inlineStr">
        <is>
          <t>حذف نتیجه فیلتر جستجو</t>
        </is>
      </c>
      <c r="D684" t="inlineStr">
        <is>
          <t>Medium</t>
        </is>
      </c>
      <c r="E684" t="n">
        <v>2</v>
      </c>
      <c r="F684" t="inlineStr">
        <is>
          <t>New</t>
        </is>
      </c>
      <c r="G684" t="inlineStr">
        <is>
          <t>Other</t>
        </is>
      </c>
      <c r="I684" t="inlineStr">
        <is>
          <t>Bizagi_Team</t>
        </is>
      </c>
      <c r="J684" t="inlineStr">
        <is>
          <t>SAJAK</t>
        </is>
      </c>
      <c r="K684" t="inlineStr">
        <is>
          <t>Estate_Sprint 43</t>
        </is>
      </c>
      <c r="M684" t="inlineStr">
        <is>
          <t>Taleb Amirreza</t>
        </is>
      </c>
      <c r="Q684" s="42" t="n">
        <v>45965.42019675926</v>
      </c>
      <c r="S684" t="n">
        <v>0</v>
      </c>
      <c r="T684" s="42" t="n">
        <v>45965.42019675926</v>
      </c>
      <c r="AA684" t="n">
        <v>0</v>
      </c>
      <c r="AD684" t="n">
        <v>2</v>
      </c>
      <c r="AE684" t="n">
        <v>2</v>
      </c>
      <c r="AF684" t="n">
        <v>0</v>
      </c>
      <c r="AI684" t="n">
        <v>0</v>
      </c>
      <c r="AJ684" t="n">
        <v>0</v>
      </c>
      <c r="AM684" t="n">
        <v>52</v>
      </c>
      <c r="AN684" t="n">
        <v>0</v>
      </c>
      <c r="AO684" t="n">
        <v>0</v>
      </c>
      <c r="AP684" t="n">
        <v>0</v>
      </c>
      <c r="AQ684" t="n">
        <v>24</v>
      </c>
      <c r="AR684" t="n">
        <v>0</v>
      </c>
    </row>
    <row r="685">
      <c r="A685" t="n">
        <v>192955</v>
      </c>
      <c r="B685" t="inlineStr">
        <is>
          <t>عنوان فرم صورت مجلس تفکیکی</t>
        </is>
      </c>
      <c r="D685" t="inlineStr">
        <is>
          <t>Medium</t>
        </is>
      </c>
      <c r="E685" t="n">
        <v>1</v>
      </c>
      <c r="F685" t="inlineStr">
        <is>
          <t>Active</t>
        </is>
      </c>
      <c r="G685" t="inlineStr">
        <is>
          <t>Other</t>
        </is>
      </c>
      <c r="I685" t="inlineStr">
        <is>
          <t>Bizagi_Team</t>
        </is>
      </c>
      <c r="J685" t="inlineStr">
        <is>
          <t>SAJAK</t>
        </is>
      </c>
      <c r="K685" t="inlineStr">
        <is>
          <t>Estate_Sprint 43</t>
        </is>
      </c>
      <c r="M685" t="inlineStr">
        <is>
          <t>Tedadi Abbas</t>
        </is>
      </c>
      <c r="Q685" s="42" t="n">
        <v>46000.34503472222</v>
      </c>
      <c r="S685" t="n">
        <v>0</v>
      </c>
      <c r="T685" s="42" t="n">
        <v>46000.34503472222</v>
      </c>
      <c r="AA685" t="n">
        <v>0</v>
      </c>
      <c r="AD685" t="n">
        <v>2</v>
      </c>
      <c r="AE685" t="n">
        <v>2</v>
      </c>
      <c r="AF685" t="n">
        <v>0</v>
      </c>
      <c r="AI685" t="n">
        <v>0</v>
      </c>
      <c r="AJ685" t="n">
        <v>0</v>
      </c>
      <c r="AM685" t="n">
        <v>18</v>
      </c>
      <c r="AN685" t="n">
        <v>0</v>
      </c>
      <c r="AO685" t="n">
        <v>0</v>
      </c>
      <c r="AP685" t="n">
        <v>0</v>
      </c>
      <c r="AQ685" t="n">
        <v>24</v>
      </c>
      <c r="AR685" t="n">
        <v>0</v>
      </c>
    </row>
    <row r="686">
      <c r="A686" t="n">
        <v>192957</v>
      </c>
      <c r="B686" t="inlineStr">
        <is>
          <t>دکمه بارگذاری مجدد</t>
        </is>
      </c>
      <c r="D686" t="inlineStr">
        <is>
          <t>Medium</t>
        </is>
      </c>
      <c r="E686" t="n">
        <v>2</v>
      </c>
      <c r="F686" t="inlineStr">
        <is>
          <t>Closed</t>
        </is>
      </c>
      <c r="G686" t="inlineStr">
        <is>
          <t>Other</t>
        </is>
      </c>
      <c r="I686" t="inlineStr">
        <is>
          <t>Bizagi_Team</t>
        </is>
      </c>
      <c r="J686" t="inlineStr">
        <is>
          <t>SAJAK</t>
        </is>
      </c>
      <c r="K686" t="inlineStr">
        <is>
          <t>Estate_Sprint 43</t>
        </is>
      </c>
      <c r="M686" t="inlineStr">
        <is>
          <t>Taleb Amirreza</t>
        </is>
      </c>
      <c r="N686" t="inlineStr">
        <is>
          <t>Moradnoori Parinaz</t>
        </is>
      </c>
      <c r="O686" s="42" t="n">
        <v>45977.73487268519</v>
      </c>
      <c r="Q686" s="42" t="n">
        <v>45977.73487268519</v>
      </c>
      <c r="S686" t="n">
        <v>0</v>
      </c>
      <c r="T686" s="42" t="n">
        <v>45977.73487268519</v>
      </c>
      <c r="Z686" s="42" t="n">
        <v>45977.73487268519</v>
      </c>
      <c r="AA686" t="n">
        <v>0</v>
      </c>
      <c r="AD686" t="n">
        <v>2</v>
      </c>
      <c r="AE686" t="n">
        <v>2</v>
      </c>
      <c r="AF686" t="n">
        <v>0</v>
      </c>
      <c r="AI686" t="n">
        <v>0</v>
      </c>
      <c r="AJ686" t="n">
        <v>0</v>
      </c>
      <c r="AK686" t="n">
        <v>0</v>
      </c>
      <c r="AL686" t="n">
        <v>0</v>
      </c>
      <c r="AN686" t="n">
        <v>0</v>
      </c>
      <c r="AO686" t="n">
        <v>0</v>
      </c>
      <c r="AP686" t="n">
        <v>0</v>
      </c>
      <c r="AQ686" t="n">
        <v>24</v>
      </c>
      <c r="AR686" t="n">
        <v>0</v>
      </c>
    </row>
    <row r="687">
      <c r="A687" t="n">
        <v>192958</v>
      </c>
      <c r="B687" t="inlineStr">
        <is>
          <t>بایگانی اسناد ریالی - نمایش اشتباه مسئول</t>
        </is>
      </c>
      <c r="D687" t="inlineStr">
        <is>
          <t>Medium</t>
        </is>
      </c>
      <c r="E687" t="n">
        <v>1</v>
      </c>
      <c r="F687" t="inlineStr">
        <is>
          <t>Closed</t>
        </is>
      </c>
      <c r="G687" t="inlineStr">
        <is>
          <t>Other</t>
        </is>
      </c>
      <c r="J687" t="inlineStr">
        <is>
          <t>Stagnant Archive</t>
        </is>
      </c>
      <c r="K687" t="inlineStr">
        <is>
          <t>Sp_21</t>
        </is>
      </c>
      <c r="M687" t="inlineStr">
        <is>
          <t>Homayoun Mohammad</t>
        </is>
      </c>
      <c r="N687" t="inlineStr">
        <is>
          <t>Monfared Mobina</t>
        </is>
      </c>
      <c r="O687" s="42" t="n">
        <v>45970.51770833333</v>
      </c>
      <c r="Q687" s="42" t="n">
        <v>45970.51770833333</v>
      </c>
      <c r="S687" t="n">
        <v>0</v>
      </c>
      <c r="T687" s="42" t="n">
        <v>45970.51770833333</v>
      </c>
      <c r="Z687" s="42" t="n">
        <v>45970.51770833333</v>
      </c>
      <c r="AA687" t="n">
        <v>0</v>
      </c>
      <c r="AD687" t="n">
        <v>2</v>
      </c>
      <c r="AE687" t="n">
        <v>2</v>
      </c>
      <c r="AF687" t="n">
        <v>0</v>
      </c>
      <c r="AI687" t="n">
        <v>0</v>
      </c>
      <c r="AJ687" t="n">
        <v>0</v>
      </c>
      <c r="AK687" t="n">
        <v>0</v>
      </c>
      <c r="AL687" t="n">
        <v>0</v>
      </c>
      <c r="AN687" t="n">
        <v>0</v>
      </c>
      <c r="AO687" t="n">
        <v>0</v>
      </c>
      <c r="AP687" t="n">
        <v>0</v>
      </c>
      <c r="AQ687" t="n">
        <v>24</v>
      </c>
      <c r="AR687" t="n">
        <v>0</v>
      </c>
    </row>
    <row r="688">
      <c r="A688" t="n">
        <v>192959</v>
      </c>
      <c r="B688" t="inlineStr">
        <is>
          <t>Atena_Rem13_تفاوت با فیگما _با توجه به اینکه در بالای صفحه نام طرف نمایش داده میشود نیازی لبه متن خوش امد گویی نیست. /////////////////////////////</t>
        </is>
      </c>
      <c r="D688" t="inlineStr">
        <is>
          <t>Medium</t>
        </is>
      </c>
      <c r="E688" t="n">
        <v>2</v>
      </c>
      <c r="F688" t="inlineStr">
        <is>
          <t>New</t>
        </is>
      </c>
      <c r="G688" t="inlineStr">
        <is>
          <t>Other</t>
        </is>
      </c>
      <c r="I688" t="inlineStr">
        <is>
          <t>infra_Team</t>
        </is>
      </c>
      <c r="J688" t="inlineStr">
        <is>
          <t>SAJAK</t>
        </is>
      </c>
      <c r="K688" t="inlineStr">
        <is>
          <t>Estate_Sprint 43</t>
        </is>
      </c>
      <c r="M688" t="inlineStr">
        <is>
          <t>Jafari Saeed</t>
        </is>
      </c>
      <c r="Q688" s="42" t="n">
        <v>45965.4475</v>
      </c>
      <c r="S688" t="n">
        <v>0</v>
      </c>
      <c r="T688" s="42" t="n">
        <v>45965.4475</v>
      </c>
      <c r="AA688" t="n">
        <v>0</v>
      </c>
      <c r="AD688" t="n">
        <v>2</v>
      </c>
      <c r="AE688" t="n">
        <v>2</v>
      </c>
      <c r="AF688" t="n">
        <v>0</v>
      </c>
      <c r="AI688" t="n">
        <v>0</v>
      </c>
      <c r="AJ688" t="n">
        <v>0</v>
      </c>
      <c r="AM688" t="n">
        <v>52</v>
      </c>
      <c r="AN688" t="n">
        <v>0</v>
      </c>
      <c r="AO688" t="n">
        <v>0</v>
      </c>
      <c r="AP688" t="n">
        <v>0</v>
      </c>
      <c r="AQ688" t="n">
        <v>24</v>
      </c>
      <c r="AR688" t="n">
        <v>0</v>
      </c>
    </row>
    <row r="689">
      <c r="A689" t="n">
        <v>192961</v>
      </c>
      <c r="B689" t="inlineStr">
        <is>
          <t>در صورت عدم پر کردن فیلد اجباری، متن قرمز تکرار می شود/NFWDem</t>
        </is>
      </c>
      <c r="D689" t="inlineStr">
        <is>
          <t>Medium</t>
        </is>
      </c>
      <c r="E689" t="n">
        <v>3</v>
      </c>
      <c r="F689" t="inlineStr">
        <is>
          <t>Closed</t>
        </is>
      </c>
      <c r="G689" t="inlineStr">
        <is>
          <t>Other</t>
        </is>
      </c>
      <c r="J689" t="inlineStr">
        <is>
          <t>Infrastructure Bizagi Extension</t>
        </is>
      </c>
      <c r="K689" t="inlineStr">
        <is>
          <t>SP-87</t>
        </is>
      </c>
      <c r="M689" t="inlineStr">
        <is>
          <t>Parvaz Maryam</t>
        </is>
      </c>
      <c r="N689" t="inlineStr">
        <is>
          <t>Baniamer Shaghayegh</t>
        </is>
      </c>
      <c r="O689" s="42" t="n">
        <v>45972.41497685185</v>
      </c>
      <c r="Q689" s="42" t="n">
        <v>45972.41497685185</v>
      </c>
      <c r="S689" t="n">
        <v>0</v>
      </c>
      <c r="T689" s="42" t="n">
        <v>45972.41497685185</v>
      </c>
      <c r="Z689" s="42" t="n">
        <v>45972.41497685185</v>
      </c>
      <c r="AA689" t="n">
        <v>0</v>
      </c>
      <c r="AD689" t="n">
        <v>2</v>
      </c>
      <c r="AE689" t="n">
        <v>2</v>
      </c>
      <c r="AF689" t="n">
        <v>0</v>
      </c>
      <c r="AI689" t="n">
        <v>0</v>
      </c>
      <c r="AJ689" t="n">
        <v>0</v>
      </c>
      <c r="AK689" t="n">
        <v>0</v>
      </c>
      <c r="AL689" t="n">
        <v>0</v>
      </c>
      <c r="AN689" t="n">
        <v>0</v>
      </c>
      <c r="AO689" t="n">
        <v>0</v>
      </c>
      <c r="AP689" t="n">
        <v>0</v>
      </c>
      <c r="AQ689" t="n">
        <v>24</v>
      </c>
      <c r="AR689" t="n">
        <v>0</v>
      </c>
    </row>
    <row r="690">
      <c r="A690" t="n">
        <v>192962</v>
      </c>
      <c r="B690" t="inlineStr">
        <is>
          <t xml:space="preserve">تعیین وضعیت بازدید </t>
        </is>
      </c>
      <c r="D690" t="inlineStr">
        <is>
          <t>Medium</t>
        </is>
      </c>
      <c r="E690" t="n">
        <v>2</v>
      </c>
      <c r="F690" t="inlineStr">
        <is>
          <t>Closed</t>
        </is>
      </c>
      <c r="G690" t="inlineStr">
        <is>
          <t>Other</t>
        </is>
      </c>
      <c r="I690" t="inlineStr">
        <is>
          <t>Bizagi_Team</t>
        </is>
      </c>
      <c r="J690" t="inlineStr">
        <is>
          <t>SAJAK</t>
        </is>
      </c>
      <c r="K690" t="inlineStr">
        <is>
          <t>Estate_Sprint 43</t>
        </is>
      </c>
      <c r="M690" t="inlineStr">
        <is>
          <t>Tedadi Abbas</t>
        </is>
      </c>
      <c r="N690" t="inlineStr">
        <is>
          <t>Moradnoori Parinaz</t>
        </is>
      </c>
      <c r="O690" s="42" t="n">
        <v>45979.47820601852</v>
      </c>
      <c r="Q690" s="42" t="n">
        <v>45979.47820601852</v>
      </c>
      <c r="S690" t="n">
        <v>0</v>
      </c>
      <c r="T690" s="42" t="n">
        <v>45979.47820601852</v>
      </c>
      <c r="Z690" s="42" t="n">
        <v>45979.47820601852</v>
      </c>
      <c r="AA690" t="n">
        <v>0</v>
      </c>
      <c r="AD690" t="n">
        <v>2</v>
      </c>
      <c r="AE690" t="n">
        <v>2</v>
      </c>
      <c r="AF690" t="n">
        <v>0</v>
      </c>
      <c r="AI690" t="n">
        <v>0</v>
      </c>
      <c r="AJ690" t="n">
        <v>0</v>
      </c>
      <c r="AK690" t="n">
        <v>0</v>
      </c>
      <c r="AL690" t="n">
        <v>0</v>
      </c>
      <c r="AN690" t="n">
        <v>0</v>
      </c>
      <c r="AO690" t="n">
        <v>0</v>
      </c>
      <c r="AP690" t="n">
        <v>0</v>
      </c>
      <c r="AQ690" t="n">
        <v>24</v>
      </c>
      <c r="AR690" t="n">
        <v>0</v>
      </c>
    </row>
    <row r="691">
      <c r="A691" t="n">
        <v>192963</v>
      </c>
      <c r="B691" t="inlineStr">
        <is>
          <t>اضافه کردن صورت جلسه بازدید در فرم بررسی گزارش بازدید توسط رئیس</t>
        </is>
      </c>
      <c r="D691" t="inlineStr">
        <is>
          <t>Medium</t>
        </is>
      </c>
      <c r="E691" t="n">
        <v>2</v>
      </c>
      <c r="F691" t="inlineStr">
        <is>
          <t>Closed</t>
        </is>
      </c>
      <c r="G691" t="inlineStr">
        <is>
          <t>Other</t>
        </is>
      </c>
      <c r="I691" t="inlineStr">
        <is>
          <t>Bizagi_Team</t>
        </is>
      </c>
      <c r="J691" t="inlineStr">
        <is>
          <t>SAJAK</t>
        </is>
      </c>
      <c r="K691" t="inlineStr">
        <is>
          <t>Estate_Sprint 43</t>
        </is>
      </c>
      <c r="M691" t="inlineStr">
        <is>
          <t>Seyfollahi Artin</t>
        </is>
      </c>
      <c r="N691" t="inlineStr">
        <is>
          <t>Moradnoori Parinaz</t>
        </is>
      </c>
      <c r="O691" s="42" t="n">
        <v>45978.73552083333</v>
      </c>
      <c r="Q691" s="42" t="n">
        <v>45978.73552083333</v>
      </c>
      <c r="S691" t="n">
        <v>0</v>
      </c>
      <c r="T691" s="42" t="n">
        <v>45978.73552083333</v>
      </c>
      <c r="Z691" s="42" t="n">
        <v>45978.73552083333</v>
      </c>
      <c r="AA691" t="n">
        <v>0</v>
      </c>
      <c r="AD691" t="n">
        <v>2</v>
      </c>
      <c r="AE691" t="n">
        <v>2</v>
      </c>
      <c r="AF691" t="n">
        <v>0</v>
      </c>
      <c r="AI691" t="n">
        <v>0</v>
      </c>
      <c r="AJ691" t="n">
        <v>0</v>
      </c>
      <c r="AK691" t="n">
        <v>0</v>
      </c>
      <c r="AL691" t="n">
        <v>0</v>
      </c>
      <c r="AN691" t="n">
        <v>0</v>
      </c>
      <c r="AO691" t="n">
        <v>0</v>
      </c>
      <c r="AP691" t="n">
        <v>0</v>
      </c>
      <c r="AQ691" t="n">
        <v>24</v>
      </c>
      <c r="AR691" t="n">
        <v>0</v>
      </c>
    </row>
    <row r="692">
      <c r="A692" t="n">
        <v>192964</v>
      </c>
      <c r="B692" t="inlineStr">
        <is>
          <t>عدم نمایش درخواست ، بعداز انتخاب درخواست مصوب شده در فرم انتخاب پیشنهاد جهت اصلاح</t>
        </is>
      </c>
      <c r="D692" t="inlineStr">
        <is>
          <t>Medium</t>
        </is>
      </c>
      <c r="E692" t="n">
        <v>1</v>
      </c>
      <c r="F692" t="inlineStr">
        <is>
          <t>Closed</t>
        </is>
      </c>
      <c r="G692" t="inlineStr">
        <is>
          <t>Other</t>
        </is>
      </c>
      <c r="J692" t="inlineStr">
        <is>
          <t>Dem</t>
        </is>
      </c>
      <c r="K692" t="inlineStr">
        <is>
          <t>DemBiz</t>
        </is>
      </c>
      <c r="M692" t="inlineStr">
        <is>
          <t>Hoseini Fatemeh</t>
        </is>
      </c>
      <c r="N692" t="inlineStr">
        <is>
          <t>Baniamer Shaghayegh</t>
        </is>
      </c>
      <c r="O692" s="42" t="n">
        <v>45978.78601851852</v>
      </c>
      <c r="Q692" s="42" t="n">
        <v>45978.78601851852</v>
      </c>
      <c r="S692" t="n">
        <v>0</v>
      </c>
      <c r="T692" s="42" t="n">
        <v>45978.78601851852</v>
      </c>
      <c r="Z692" s="42" t="n">
        <v>45978.78601851852</v>
      </c>
      <c r="AA692" t="n">
        <v>0</v>
      </c>
      <c r="AD692" t="n">
        <v>2</v>
      </c>
      <c r="AE692" t="n">
        <v>2</v>
      </c>
      <c r="AF692" t="n">
        <v>0</v>
      </c>
      <c r="AI692" t="n">
        <v>0</v>
      </c>
      <c r="AJ692" t="n">
        <v>0</v>
      </c>
      <c r="AK692" t="n">
        <v>0</v>
      </c>
      <c r="AL692" t="n">
        <v>0</v>
      </c>
      <c r="AN692" t="n">
        <v>0</v>
      </c>
      <c r="AO692" t="n">
        <v>0</v>
      </c>
      <c r="AP692" t="n">
        <v>0</v>
      </c>
      <c r="AQ692" t="n">
        <v>24</v>
      </c>
      <c r="AR692" t="n">
        <v>0</v>
      </c>
    </row>
    <row r="693">
      <c r="A693" t="n">
        <v>192978</v>
      </c>
      <c r="B693" t="inlineStr">
        <is>
          <t>عرض باکس توضیحات بازدید بزرگتر شود</t>
        </is>
      </c>
      <c r="D693" t="inlineStr">
        <is>
          <t>Medium</t>
        </is>
      </c>
      <c r="E693" t="n">
        <v>2</v>
      </c>
      <c r="F693" t="inlineStr">
        <is>
          <t>Closed</t>
        </is>
      </c>
      <c r="G693" t="inlineStr">
        <is>
          <t>Other</t>
        </is>
      </c>
      <c r="I693" t="inlineStr">
        <is>
          <t>Bizagi_Team</t>
        </is>
      </c>
      <c r="J693" t="inlineStr">
        <is>
          <t>SAJAK</t>
        </is>
      </c>
      <c r="K693" t="inlineStr">
        <is>
          <t>Estate_Sprint 43</t>
        </is>
      </c>
      <c r="M693" t="inlineStr">
        <is>
          <t>Kalaei Saman</t>
        </is>
      </c>
      <c r="N693" t="inlineStr">
        <is>
          <t>Moradnoori Parinaz</t>
        </is>
      </c>
      <c r="O693" s="42" t="n">
        <v>45986.69497685185</v>
      </c>
      <c r="Q693" s="42" t="n">
        <v>45986.69497685185</v>
      </c>
      <c r="S693" t="n">
        <v>0</v>
      </c>
      <c r="T693" s="42" t="n">
        <v>45986.69497685185</v>
      </c>
      <c r="Z693" s="42" t="n">
        <v>45986.69497685185</v>
      </c>
      <c r="AA693" t="n">
        <v>0</v>
      </c>
      <c r="AD693" t="n">
        <v>2</v>
      </c>
      <c r="AE693" t="n">
        <v>2</v>
      </c>
      <c r="AF693" t="n">
        <v>0</v>
      </c>
      <c r="AI693" t="n">
        <v>0</v>
      </c>
      <c r="AJ693" t="n">
        <v>0</v>
      </c>
      <c r="AK693" t="n">
        <v>0</v>
      </c>
      <c r="AL693" t="n">
        <v>0</v>
      </c>
      <c r="AN693" t="n">
        <v>0</v>
      </c>
      <c r="AO693" t="n">
        <v>0</v>
      </c>
      <c r="AP693" t="n">
        <v>0</v>
      </c>
      <c r="AQ693" t="n">
        <v>24</v>
      </c>
      <c r="AR693" t="n">
        <v>0</v>
      </c>
    </row>
    <row r="694">
      <c r="A694" t="n">
        <v>193021</v>
      </c>
      <c r="B694" t="inlineStr">
        <is>
          <t>باگ های orm /NFWDem</t>
        </is>
      </c>
      <c r="D694" t="inlineStr">
        <is>
          <t>Medium</t>
        </is>
      </c>
      <c r="E694" t="n">
        <v>1</v>
      </c>
      <c r="F694" t="inlineStr">
        <is>
          <t>Closed</t>
        </is>
      </c>
      <c r="G694" t="inlineStr">
        <is>
          <t>Other</t>
        </is>
      </c>
      <c r="J694" t="inlineStr">
        <is>
          <t>Infrastructure Bizagi Extension</t>
        </is>
      </c>
      <c r="K694" t="inlineStr">
        <is>
          <t>SP-87</t>
        </is>
      </c>
      <c r="M694" t="inlineStr">
        <is>
          <t>Rezaee Reza</t>
        </is>
      </c>
      <c r="N694" t="inlineStr">
        <is>
          <t>Baniamer Shaghayegh</t>
        </is>
      </c>
      <c r="O694" s="42" t="n">
        <v>45972.4187962963</v>
      </c>
      <c r="Q694" s="42" t="n">
        <v>45972.4187962963</v>
      </c>
      <c r="S694" t="n">
        <v>0</v>
      </c>
      <c r="T694" s="42" t="n">
        <v>45972.4187962963</v>
      </c>
      <c r="Z694" s="42" t="n">
        <v>45972.4187962963</v>
      </c>
      <c r="AA694" t="n">
        <v>0</v>
      </c>
      <c r="AD694" t="n">
        <v>2</v>
      </c>
      <c r="AE694" t="n">
        <v>2</v>
      </c>
      <c r="AF694" t="n">
        <v>0</v>
      </c>
      <c r="AI694" t="n">
        <v>0</v>
      </c>
      <c r="AJ694" t="n">
        <v>0</v>
      </c>
      <c r="AK694" t="n">
        <v>0</v>
      </c>
      <c r="AL694" t="n">
        <v>0</v>
      </c>
      <c r="AN694" t="n">
        <v>0</v>
      </c>
      <c r="AO694" t="n">
        <v>0</v>
      </c>
      <c r="AP694" t="n">
        <v>0</v>
      </c>
      <c r="AQ694" t="n">
        <v>24</v>
      </c>
      <c r="AR694" t="n">
        <v>0</v>
      </c>
    </row>
    <row r="695">
      <c r="A695" t="n">
        <v>193023</v>
      </c>
      <c r="B695" t="inlineStr">
        <is>
          <t>دکمه تایید و ادامه در فرم انتخاب پیشنهاد جهت اصلاح پیغام خطا می دهد orm //NFWDem</t>
        </is>
      </c>
      <c r="D695" t="inlineStr">
        <is>
          <t>Medium</t>
        </is>
      </c>
      <c r="E695" t="n">
        <v>1</v>
      </c>
      <c r="F695" t="inlineStr">
        <is>
          <t>Closed</t>
        </is>
      </c>
      <c r="G695" t="inlineStr">
        <is>
          <t>Other</t>
        </is>
      </c>
      <c r="J695" t="inlineStr">
        <is>
          <t>Infrastructure Bizagi Extension</t>
        </is>
      </c>
      <c r="K695" t="inlineStr">
        <is>
          <t>SP-87</t>
        </is>
      </c>
      <c r="M695" t="inlineStr">
        <is>
          <t>Mojtaba MohammadGholi</t>
        </is>
      </c>
      <c r="N695" t="inlineStr">
        <is>
          <t>Baniamer Shaghayegh</t>
        </is>
      </c>
      <c r="O695" s="42" t="n">
        <v>45965.70425925926</v>
      </c>
      <c r="Q695" s="42" t="n">
        <v>45965.70425925926</v>
      </c>
      <c r="S695" t="n">
        <v>0</v>
      </c>
      <c r="T695" s="42" t="n">
        <v>45965.70425925926</v>
      </c>
      <c r="Z695" s="42" t="n">
        <v>45965.70425925926</v>
      </c>
      <c r="AA695" t="n">
        <v>0</v>
      </c>
      <c r="AD695" t="n">
        <v>2</v>
      </c>
      <c r="AE695" t="n">
        <v>2</v>
      </c>
      <c r="AF695" t="n">
        <v>0</v>
      </c>
      <c r="AI695" t="n">
        <v>0</v>
      </c>
      <c r="AJ695" t="n">
        <v>0</v>
      </c>
      <c r="AK695" t="n">
        <v>0</v>
      </c>
      <c r="AL695" t="n">
        <v>0</v>
      </c>
      <c r="AN695" t="n">
        <v>0</v>
      </c>
      <c r="AO695" t="n">
        <v>0</v>
      </c>
      <c r="AP695" t="n">
        <v>0</v>
      </c>
      <c r="AQ695" t="n">
        <v>24</v>
      </c>
      <c r="AR695" t="n">
        <v>0</v>
      </c>
    </row>
    <row r="696">
      <c r="A696" t="n">
        <v>193038</v>
      </c>
      <c r="B696" t="inlineStr">
        <is>
          <t>پیغام های هشدار ، در داخل باکس  نمایش داده می شود / NFWDem</t>
        </is>
      </c>
      <c r="D696" t="inlineStr">
        <is>
          <t>Medium</t>
        </is>
      </c>
      <c r="E696" t="n">
        <v>1</v>
      </c>
      <c r="F696" t="inlineStr">
        <is>
          <t>Closed</t>
        </is>
      </c>
      <c r="G696" t="inlineStr">
        <is>
          <t>Other</t>
        </is>
      </c>
      <c r="J696" t="inlineStr">
        <is>
          <t>Infrastructure Bizagi Extension</t>
        </is>
      </c>
      <c r="K696" t="inlineStr">
        <is>
          <t>SP-87</t>
        </is>
      </c>
      <c r="M696" t="inlineStr">
        <is>
          <t>Parvaz Maryam</t>
        </is>
      </c>
      <c r="N696" t="inlineStr">
        <is>
          <t>Rezaei Samaneh</t>
        </is>
      </c>
      <c r="O696" s="42" t="n">
        <v>45965.90872685185</v>
      </c>
      <c r="Q696" s="42" t="n">
        <v>45965.90872685185</v>
      </c>
      <c r="S696" t="n">
        <v>0</v>
      </c>
      <c r="T696" s="42" t="n">
        <v>45965.90872685185</v>
      </c>
      <c r="Z696" s="42" t="n">
        <v>45965.90872685185</v>
      </c>
      <c r="AA696" t="n">
        <v>0</v>
      </c>
      <c r="AD696" t="n">
        <v>2</v>
      </c>
      <c r="AE696" t="n">
        <v>2</v>
      </c>
      <c r="AF696" t="n">
        <v>0</v>
      </c>
      <c r="AI696" t="n">
        <v>0</v>
      </c>
      <c r="AJ696" t="n">
        <v>0</v>
      </c>
      <c r="AK696" t="n">
        <v>0</v>
      </c>
      <c r="AL696" t="n">
        <v>0</v>
      </c>
      <c r="AN696" t="n">
        <v>0</v>
      </c>
      <c r="AO696" t="n">
        <v>0</v>
      </c>
      <c r="AP696" t="n">
        <v>0</v>
      </c>
      <c r="AQ696" t="n">
        <v>24</v>
      </c>
      <c r="AR696" t="n">
        <v>0</v>
      </c>
    </row>
    <row r="697">
      <c r="A697" t="n">
        <v>193039</v>
      </c>
      <c r="B697" t="inlineStr">
        <is>
          <t>Atena_Rem13_تفاوت با فیگما _با توجه به اینکه در بالای صفحه نام طرف نمایش داده میشود نیازی لبه متن خوش امد گویی نیست. -کپی</t>
        </is>
      </c>
      <c r="D697" t="inlineStr">
        <is>
          <t>Medium</t>
        </is>
      </c>
      <c r="E697" t="n">
        <v>2</v>
      </c>
      <c r="F697" t="inlineStr">
        <is>
          <t>New</t>
        </is>
      </c>
      <c r="G697" t="inlineStr">
        <is>
          <t>Other</t>
        </is>
      </c>
      <c r="I697" t="inlineStr">
        <is>
          <t>infra_Team</t>
        </is>
      </c>
      <c r="J697" t="inlineStr">
        <is>
          <t>SAJAK</t>
        </is>
      </c>
      <c r="K697" t="inlineStr">
        <is>
          <t>Estate_Sprint 43</t>
        </is>
      </c>
      <c r="M697" t="inlineStr">
        <is>
          <t>Jafari Saeed</t>
        </is>
      </c>
      <c r="Q697" s="42" t="n">
        <v>45965.60231481482</v>
      </c>
      <c r="S697" t="n">
        <v>0</v>
      </c>
      <c r="T697" s="42" t="n">
        <v>45965.60231481482</v>
      </c>
      <c r="AA697" t="n">
        <v>0</v>
      </c>
      <c r="AD697" t="n">
        <v>2</v>
      </c>
      <c r="AE697" t="n">
        <v>2</v>
      </c>
      <c r="AF697" t="n">
        <v>0</v>
      </c>
      <c r="AI697" t="n">
        <v>0</v>
      </c>
      <c r="AJ697" t="n">
        <v>0</v>
      </c>
      <c r="AM697" t="n">
        <v>52</v>
      </c>
      <c r="AN697" t="n">
        <v>0</v>
      </c>
      <c r="AO697" t="n">
        <v>0</v>
      </c>
      <c r="AP697" t="n">
        <v>0</v>
      </c>
      <c r="AQ697" t="n">
        <v>24</v>
      </c>
      <c r="AR697" t="n">
        <v>0</v>
      </c>
    </row>
    <row r="698">
      <c r="A698" t="n">
        <v>193041</v>
      </c>
      <c r="B698" t="inlineStr">
        <is>
          <t>Atena_Rem13_تغییر سایز فرم ها در صورتی که چند تب باشد-کپی</t>
        </is>
      </c>
      <c r="D698" t="inlineStr">
        <is>
          <t>Medium</t>
        </is>
      </c>
      <c r="E698" t="n">
        <v>2</v>
      </c>
      <c r="F698" t="inlineStr">
        <is>
          <t>Removed</t>
        </is>
      </c>
      <c r="G698" t="inlineStr">
        <is>
          <t>Other</t>
        </is>
      </c>
      <c r="I698" t="inlineStr">
        <is>
          <t>infra_Team</t>
        </is>
      </c>
      <c r="J698" t="inlineStr">
        <is>
          <t>SAJAK</t>
        </is>
      </c>
      <c r="K698" t="inlineStr">
        <is>
          <t>Estate_Sprint 43</t>
        </is>
      </c>
      <c r="M698" t="inlineStr">
        <is>
          <t>Jafari Saeed</t>
        </is>
      </c>
      <c r="Q698" s="42" t="n">
        <v>45965.60474537037</v>
      </c>
      <c r="S698" t="n">
        <v>0</v>
      </c>
      <c r="T698" s="42" t="n">
        <v>45965.60474537037</v>
      </c>
      <c r="AA698" t="n">
        <v>0</v>
      </c>
      <c r="AD698" t="n">
        <v>2</v>
      </c>
      <c r="AE698" t="n">
        <v>2</v>
      </c>
      <c r="AF698" t="n">
        <v>0</v>
      </c>
      <c r="AI698" t="n">
        <v>0</v>
      </c>
      <c r="AJ698" t="n">
        <v>0</v>
      </c>
      <c r="AN698" t="n">
        <v>0</v>
      </c>
      <c r="AO698" t="n">
        <v>0</v>
      </c>
      <c r="AP698" t="n">
        <v>0</v>
      </c>
      <c r="AQ698" t="n">
        <v>24</v>
      </c>
      <c r="AR698" t="n">
        <v>0</v>
      </c>
    </row>
    <row r="699">
      <c r="A699" t="n">
        <v>193052</v>
      </c>
      <c r="B699" t="inlineStr">
        <is>
          <t>نبود لینک ویرایش در نمایش /ویرایش جزییات عقود ،  در درخواست غیر تسهیلاتی</t>
        </is>
      </c>
      <c r="D699" t="inlineStr">
        <is>
          <t>Medium</t>
        </is>
      </c>
      <c r="E699" t="n">
        <v>1</v>
      </c>
      <c r="F699" t="inlineStr">
        <is>
          <t>Closed</t>
        </is>
      </c>
      <c r="G699" t="inlineStr">
        <is>
          <t>Other</t>
        </is>
      </c>
      <c r="J699" t="inlineStr">
        <is>
          <t>Dem</t>
        </is>
      </c>
      <c r="K699" t="inlineStr">
        <is>
          <t>DemBiz</t>
        </is>
      </c>
      <c r="M699" t="inlineStr">
        <is>
          <t>Hoseini Fatemeh</t>
        </is>
      </c>
      <c r="N699" t="inlineStr">
        <is>
          <t>Hajizadeh Elnaz</t>
        </is>
      </c>
      <c r="O699" s="42" t="n">
        <v>45986.51173611111</v>
      </c>
      <c r="P699" s="42" t="n">
        <v>45986.51173611111</v>
      </c>
      <c r="Q699" s="42" t="n">
        <v>45986.51173611111</v>
      </c>
      <c r="S699" t="n">
        <v>0</v>
      </c>
      <c r="T699" s="42" t="n">
        <v>45986.51173611111</v>
      </c>
      <c r="Z699" s="42" t="n">
        <v>45986.51173611111</v>
      </c>
      <c r="AA699" t="n">
        <v>0</v>
      </c>
      <c r="AD699" t="n">
        <v>2</v>
      </c>
      <c r="AE699" t="n">
        <v>2</v>
      </c>
      <c r="AF699" t="n">
        <v>0</v>
      </c>
      <c r="AI699" t="n">
        <v>0</v>
      </c>
      <c r="AJ699" t="n">
        <v>0</v>
      </c>
      <c r="AK699" t="n">
        <v>0</v>
      </c>
      <c r="AL699" t="n">
        <v>0</v>
      </c>
      <c r="AN699" t="n">
        <v>0</v>
      </c>
      <c r="AO699" t="n">
        <v>0</v>
      </c>
      <c r="AP699" t="n">
        <v>0</v>
      </c>
      <c r="AQ699" t="n">
        <v>24</v>
      </c>
      <c r="AR699" t="n">
        <v>0</v>
      </c>
    </row>
    <row r="700">
      <c r="A700" t="n">
        <v>193054</v>
      </c>
      <c r="B700" t="inlineStr">
        <is>
          <t>Atena_Rem13_خطای 401-کپی</t>
        </is>
      </c>
      <c r="D700" t="inlineStr">
        <is>
          <t>Medium</t>
        </is>
      </c>
      <c r="E700" t="n">
        <v>2</v>
      </c>
      <c r="F700" t="inlineStr">
        <is>
          <t>New</t>
        </is>
      </c>
      <c r="G700" t="inlineStr">
        <is>
          <t>Other</t>
        </is>
      </c>
      <c r="I700" t="inlineStr">
        <is>
          <t>infra_Team</t>
        </is>
      </c>
      <c r="J700" t="inlineStr">
        <is>
          <t>SAJAK</t>
        </is>
      </c>
      <c r="K700" t="inlineStr">
        <is>
          <t>Estate_Sprint 43</t>
        </is>
      </c>
      <c r="M700" t="inlineStr">
        <is>
          <t>Jafari Saeed</t>
        </is>
      </c>
      <c r="Q700" s="42" t="n">
        <v>45965.67247685185</v>
      </c>
      <c r="S700" t="n">
        <v>0</v>
      </c>
      <c r="T700" s="42" t="n">
        <v>45965.67247685185</v>
      </c>
      <c r="AA700" t="n">
        <v>0</v>
      </c>
      <c r="AD700" t="n">
        <v>2</v>
      </c>
      <c r="AE700" t="n">
        <v>2</v>
      </c>
      <c r="AF700" t="n">
        <v>0</v>
      </c>
      <c r="AI700" t="n">
        <v>0</v>
      </c>
      <c r="AJ700" t="n">
        <v>0</v>
      </c>
      <c r="AM700" t="n">
        <v>52</v>
      </c>
      <c r="AN700" t="n">
        <v>0</v>
      </c>
      <c r="AO700" t="n">
        <v>0</v>
      </c>
      <c r="AP700" t="n">
        <v>0</v>
      </c>
      <c r="AQ700" t="n">
        <v>24</v>
      </c>
      <c r="AR700" t="n">
        <v>0</v>
      </c>
    </row>
    <row r="701">
      <c r="A701" t="n">
        <v>193055</v>
      </c>
      <c r="B701" t="inlineStr">
        <is>
          <t>Atena_Rem13_تفاوت با فیگما _نمایش پیغام ها. -کپی</t>
        </is>
      </c>
      <c r="D701" t="inlineStr">
        <is>
          <t>Medium</t>
        </is>
      </c>
      <c r="E701" t="n">
        <v>2</v>
      </c>
      <c r="F701" t="inlineStr">
        <is>
          <t>New</t>
        </is>
      </c>
      <c r="G701" t="inlineStr">
        <is>
          <t>Other</t>
        </is>
      </c>
      <c r="I701" t="inlineStr">
        <is>
          <t>infra_Team</t>
        </is>
      </c>
      <c r="J701" t="inlineStr">
        <is>
          <t>SAJAK</t>
        </is>
      </c>
      <c r="K701" t="inlineStr">
        <is>
          <t>Estate_Sprint 43</t>
        </is>
      </c>
      <c r="M701" t="inlineStr">
        <is>
          <t>Jafari Saeed</t>
        </is>
      </c>
      <c r="Q701" s="42" t="n">
        <v>45965.67446759259</v>
      </c>
      <c r="S701" t="n">
        <v>0</v>
      </c>
      <c r="T701" s="42" t="n">
        <v>45965.67446759259</v>
      </c>
      <c r="AA701" t="n">
        <v>0</v>
      </c>
      <c r="AD701" t="n">
        <v>2</v>
      </c>
      <c r="AE701" t="n">
        <v>2</v>
      </c>
      <c r="AF701" t="n">
        <v>0</v>
      </c>
      <c r="AI701" t="n">
        <v>0</v>
      </c>
      <c r="AJ701" t="n">
        <v>0</v>
      </c>
      <c r="AM701" t="n">
        <v>52</v>
      </c>
      <c r="AN701" t="n">
        <v>0</v>
      </c>
      <c r="AO701" t="n">
        <v>0</v>
      </c>
      <c r="AP701" t="n">
        <v>0</v>
      </c>
      <c r="AQ701" t="n">
        <v>24</v>
      </c>
      <c r="AR701" t="n">
        <v>0</v>
      </c>
    </row>
    <row r="702">
      <c r="A702" t="n">
        <v>193056</v>
      </c>
      <c r="B702" t="inlineStr">
        <is>
          <t>Atena_Rem13_تفاوت با فیگما-border فیلدها</t>
        </is>
      </c>
      <c r="D702" t="inlineStr">
        <is>
          <t>Medium</t>
        </is>
      </c>
      <c r="E702" t="n">
        <v>2</v>
      </c>
      <c r="F702" t="inlineStr">
        <is>
          <t>Ready for Retest</t>
        </is>
      </c>
      <c r="G702" t="inlineStr">
        <is>
          <t>Other</t>
        </is>
      </c>
      <c r="I702" t="inlineStr">
        <is>
          <t>infra_Team</t>
        </is>
      </c>
      <c r="J702" t="inlineStr">
        <is>
          <t>SAJAK</t>
        </is>
      </c>
      <c r="K702" t="inlineStr">
        <is>
          <t>Estate_Sprint 43</t>
        </is>
      </c>
      <c r="M702" t="inlineStr">
        <is>
          <t>Jafari Saeed</t>
        </is>
      </c>
      <c r="Q702" s="42" t="n">
        <v>46012.54922453704</v>
      </c>
      <c r="S702" t="n">
        <v>0</v>
      </c>
      <c r="T702" s="42" t="n">
        <v>46012.54922453704</v>
      </c>
      <c r="AA702" t="n">
        <v>0</v>
      </c>
      <c r="AD702" t="n">
        <v>2</v>
      </c>
      <c r="AE702" t="n">
        <v>2</v>
      </c>
      <c r="AF702" t="n">
        <v>0</v>
      </c>
      <c r="AI702" t="n">
        <v>0</v>
      </c>
      <c r="AJ702" t="n">
        <v>0</v>
      </c>
      <c r="AN702" t="n">
        <v>0</v>
      </c>
      <c r="AO702" t="n">
        <v>0</v>
      </c>
      <c r="AP702" t="n">
        <v>0</v>
      </c>
      <c r="AQ702" t="n">
        <v>24</v>
      </c>
      <c r="AR702" t="n">
        <v>0</v>
      </c>
    </row>
    <row r="703">
      <c r="A703" t="n">
        <v>193057</v>
      </c>
      <c r="B703" t="inlineStr">
        <is>
          <t>Atena_Rem13_تفاوت با فیگما-منو-کپی</t>
        </is>
      </c>
      <c r="D703" t="inlineStr">
        <is>
          <t>Medium</t>
        </is>
      </c>
      <c r="E703" t="n">
        <v>2</v>
      </c>
      <c r="F703" t="inlineStr">
        <is>
          <t>New</t>
        </is>
      </c>
      <c r="G703" t="inlineStr">
        <is>
          <t>Other</t>
        </is>
      </c>
      <c r="I703" t="inlineStr">
        <is>
          <t>infra_Team</t>
        </is>
      </c>
      <c r="J703" t="inlineStr">
        <is>
          <t>SAJAK</t>
        </is>
      </c>
      <c r="K703" t="inlineStr">
        <is>
          <t>Estate_Sprint 43</t>
        </is>
      </c>
      <c r="M703" t="inlineStr">
        <is>
          <t>Jafari Saeed</t>
        </is>
      </c>
      <c r="Q703" s="42" t="n">
        <v>45965.67585648148</v>
      </c>
      <c r="S703" t="n">
        <v>0</v>
      </c>
      <c r="T703" s="42" t="n">
        <v>45965.67585648148</v>
      </c>
      <c r="AA703" t="n">
        <v>0</v>
      </c>
      <c r="AD703" t="n">
        <v>2</v>
      </c>
      <c r="AE703" t="n">
        <v>2</v>
      </c>
      <c r="AF703" t="n">
        <v>0</v>
      </c>
      <c r="AI703" t="n">
        <v>0</v>
      </c>
      <c r="AJ703" t="n">
        <v>0</v>
      </c>
      <c r="AM703" t="n">
        <v>52</v>
      </c>
      <c r="AN703" t="n">
        <v>0</v>
      </c>
      <c r="AO703" t="n">
        <v>0</v>
      </c>
      <c r="AP703" t="n">
        <v>0</v>
      </c>
      <c r="AQ703" t="n">
        <v>24</v>
      </c>
      <c r="AR703" t="n">
        <v>0</v>
      </c>
    </row>
    <row r="704">
      <c r="A704" t="n">
        <v>193058</v>
      </c>
      <c r="B704" t="inlineStr">
        <is>
          <t>Atena_Rem13_غیرفعال شدن دکمه برگشت و جلو مرورگر-کپی</t>
        </is>
      </c>
      <c r="D704" t="inlineStr">
        <is>
          <t>Medium</t>
        </is>
      </c>
      <c r="E704" t="n">
        <v>2</v>
      </c>
      <c r="F704" t="inlineStr">
        <is>
          <t>New</t>
        </is>
      </c>
      <c r="G704" t="inlineStr">
        <is>
          <t>Other</t>
        </is>
      </c>
      <c r="I704" t="inlineStr">
        <is>
          <t>infra_Team</t>
        </is>
      </c>
      <c r="J704" t="inlineStr">
        <is>
          <t>SAJAK</t>
        </is>
      </c>
      <c r="K704" t="inlineStr">
        <is>
          <t>Estate_Sprint 43</t>
        </is>
      </c>
      <c r="M704" t="inlineStr">
        <is>
          <t>Jafari Saeed</t>
        </is>
      </c>
      <c r="Q704" s="42" t="n">
        <v>45965.6764699074</v>
      </c>
      <c r="S704" t="n">
        <v>0</v>
      </c>
      <c r="T704" s="42" t="n">
        <v>45965.6764699074</v>
      </c>
      <c r="AA704" t="n">
        <v>0</v>
      </c>
      <c r="AD704" t="n">
        <v>2</v>
      </c>
      <c r="AE704" t="n">
        <v>2</v>
      </c>
      <c r="AF704" t="n">
        <v>0</v>
      </c>
      <c r="AI704" t="n">
        <v>0</v>
      </c>
      <c r="AJ704" t="n">
        <v>0</v>
      </c>
      <c r="AM704" t="n">
        <v>52</v>
      </c>
      <c r="AN704" t="n">
        <v>0</v>
      </c>
      <c r="AO704" t="n">
        <v>0</v>
      </c>
      <c r="AP704" t="n">
        <v>0</v>
      </c>
      <c r="AQ704" t="n">
        <v>24</v>
      </c>
      <c r="AR704" t="n">
        <v>0</v>
      </c>
    </row>
    <row r="705">
      <c r="A705" t="n">
        <v>193060</v>
      </c>
      <c r="B705" t="inlineStr">
        <is>
          <t xml:space="preserve">Atena_Rem13_کارتابل </t>
        </is>
      </c>
      <c r="D705" t="inlineStr">
        <is>
          <t>Medium</t>
        </is>
      </c>
      <c r="E705" t="n">
        <v>2</v>
      </c>
      <c r="F705" t="inlineStr">
        <is>
          <t>New</t>
        </is>
      </c>
      <c r="G705" t="inlineStr">
        <is>
          <t>Other</t>
        </is>
      </c>
      <c r="I705" t="inlineStr">
        <is>
          <t>Bizagi_Team; infra_Team</t>
        </is>
      </c>
      <c r="J705" t="inlineStr">
        <is>
          <t>SAJAK</t>
        </is>
      </c>
      <c r="K705" t="inlineStr">
        <is>
          <t>Estate_Sprint 43</t>
        </is>
      </c>
      <c r="M705" t="inlineStr">
        <is>
          <t>Jafari Saeed</t>
        </is>
      </c>
      <c r="Q705" s="42" t="n">
        <v>45965.67734953704</v>
      </c>
      <c r="S705" t="n">
        <v>0</v>
      </c>
      <c r="T705" s="42" t="n">
        <v>45965.67734953704</v>
      </c>
      <c r="AA705" t="n">
        <v>0</v>
      </c>
      <c r="AD705" t="n">
        <v>2</v>
      </c>
      <c r="AE705" t="n">
        <v>2</v>
      </c>
      <c r="AF705" t="n">
        <v>0</v>
      </c>
      <c r="AI705" t="n">
        <v>0</v>
      </c>
      <c r="AJ705" t="n">
        <v>0</v>
      </c>
      <c r="AM705" t="n">
        <v>52</v>
      </c>
      <c r="AN705" t="n">
        <v>0</v>
      </c>
      <c r="AO705" t="n">
        <v>0</v>
      </c>
      <c r="AP705" t="n">
        <v>0</v>
      </c>
      <c r="AQ705" t="n">
        <v>24</v>
      </c>
      <c r="AR705" t="n">
        <v>0</v>
      </c>
    </row>
    <row r="706">
      <c r="A706" t="n">
        <v>193061</v>
      </c>
      <c r="B706" t="inlineStr">
        <is>
          <t xml:space="preserve">Atena_Rem13_لاگین </t>
        </is>
      </c>
      <c r="D706" t="inlineStr">
        <is>
          <t>Medium</t>
        </is>
      </c>
      <c r="E706" t="n">
        <v>2</v>
      </c>
      <c r="F706" t="inlineStr">
        <is>
          <t>Ready for Retest</t>
        </is>
      </c>
      <c r="G706" t="inlineStr">
        <is>
          <t>Other</t>
        </is>
      </c>
      <c r="I706" t="inlineStr">
        <is>
          <t>infra_Team</t>
        </is>
      </c>
      <c r="J706" t="inlineStr">
        <is>
          <t>SAJAK</t>
        </is>
      </c>
      <c r="K706" t="inlineStr">
        <is>
          <t>Estate_Sprint 43</t>
        </is>
      </c>
      <c r="M706" t="inlineStr">
        <is>
          <t>Jafari Saeed</t>
        </is>
      </c>
      <c r="Q706" s="42" t="n">
        <v>46012.54972222223</v>
      </c>
      <c r="S706" t="n">
        <v>0</v>
      </c>
      <c r="T706" s="42" t="n">
        <v>46012.54972222223</v>
      </c>
      <c r="AA706" t="n">
        <v>0</v>
      </c>
      <c r="AD706" t="n">
        <v>2</v>
      </c>
      <c r="AE706" t="n">
        <v>2</v>
      </c>
      <c r="AF706" t="n">
        <v>0</v>
      </c>
      <c r="AI706" t="n">
        <v>0</v>
      </c>
      <c r="AJ706" t="n">
        <v>0</v>
      </c>
      <c r="AN706" t="n">
        <v>0</v>
      </c>
      <c r="AO706" t="n">
        <v>0</v>
      </c>
      <c r="AP706" t="n">
        <v>0</v>
      </c>
      <c r="AQ706" t="n">
        <v>24</v>
      </c>
      <c r="AR706" t="n">
        <v>0</v>
      </c>
    </row>
    <row r="707">
      <c r="A707" t="n">
        <v>193062</v>
      </c>
      <c r="B707" t="inlineStr">
        <is>
          <t xml:space="preserve">Atena_Rem13_محل دکمه ها در فرم ها </t>
        </is>
      </c>
      <c r="D707" t="inlineStr">
        <is>
          <t>Medium</t>
        </is>
      </c>
      <c r="E707" t="n">
        <v>2</v>
      </c>
      <c r="F707" t="inlineStr">
        <is>
          <t>New</t>
        </is>
      </c>
      <c r="G707" t="inlineStr">
        <is>
          <t>Other</t>
        </is>
      </c>
      <c r="I707" t="inlineStr">
        <is>
          <t>infra_Team</t>
        </is>
      </c>
      <c r="J707" t="inlineStr">
        <is>
          <t>SAJAK</t>
        </is>
      </c>
      <c r="K707" t="inlineStr">
        <is>
          <t>Estate_Sprint 43</t>
        </is>
      </c>
      <c r="M707" t="inlineStr">
        <is>
          <t>Jafari Saeed</t>
        </is>
      </c>
      <c r="Q707" s="42" t="n">
        <v>45965.67829861111</v>
      </c>
      <c r="S707" t="n">
        <v>0</v>
      </c>
      <c r="T707" s="42" t="n">
        <v>45965.67829861111</v>
      </c>
      <c r="AA707" t="n">
        <v>0</v>
      </c>
      <c r="AD707" t="n">
        <v>2</v>
      </c>
      <c r="AE707" t="n">
        <v>2</v>
      </c>
      <c r="AF707" t="n">
        <v>0</v>
      </c>
      <c r="AI707" t="n">
        <v>0</v>
      </c>
      <c r="AJ707" t="n">
        <v>0</v>
      </c>
      <c r="AM707" t="n">
        <v>52</v>
      </c>
      <c r="AN707" t="n">
        <v>0</v>
      </c>
      <c r="AO707" t="n">
        <v>0</v>
      </c>
      <c r="AP707" t="n">
        <v>0</v>
      </c>
      <c r="AQ707" t="n">
        <v>24</v>
      </c>
      <c r="AR707" t="n">
        <v>0</v>
      </c>
    </row>
    <row r="708">
      <c r="A708" t="n">
        <v>193064</v>
      </c>
      <c r="B708" t="inlineStr">
        <is>
          <t xml:space="preserve">انتخاب نماینده بنیاد مسکن </t>
        </is>
      </c>
      <c r="D708" t="inlineStr">
        <is>
          <t>Medium</t>
        </is>
      </c>
      <c r="E708" t="n">
        <v>1</v>
      </c>
      <c r="F708" t="inlineStr">
        <is>
          <t>Closed</t>
        </is>
      </c>
      <c r="G708" t="inlineStr">
        <is>
          <t>Other</t>
        </is>
      </c>
      <c r="I708" t="inlineStr">
        <is>
          <t>Bizagi_Team</t>
        </is>
      </c>
      <c r="J708" t="inlineStr">
        <is>
          <t>SAJAK</t>
        </is>
      </c>
      <c r="K708" t="inlineStr">
        <is>
          <t>Estate_Sprint 43</t>
        </is>
      </c>
      <c r="M708" t="inlineStr">
        <is>
          <t>Tedadi Abbas</t>
        </is>
      </c>
      <c r="N708" t="inlineStr">
        <is>
          <t>Moradnoori Parinaz</t>
        </is>
      </c>
      <c r="O708" s="42" t="n">
        <v>45991.43559027778</v>
      </c>
      <c r="Q708" s="42" t="n">
        <v>45991.43559027778</v>
      </c>
      <c r="S708" t="n">
        <v>0</v>
      </c>
      <c r="T708" s="42" t="n">
        <v>45991.43559027778</v>
      </c>
      <c r="Z708" s="42" t="n">
        <v>45991.43559027778</v>
      </c>
      <c r="AA708" t="n">
        <v>0</v>
      </c>
      <c r="AD708" t="n">
        <v>2</v>
      </c>
      <c r="AE708" t="n">
        <v>2</v>
      </c>
      <c r="AF708" t="n">
        <v>0</v>
      </c>
      <c r="AI708" t="n">
        <v>0</v>
      </c>
      <c r="AJ708" t="n">
        <v>0</v>
      </c>
      <c r="AK708" t="n">
        <v>0</v>
      </c>
      <c r="AL708" t="n">
        <v>0</v>
      </c>
      <c r="AN708" t="n">
        <v>0</v>
      </c>
      <c r="AO708" t="n">
        <v>0</v>
      </c>
      <c r="AP708" t="n">
        <v>0</v>
      </c>
      <c r="AQ708" t="n">
        <v>24</v>
      </c>
      <c r="AR708" t="n">
        <v>0</v>
      </c>
    </row>
    <row r="709">
      <c r="A709" t="n">
        <v>193080</v>
      </c>
      <c r="B709" t="inlineStr">
        <is>
          <t>مشکل در نمایش لینک اظهارنامه مالیات بر ارزش افزوده (تکرار لینک بعد از ذخیره بیرونی)</t>
        </is>
      </c>
      <c r="D709" t="inlineStr">
        <is>
          <t>Medium</t>
        </is>
      </c>
      <c r="E709" t="n">
        <v>2</v>
      </c>
      <c r="F709" t="inlineStr">
        <is>
          <t>Closed</t>
        </is>
      </c>
      <c r="G709" t="inlineStr">
        <is>
          <t>Other</t>
        </is>
      </c>
      <c r="J709" t="inlineStr">
        <is>
          <t>Dem</t>
        </is>
      </c>
      <c r="K709" t="inlineStr">
        <is>
          <t>DemBiz</t>
        </is>
      </c>
      <c r="M709" t="inlineStr">
        <is>
          <t>Hoseini Fatemeh</t>
        </is>
      </c>
      <c r="N709" t="inlineStr">
        <is>
          <t>Hajizadeh Elnaz</t>
        </is>
      </c>
      <c r="O709" s="42" t="n">
        <v>45966.7546412037</v>
      </c>
      <c r="Q709" s="42" t="n">
        <v>45966.7546412037</v>
      </c>
      <c r="S709" t="n">
        <v>0</v>
      </c>
      <c r="T709" s="42" t="n">
        <v>45966.7546412037</v>
      </c>
      <c r="Z709" s="42" t="n">
        <v>45966.7546412037</v>
      </c>
      <c r="AA709" t="n">
        <v>0</v>
      </c>
      <c r="AD709" t="n">
        <v>2</v>
      </c>
      <c r="AE709" t="n">
        <v>2</v>
      </c>
      <c r="AF709" t="n">
        <v>0</v>
      </c>
      <c r="AI709" t="n">
        <v>0</v>
      </c>
      <c r="AJ709" t="n">
        <v>0</v>
      </c>
      <c r="AK709" t="n">
        <v>0</v>
      </c>
      <c r="AL709" t="n">
        <v>0</v>
      </c>
      <c r="AN709" t="n">
        <v>0</v>
      </c>
      <c r="AO709" t="n">
        <v>0</v>
      </c>
      <c r="AP709" t="n">
        <v>0</v>
      </c>
      <c r="AQ709" t="n">
        <v>24</v>
      </c>
      <c r="AR709" t="n">
        <v>0</v>
      </c>
    </row>
    <row r="710">
      <c r="A710" t="n">
        <v>193088</v>
      </c>
      <c r="B710" t="inlineStr">
        <is>
          <t>عبارت اضافی در زیر ماژول نقشه</t>
        </is>
      </c>
      <c r="D710" t="inlineStr">
        <is>
          <t>Medium</t>
        </is>
      </c>
      <c r="E710" t="n">
        <v>2</v>
      </c>
      <c r="F710" t="inlineStr">
        <is>
          <t>New</t>
        </is>
      </c>
      <c r="G710" t="inlineStr">
        <is>
          <t>Other</t>
        </is>
      </c>
      <c r="I710" t="inlineStr">
        <is>
          <t>Bizagi_Team</t>
        </is>
      </c>
      <c r="J710" t="inlineStr">
        <is>
          <t>SAJAK</t>
        </is>
      </c>
      <c r="K710" t="inlineStr">
        <is>
          <t>Estate_Sprint 43</t>
        </is>
      </c>
      <c r="M710" t="inlineStr">
        <is>
          <t>Taleb Amirreza</t>
        </is>
      </c>
      <c r="Q710" s="42" t="n">
        <v>45965.71162037037</v>
      </c>
      <c r="S710" t="n">
        <v>0</v>
      </c>
      <c r="T710" s="42" t="n">
        <v>45965.71162037037</v>
      </c>
      <c r="AA710" t="n">
        <v>0</v>
      </c>
      <c r="AD710" t="n">
        <v>2</v>
      </c>
      <c r="AE710" t="n">
        <v>2</v>
      </c>
      <c r="AF710" t="n">
        <v>0</v>
      </c>
      <c r="AI710" t="n">
        <v>0</v>
      </c>
      <c r="AJ710" t="n">
        <v>0</v>
      </c>
      <c r="AM710" t="n">
        <v>52</v>
      </c>
      <c r="AN710" t="n">
        <v>0</v>
      </c>
      <c r="AO710" t="n">
        <v>0</v>
      </c>
      <c r="AP710" t="n">
        <v>0</v>
      </c>
      <c r="AQ710" t="n">
        <v>24</v>
      </c>
      <c r="AR710" t="n">
        <v>0</v>
      </c>
    </row>
    <row r="711">
      <c r="A711" t="n">
        <v>193090</v>
      </c>
      <c r="B711" t="inlineStr">
        <is>
          <t xml:space="preserve"> اضافه کردن کنترل‌های موجود بر روی دکمه اعمال در جداول در انتخاب کارشناس</t>
        </is>
      </c>
      <c r="D711" t="inlineStr">
        <is>
          <t>Medium</t>
        </is>
      </c>
      <c r="E711" t="n">
        <v>2</v>
      </c>
      <c r="F711" t="inlineStr">
        <is>
          <t>Active</t>
        </is>
      </c>
      <c r="G711" t="inlineStr">
        <is>
          <t>Other</t>
        </is>
      </c>
      <c r="I711" t="inlineStr">
        <is>
          <t>Bizagi_Team</t>
        </is>
      </c>
      <c r="J711" t="inlineStr">
        <is>
          <t>SAJAK</t>
        </is>
      </c>
      <c r="K711" t="inlineStr">
        <is>
          <t>Estate_Sprint 43</t>
        </is>
      </c>
      <c r="M711" t="inlineStr">
        <is>
          <t>Tedadi Abbas</t>
        </is>
      </c>
      <c r="Q711" s="42" t="n">
        <v>46000.47015046296</v>
      </c>
      <c r="S711" t="n">
        <v>0</v>
      </c>
      <c r="T711" s="42" t="n">
        <v>46000.47015046296</v>
      </c>
      <c r="AA711" t="n">
        <v>0</v>
      </c>
      <c r="AD711" t="n">
        <v>2</v>
      </c>
      <c r="AE711" t="n">
        <v>2</v>
      </c>
      <c r="AF711" t="n">
        <v>0</v>
      </c>
      <c r="AI711" t="n">
        <v>0</v>
      </c>
      <c r="AJ711" t="n">
        <v>0</v>
      </c>
      <c r="AM711" t="n">
        <v>17</v>
      </c>
      <c r="AN711" t="n">
        <v>0</v>
      </c>
      <c r="AO711" t="n">
        <v>0</v>
      </c>
      <c r="AP711" t="n">
        <v>0</v>
      </c>
      <c r="AQ711" t="n">
        <v>24</v>
      </c>
      <c r="AR711" t="n">
        <v>0</v>
      </c>
    </row>
    <row r="712">
      <c r="A712" t="n">
        <v>193100</v>
      </c>
      <c r="B712" t="inlineStr">
        <is>
          <t>وجود ستاره اضافی در برخی صفحات</t>
        </is>
      </c>
      <c r="D712" t="inlineStr">
        <is>
          <t>Medium</t>
        </is>
      </c>
      <c r="E712" t="n">
        <v>2</v>
      </c>
      <c r="F712" t="inlineStr">
        <is>
          <t>Closed</t>
        </is>
      </c>
      <c r="G712" t="inlineStr">
        <is>
          <t>Other</t>
        </is>
      </c>
      <c r="I712" t="inlineStr">
        <is>
          <t>Bizagi_Team</t>
        </is>
      </c>
      <c r="J712" t="inlineStr">
        <is>
          <t>SAJAK</t>
        </is>
      </c>
      <c r="K712" t="inlineStr">
        <is>
          <t>Estate_Sprint 43</t>
        </is>
      </c>
      <c r="M712" t="inlineStr">
        <is>
          <t>Kalaei Saman</t>
        </is>
      </c>
      <c r="N712" t="inlineStr">
        <is>
          <t>Moradnoori Parinaz</t>
        </is>
      </c>
      <c r="O712" s="42" t="n">
        <v>45978.73202546296</v>
      </c>
      <c r="Q712" s="42" t="n">
        <v>45978.73202546296</v>
      </c>
      <c r="S712" t="n">
        <v>0</v>
      </c>
      <c r="T712" s="42" t="n">
        <v>45978.73202546296</v>
      </c>
      <c r="Z712" s="42" t="n">
        <v>45978.73202546296</v>
      </c>
      <c r="AA712" t="n">
        <v>0</v>
      </c>
      <c r="AD712" t="n">
        <v>2</v>
      </c>
      <c r="AE712" t="n">
        <v>2</v>
      </c>
      <c r="AF712" t="n">
        <v>0</v>
      </c>
      <c r="AI712" t="n">
        <v>0</v>
      </c>
      <c r="AJ712" t="n">
        <v>0</v>
      </c>
      <c r="AK712" t="n">
        <v>0</v>
      </c>
      <c r="AL712" t="n">
        <v>0</v>
      </c>
      <c r="AN712" t="n">
        <v>0</v>
      </c>
      <c r="AO712" t="n">
        <v>0</v>
      </c>
      <c r="AP712" t="n">
        <v>0</v>
      </c>
      <c r="AQ712" t="n">
        <v>24</v>
      </c>
      <c r="AR712" t="n">
        <v>0</v>
      </c>
    </row>
    <row r="713">
      <c r="A713" t="n">
        <v>193113</v>
      </c>
      <c r="B713" t="inlineStr">
        <is>
          <t xml:space="preserve">با انتخاب سند از لیست  اسناد پرونده ،  پیغام  رکورد می دهد </t>
        </is>
      </c>
      <c r="D713" t="inlineStr">
        <is>
          <t>Medium</t>
        </is>
      </c>
      <c r="E713" t="n">
        <v>1</v>
      </c>
      <c r="F713" t="inlineStr">
        <is>
          <t>Closed</t>
        </is>
      </c>
      <c r="G713" t="inlineStr">
        <is>
          <t>Other</t>
        </is>
      </c>
      <c r="J713" t="inlineStr">
        <is>
          <t>Dem</t>
        </is>
      </c>
      <c r="K713" t="inlineStr">
        <is>
          <t>DemBiz</t>
        </is>
      </c>
      <c r="M713" t="inlineStr">
        <is>
          <t>Hoseini Fatemeh</t>
        </is>
      </c>
      <c r="N713" t="inlineStr">
        <is>
          <t>Hajizadeh Elnaz</t>
        </is>
      </c>
      <c r="O713" s="42" t="n">
        <v>45966.76280092593</v>
      </c>
      <c r="Q713" s="42" t="n">
        <v>45966.76280092593</v>
      </c>
      <c r="S713" t="n">
        <v>0</v>
      </c>
      <c r="T713" s="42" t="n">
        <v>45966.76280092593</v>
      </c>
      <c r="Z713" s="42" t="n">
        <v>45966.76280092593</v>
      </c>
      <c r="AA713" t="n">
        <v>0</v>
      </c>
      <c r="AD713" t="n">
        <v>2</v>
      </c>
      <c r="AE713" t="n">
        <v>2</v>
      </c>
      <c r="AF713" t="n">
        <v>0</v>
      </c>
      <c r="AI713" t="n">
        <v>0</v>
      </c>
      <c r="AJ713" t="n">
        <v>0</v>
      </c>
      <c r="AK713" t="n">
        <v>0</v>
      </c>
      <c r="AL713" t="n">
        <v>0</v>
      </c>
      <c r="AN713" t="n">
        <v>0</v>
      </c>
      <c r="AO713" t="n">
        <v>0</v>
      </c>
      <c r="AP713" t="n">
        <v>0</v>
      </c>
      <c r="AQ713" t="n">
        <v>24</v>
      </c>
      <c r="AR713" t="n">
        <v>0</v>
      </c>
    </row>
    <row r="714">
      <c r="A714" t="n">
        <v>193121</v>
      </c>
      <c r="B714" t="inlineStr">
        <is>
          <t>کارتابل مشترک - سند های داخل کارتابل ترابری - NFWTR</t>
        </is>
      </c>
      <c r="D714" t="inlineStr">
        <is>
          <t>Medium</t>
        </is>
      </c>
      <c r="E714" t="n">
        <v>1</v>
      </c>
      <c r="F714" t="inlineStr">
        <is>
          <t>Closed</t>
        </is>
      </c>
      <c r="G714" t="inlineStr">
        <is>
          <t>Other</t>
        </is>
      </c>
      <c r="J714" t="inlineStr">
        <is>
          <t>Transportation</t>
        </is>
      </c>
      <c r="K714" t="inlineStr">
        <is>
          <t>Sp_23</t>
        </is>
      </c>
      <c r="M714" t="inlineStr">
        <is>
          <t>Davar Hamed</t>
        </is>
      </c>
      <c r="N714" t="inlineStr">
        <is>
          <t>Ghafarian Ghazaleh</t>
        </is>
      </c>
      <c r="O714" s="42" t="n">
        <v>45981.90424768518</v>
      </c>
      <c r="Q714" s="42" t="n">
        <v>45981.90424768518</v>
      </c>
      <c r="S714" t="n">
        <v>0</v>
      </c>
      <c r="T714" s="42" t="n">
        <v>45981.90424768518</v>
      </c>
      <c r="Z714" s="42" t="n">
        <v>45981.90424768518</v>
      </c>
      <c r="AA714" t="n">
        <v>0</v>
      </c>
      <c r="AD714" t="n">
        <v>2</v>
      </c>
      <c r="AE714" t="n">
        <v>2</v>
      </c>
      <c r="AF714" t="n">
        <v>0</v>
      </c>
      <c r="AI714" t="n">
        <v>0</v>
      </c>
      <c r="AJ714" t="n">
        <v>0</v>
      </c>
      <c r="AK714" t="n">
        <v>0</v>
      </c>
      <c r="AL714" t="n">
        <v>0</v>
      </c>
      <c r="AN714" t="n">
        <v>0</v>
      </c>
      <c r="AO714" t="n">
        <v>0</v>
      </c>
      <c r="AP714" t="n">
        <v>0</v>
      </c>
      <c r="AQ714" t="n">
        <v>24</v>
      </c>
      <c r="AR714" t="n">
        <v>0</v>
      </c>
    </row>
    <row r="715">
      <c r="A715" t="n">
        <v>193127</v>
      </c>
      <c r="B715" t="inlineStr">
        <is>
          <t>فیلد های کمبویی خطای نتوورک ارور می دهد روی ترابری  - NFWTR</t>
        </is>
      </c>
      <c r="D715" t="inlineStr">
        <is>
          <t>Medium</t>
        </is>
      </c>
      <c r="E715" t="n">
        <v>1</v>
      </c>
      <c r="F715" t="inlineStr">
        <is>
          <t>Closed</t>
        </is>
      </c>
      <c r="G715" t="inlineStr">
        <is>
          <t>Other</t>
        </is>
      </c>
      <c r="J715" t="inlineStr">
        <is>
          <t>Transportation</t>
        </is>
      </c>
      <c r="K715" t="inlineStr">
        <is>
          <t>Sp_23</t>
        </is>
      </c>
      <c r="M715" t="inlineStr">
        <is>
          <t>Davar Hamed</t>
        </is>
      </c>
      <c r="N715" t="inlineStr">
        <is>
          <t>Hajkhalil Mehrzad</t>
        </is>
      </c>
      <c r="O715" s="42" t="n">
        <v>45980.41442129629</v>
      </c>
      <c r="Q715" s="42" t="n">
        <v>45980.41442129629</v>
      </c>
      <c r="S715" t="n">
        <v>0</v>
      </c>
      <c r="T715" s="42" t="n">
        <v>45980.41442129629</v>
      </c>
      <c r="Z715" s="42" t="n">
        <v>45980.41442129629</v>
      </c>
      <c r="AA715" t="n">
        <v>0</v>
      </c>
      <c r="AD715" t="n">
        <v>2</v>
      </c>
      <c r="AE715" t="n">
        <v>2</v>
      </c>
      <c r="AF715" t="n">
        <v>0</v>
      </c>
      <c r="AI715" t="n">
        <v>0</v>
      </c>
      <c r="AJ715" t="n">
        <v>0</v>
      </c>
      <c r="AK715" t="n">
        <v>0</v>
      </c>
      <c r="AL715" t="n">
        <v>0</v>
      </c>
      <c r="AN715" t="n">
        <v>0</v>
      </c>
      <c r="AO715" t="n">
        <v>0</v>
      </c>
      <c r="AP715" t="n">
        <v>0</v>
      </c>
      <c r="AQ715" t="n">
        <v>24</v>
      </c>
      <c r="AR715" t="n">
        <v>0</v>
      </c>
    </row>
    <row r="716">
      <c r="A716" t="n">
        <v>193153</v>
      </c>
      <c r="B716" t="inlineStr">
        <is>
          <t>همخوانی نداشتن سایز متن در قسمت های مختلف صفحه</t>
        </is>
      </c>
      <c r="D716" t="inlineStr">
        <is>
          <t>Medium</t>
        </is>
      </c>
      <c r="E716" t="n">
        <v>1</v>
      </c>
      <c r="F716" t="inlineStr">
        <is>
          <t>Closed</t>
        </is>
      </c>
      <c r="G716" t="inlineStr">
        <is>
          <t>Other</t>
        </is>
      </c>
      <c r="I716" t="inlineStr">
        <is>
          <t>Bizagi_Team</t>
        </is>
      </c>
      <c r="J716" t="inlineStr">
        <is>
          <t>SAJAK</t>
        </is>
      </c>
      <c r="K716" t="inlineStr">
        <is>
          <t>Estate_Sprint 43</t>
        </is>
      </c>
      <c r="M716" t="inlineStr">
        <is>
          <t>Zeynali Masoud</t>
        </is>
      </c>
      <c r="N716" t="inlineStr">
        <is>
          <t>Moradnoori Parinaz</t>
        </is>
      </c>
      <c r="O716" s="42" t="n">
        <v>45986.60085648148</v>
      </c>
      <c r="Q716" s="42" t="n">
        <v>45986.60085648148</v>
      </c>
      <c r="S716" t="n">
        <v>0</v>
      </c>
      <c r="T716" s="42" t="n">
        <v>45986.60085648148</v>
      </c>
      <c r="Z716" s="42" t="n">
        <v>45986.60085648148</v>
      </c>
      <c r="AA716" t="n">
        <v>0</v>
      </c>
      <c r="AD716" t="n">
        <v>2</v>
      </c>
      <c r="AE716" t="n">
        <v>2</v>
      </c>
      <c r="AF716" t="n">
        <v>0</v>
      </c>
      <c r="AI716" t="n">
        <v>0</v>
      </c>
      <c r="AJ716" t="n">
        <v>0</v>
      </c>
      <c r="AK716" t="n">
        <v>0</v>
      </c>
      <c r="AL716" t="n">
        <v>0</v>
      </c>
      <c r="AN716" t="n">
        <v>0</v>
      </c>
      <c r="AO716" t="n">
        <v>0</v>
      </c>
      <c r="AP716" t="n">
        <v>0</v>
      </c>
      <c r="AQ716" t="n">
        <v>24</v>
      </c>
      <c r="AR716" t="n">
        <v>0</v>
      </c>
    </row>
    <row r="717">
      <c r="A717" t="n">
        <v>193154</v>
      </c>
      <c r="B717" t="inlineStr">
        <is>
          <t>نمایش خطا بی دلیل NFWarch</t>
        </is>
      </c>
      <c r="D717" t="inlineStr">
        <is>
          <t>Medium</t>
        </is>
      </c>
      <c r="E717" t="n">
        <v>2</v>
      </c>
      <c r="F717" t="inlineStr">
        <is>
          <t>Closed</t>
        </is>
      </c>
      <c r="G717" t="inlineStr">
        <is>
          <t>Other</t>
        </is>
      </c>
      <c r="J717" t="inlineStr">
        <is>
          <t>Infrastructure Bizagi Extension</t>
        </is>
      </c>
      <c r="K717" t="inlineStr">
        <is>
          <t>SP-87</t>
        </is>
      </c>
      <c r="M717" t="inlineStr">
        <is>
          <t>Mirshomali Pouya</t>
        </is>
      </c>
      <c r="N717" t="inlineStr">
        <is>
          <t>Mojtaba MohammadGholi</t>
        </is>
      </c>
      <c r="O717" s="42" t="n">
        <v>45969.68914351852</v>
      </c>
      <c r="Q717" s="42" t="n">
        <v>45969.68914351852</v>
      </c>
      <c r="S717" t="n">
        <v>0</v>
      </c>
      <c r="T717" s="42" t="n">
        <v>45969.68914351852</v>
      </c>
      <c r="Z717" s="42" t="n">
        <v>45969.68914351852</v>
      </c>
      <c r="AA717" t="n">
        <v>0</v>
      </c>
      <c r="AD717" t="n">
        <v>2</v>
      </c>
      <c r="AE717" t="n">
        <v>2</v>
      </c>
      <c r="AF717" t="n">
        <v>0</v>
      </c>
      <c r="AI717" t="n">
        <v>0</v>
      </c>
      <c r="AJ717" t="n">
        <v>0</v>
      </c>
      <c r="AK717" t="n">
        <v>0</v>
      </c>
      <c r="AL717" t="n">
        <v>0</v>
      </c>
      <c r="AN717" t="n">
        <v>0</v>
      </c>
      <c r="AO717" t="n">
        <v>0</v>
      </c>
      <c r="AP717" t="n">
        <v>0</v>
      </c>
      <c r="AQ717" t="n">
        <v>24</v>
      </c>
      <c r="AR717" t="n">
        <v>0</v>
      </c>
    </row>
    <row r="718">
      <c r="A718" t="n">
        <v>193155</v>
      </c>
      <c r="B718" t="inlineStr">
        <is>
          <t>خطای 500 بعد از دکمه ثبت NFWarch</t>
        </is>
      </c>
      <c r="D718" t="inlineStr">
        <is>
          <t>Medium</t>
        </is>
      </c>
      <c r="E718" t="n">
        <v>2</v>
      </c>
      <c r="F718" t="inlineStr">
        <is>
          <t>Closed</t>
        </is>
      </c>
      <c r="G718" t="inlineStr">
        <is>
          <t>Other</t>
        </is>
      </c>
      <c r="J718" t="inlineStr">
        <is>
          <t>Infrastructure Bizagi Extension</t>
        </is>
      </c>
      <c r="K718" t="inlineStr">
        <is>
          <t>SP-87</t>
        </is>
      </c>
      <c r="M718" t="inlineStr">
        <is>
          <t>Mirshomali Pouya</t>
        </is>
      </c>
      <c r="N718" t="inlineStr">
        <is>
          <t>Mojtaba MohammadGholi</t>
        </is>
      </c>
      <c r="O718" s="42" t="n">
        <v>45969.68892361111</v>
      </c>
      <c r="Q718" s="42" t="n">
        <v>45969.68892361111</v>
      </c>
      <c r="S718" t="n">
        <v>0</v>
      </c>
      <c r="T718" s="42" t="n">
        <v>45969.68892361111</v>
      </c>
      <c r="Z718" s="42" t="n">
        <v>45969.68892361111</v>
      </c>
      <c r="AA718" t="n">
        <v>0</v>
      </c>
      <c r="AD718" t="n">
        <v>2</v>
      </c>
      <c r="AE718" t="n">
        <v>2</v>
      </c>
      <c r="AF718" t="n">
        <v>0</v>
      </c>
      <c r="AI718" t="n">
        <v>0</v>
      </c>
      <c r="AJ718" t="n">
        <v>0</v>
      </c>
      <c r="AK718" t="n">
        <v>0</v>
      </c>
      <c r="AL718" t="n">
        <v>0</v>
      </c>
      <c r="AN718" t="n">
        <v>0</v>
      </c>
      <c r="AO718" t="n">
        <v>0</v>
      </c>
      <c r="AP718" t="n">
        <v>0</v>
      </c>
      <c r="AQ718" t="n">
        <v>24</v>
      </c>
      <c r="AR718" t="n">
        <v>0</v>
      </c>
    </row>
    <row r="719">
      <c r="A719" t="n">
        <v>193156</v>
      </c>
      <c r="B719" t="inlineStr">
        <is>
          <t>کلیه فرم ها - فیلدهای تاریخ. عدم ثبت تاریخ با یک بار کلیک روی تقویم مربوط به آن NFWTR</t>
        </is>
      </c>
      <c r="D719" t="inlineStr">
        <is>
          <t>Medium</t>
        </is>
      </c>
      <c r="E719" t="n">
        <v>1</v>
      </c>
      <c r="F719" t="inlineStr">
        <is>
          <t>Closed</t>
        </is>
      </c>
      <c r="G719" t="inlineStr">
        <is>
          <t>Other</t>
        </is>
      </c>
      <c r="J719" t="inlineStr">
        <is>
          <t>Infrastructure Bizagi Extension</t>
        </is>
      </c>
      <c r="K719" t="inlineStr">
        <is>
          <t>SP-87</t>
        </is>
      </c>
      <c r="M719" t="inlineStr">
        <is>
          <t>Jafari Saeed</t>
        </is>
      </c>
      <c r="N719" t="inlineStr">
        <is>
          <t>Sharifi Shayan</t>
        </is>
      </c>
      <c r="O719" s="42" t="n">
        <v>45969.68077546296</v>
      </c>
      <c r="Q719" s="42" t="n">
        <v>45969.68077546296</v>
      </c>
      <c r="S719" t="n">
        <v>0</v>
      </c>
      <c r="T719" s="42" t="n">
        <v>45969.68077546296</v>
      </c>
      <c r="Z719" s="42" t="n">
        <v>45969.68077546296</v>
      </c>
      <c r="AA719" t="n">
        <v>0</v>
      </c>
      <c r="AD719" t="n">
        <v>2</v>
      </c>
      <c r="AE719" t="n">
        <v>2</v>
      </c>
      <c r="AF719" t="n">
        <v>0</v>
      </c>
      <c r="AI719" t="n">
        <v>0</v>
      </c>
      <c r="AJ719" t="n">
        <v>0</v>
      </c>
      <c r="AK719" t="n">
        <v>0</v>
      </c>
      <c r="AL719" t="n">
        <v>0</v>
      </c>
      <c r="AN719" t="n">
        <v>0</v>
      </c>
      <c r="AO719" t="n">
        <v>0</v>
      </c>
      <c r="AP719" t="n">
        <v>0</v>
      </c>
      <c r="AQ719" t="n">
        <v>24</v>
      </c>
      <c r="AR719" t="n">
        <v>0</v>
      </c>
    </row>
    <row r="720">
      <c r="A720" t="n">
        <v>193159</v>
      </c>
      <c r="B720" t="inlineStr">
        <is>
          <t>خالی بودن تمامی کمبو ها NFWarch</t>
        </is>
      </c>
      <c r="D720" t="inlineStr">
        <is>
          <t>Medium</t>
        </is>
      </c>
      <c r="E720" t="n">
        <v>2</v>
      </c>
      <c r="F720" t="inlineStr">
        <is>
          <t>Closed</t>
        </is>
      </c>
      <c r="G720" t="inlineStr">
        <is>
          <t>Other</t>
        </is>
      </c>
      <c r="J720" t="inlineStr">
        <is>
          <t>Infrastructure Bizagi Extension</t>
        </is>
      </c>
      <c r="K720" t="inlineStr">
        <is>
          <t>SP-87</t>
        </is>
      </c>
      <c r="M720" t="inlineStr">
        <is>
          <t>Mirshomali Pouya</t>
        </is>
      </c>
      <c r="N720" t="inlineStr">
        <is>
          <t>Mojtaba MohammadGholi</t>
        </is>
      </c>
      <c r="O720" s="42" t="n">
        <v>45969.68878472222</v>
      </c>
      <c r="Q720" s="42" t="n">
        <v>45969.68878472222</v>
      </c>
      <c r="S720" t="n">
        <v>0</v>
      </c>
      <c r="T720" s="42" t="n">
        <v>45969.68878472222</v>
      </c>
      <c r="Z720" s="42" t="n">
        <v>45969.68878472222</v>
      </c>
      <c r="AA720" t="n">
        <v>0</v>
      </c>
      <c r="AD720" t="n">
        <v>2</v>
      </c>
      <c r="AE720" t="n">
        <v>2</v>
      </c>
      <c r="AF720" t="n">
        <v>0</v>
      </c>
      <c r="AI720" t="n">
        <v>0</v>
      </c>
      <c r="AJ720" t="n">
        <v>0</v>
      </c>
      <c r="AK720" t="n">
        <v>0</v>
      </c>
      <c r="AL720" t="n">
        <v>0</v>
      </c>
      <c r="AN720" t="n">
        <v>0</v>
      </c>
      <c r="AO720" t="n">
        <v>0</v>
      </c>
      <c r="AP720" t="n">
        <v>0</v>
      </c>
      <c r="AQ720" t="n">
        <v>24</v>
      </c>
      <c r="AR720" t="n">
        <v>0</v>
      </c>
    </row>
    <row r="721">
      <c r="A721" t="n">
        <v>193179</v>
      </c>
      <c r="B721" t="inlineStr">
        <is>
          <t xml:space="preserve">فاکتور تعمیر - دکمه افزودن در تب لیست فاکتور </t>
        </is>
      </c>
      <c r="D721" t="inlineStr">
        <is>
          <t>Medium</t>
        </is>
      </c>
      <c r="E721" t="n">
        <v>2</v>
      </c>
      <c r="F721" t="inlineStr">
        <is>
          <t>Closed</t>
        </is>
      </c>
      <c r="G721" t="inlineStr">
        <is>
          <t>Other</t>
        </is>
      </c>
      <c r="J721" t="inlineStr">
        <is>
          <t>Transportation</t>
        </is>
      </c>
      <c r="K721" t="inlineStr">
        <is>
          <t>Sp_23</t>
        </is>
      </c>
      <c r="M721" t="inlineStr">
        <is>
          <t>Homayoun Mohammad</t>
        </is>
      </c>
      <c r="N721" t="inlineStr">
        <is>
          <t>Sharifi Shayan</t>
        </is>
      </c>
      <c r="O721" s="42" t="n">
        <v>45966.45836805556</v>
      </c>
      <c r="Q721" s="42" t="n">
        <v>45966.45836805556</v>
      </c>
      <c r="S721" t="n">
        <v>0</v>
      </c>
      <c r="T721" s="42" t="n">
        <v>45966.45836805556</v>
      </c>
      <c r="Z721" s="42" t="n">
        <v>45966.45836805556</v>
      </c>
      <c r="AA721" t="n">
        <v>0</v>
      </c>
      <c r="AD721" t="n">
        <v>2</v>
      </c>
      <c r="AE721" t="n">
        <v>2</v>
      </c>
      <c r="AF721" t="n">
        <v>0</v>
      </c>
      <c r="AI721" t="n">
        <v>0</v>
      </c>
      <c r="AJ721" t="n">
        <v>0</v>
      </c>
      <c r="AK721" t="n">
        <v>0</v>
      </c>
      <c r="AL721" t="n">
        <v>0</v>
      </c>
      <c r="AN721" t="n">
        <v>0</v>
      </c>
      <c r="AO721" t="n">
        <v>0</v>
      </c>
      <c r="AP721" t="n">
        <v>0</v>
      </c>
      <c r="AQ721" t="n">
        <v>24</v>
      </c>
      <c r="AR721" t="n">
        <v>0</v>
      </c>
    </row>
    <row r="722">
      <c r="A722" t="n">
        <v>193190</v>
      </c>
      <c r="B722" t="inlineStr">
        <is>
          <t>معاینه فنی - ارسال جهت تأییدات. دکمه تأیید</t>
        </is>
      </c>
      <c r="D722" t="inlineStr">
        <is>
          <t>Medium</t>
        </is>
      </c>
      <c r="E722" t="n">
        <v>2</v>
      </c>
      <c r="F722" t="inlineStr">
        <is>
          <t>Ready for Retest</t>
        </is>
      </c>
      <c r="G722" t="inlineStr">
        <is>
          <t>Other</t>
        </is>
      </c>
      <c r="J722" t="inlineStr">
        <is>
          <t>Transportation</t>
        </is>
      </c>
      <c r="K722" t="inlineStr">
        <is>
          <t>Sp_25</t>
        </is>
      </c>
      <c r="M722" t="inlineStr">
        <is>
          <t>Homayoun Mohammad</t>
        </is>
      </c>
      <c r="Q722" s="42" t="n">
        <v>46015.65945601852</v>
      </c>
      <c r="S722" t="n">
        <v>0</v>
      </c>
      <c r="T722" s="42" t="n">
        <v>46015.65945601852</v>
      </c>
      <c r="AA722" t="n">
        <v>0</v>
      </c>
      <c r="AD722" t="n">
        <v>2</v>
      </c>
      <c r="AE722" t="n">
        <v>2</v>
      </c>
      <c r="AF722" t="n">
        <v>0</v>
      </c>
      <c r="AI722" t="n">
        <v>0</v>
      </c>
      <c r="AJ722" t="n">
        <v>0</v>
      </c>
      <c r="AN722" t="n">
        <v>0</v>
      </c>
      <c r="AO722" t="n">
        <v>0</v>
      </c>
      <c r="AP722" t="n">
        <v>0</v>
      </c>
      <c r="AQ722" t="n">
        <v>24</v>
      </c>
      <c r="AR722" t="n">
        <v>0</v>
      </c>
    </row>
    <row r="723">
      <c r="A723" t="n">
        <v>193193</v>
      </c>
      <c r="B723" t="inlineStr">
        <is>
          <t>طرح ترافیک - ارسال جهت تأییدات. دکمه تأیید در کارتابل شفیعی نیا</t>
        </is>
      </c>
      <c r="D723" t="inlineStr">
        <is>
          <t>Medium</t>
        </is>
      </c>
      <c r="E723" t="n">
        <v>2</v>
      </c>
      <c r="F723" t="inlineStr">
        <is>
          <t>Closed</t>
        </is>
      </c>
      <c r="G723" t="inlineStr">
        <is>
          <t>Other</t>
        </is>
      </c>
      <c r="J723" t="inlineStr">
        <is>
          <t>Transportation</t>
        </is>
      </c>
      <c r="K723" t="inlineStr">
        <is>
          <t>Sp_23</t>
        </is>
      </c>
      <c r="M723" t="inlineStr">
        <is>
          <t>Karimian Morteza</t>
        </is>
      </c>
      <c r="N723" t="inlineStr">
        <is>
          <t>Ghafarian Ghazaleh</t>
        </is>
      </c>
      <c r="O723" s="42" t="n">
        <v>45973.33494212963</v>
      </c>
      <c r="Q723" s="42" t="n">
        <v>45973.33494212963</v>
      </c>
      <c r="S723" t="n">
        <v>0</v>
      </c>
      <c r="T723" s="42" t="n">
        <v>45973.33494212963</v>
      </c>
      <c r="Z723" s="42" t="n">
        <v>45973.33494212963</v>
      </c>
      <c r="AA723" t="n">
        <v>0</v>
      </c>
      <c r="AD723" t="n">
        <v>2</v>
      </c>
      <c r="AE723" t="n">
        <v>2</v>
      </c>
      <c r="AF723" t="n">
        <v>0</v>
      </c>
      <c r="AI723" t="n">
        <v>0</v>
      </c>
      <c r="AJ723" t="n">
        <v>0</v>
      </c>
      <c r="AK723" t="n">
        <v>0</v>
      </c>
      <c r="AL723" t="n">
        <v>0</v>
      </c>
      <c r="AN723" t="n">
        <v>0</v>
      </c>
      <c r="AO723" t="n">
        <v>0</v>
      </c>
      <c r="AP723" t="n">
        <v>0</v>
      </c>
      <c r="AQ723" t="n">
        <v>24</v>
      </c>
      <c r="AR723" t="n">
        <v>0</v>
      </c>
    </row>
    <row r="724">
      <c r="A724" t="n">
        <v>193194</v>
      </c>
      <c r="B724" t="inlineStr">
        <is>
          <t>تغییر رمز برای یوزر جدید</t>
        </is>
      </c>
      <c r="D724" t="inlineStr">
        <is>
          <t>Medium</t>
        </is>
      </c>
      <c r="E724" t="n">
        <v>2</v>
      </c>
      <c r="F724" t="inlineStr">
        <is>
          <t>New</t>
        </is>
      </c>
      <c r="G724" t="inlineStr">
        <is>
          <t>Other</t>
        </is>
      </c>
      <c r="J724" t="inlineStr">
        <is>
          <t>Transportation</t>
        </is>
      </c>
      <c r="K724" t="inlineStr">
        <is>
          <t>Sp_24</t>
        </is>
      </c>
      <c r="M724" t="inlineStr">
        <is>
          <t>Karimian Morteza</t>
        </is>
      </c>
      <c r="Q724" s="42" t="n">
        <v>45966.52582175926</v>
      </c>
      <c r="S724" t="n">
        <v>0</v>
      </c>
      <c r="T724" s="42" t="n">
        <v>45966.52582175926</v>
      </c>
      <c r="AA724" t="n">
        <v>0</v>
      </c>
      <c r="AD724" t="n">
        <v>2</v>
      </c>
      <c r="AE724" t="n">
        <v>2</v>
      </c>
      <c r="AF724" t="n">
        <v>0</v>
      </c>
      <c r="AI724" t="n">
        <v>0</v>
      </c>
      <c r="AJ724" t="n">
        <v>0</v>
      </c>
      <c r="AM724" t="n">
        <v>51</v>
      </c>
      <c r="AN724" t="n">
        <v>0</v>
      </c>
      <c r="AO724" t="n">
        <v>0</v>
      </c>
      <c r="AP724" t="n">
        <v>0</v>
      </c>
      <c r="AQ724" t="n">
        <v>24</v>
      </c>
      <c r="AR724" t="n">
        <v>0</v>
      </c>
    </row>
    <row r="725">
      <c r="A725" t="n">
        <v>193229</v>
      </c>
      <c r="B725" t="inlineStr">
        <is>
          <t>AE_SAJA\\ ارور و عدم ایجاد فایل</t>
        </is>
      </c>
      <c r="D725" t="inlineStr">
        <is>
          <t>Medium</t>
        </is>
      </c>
      <c r="E725" t="n">
        <v>2</v>
      </c>
      <c r="F725" t="inlineStr">
        <is>
          <t>Closed</t>
        </is>
      </c>
      <c r="G725" t="inlineStr">
        <is>
          <t>Other</t>
        </is>
      </c>
      <c r="J725" t="inlineStr">
        <is>
          <t>Infrastructure Bizagi Extension</t>
        </is>
      </c>
      <c r="K725" t="inlineStr">
        <is>
          <t>SP-87</t>
        </is>
      </c>
      <c r="L725" t="inlineStr">
        <is>
          <t>Completed</t>
        </is>
      </c>
      <c r="M725" t="inlineStr">
        <is>
          <t>Faraji Reza</t>
        </is>
      </c>
      <c r="N725" t="inlineStr">
        <is>
          <t>Tedadi Abbas</t>
        </is>
      </c>
      <c r="O725" s="42" t="n">
        <v>46001.3945949074</v>
      </c>
      <c r="Q725" s="42" t="n">
        <v>46001.3945949074</v>
      </c>
      <c r="S725" t="n">
        <v>0</v>
      </c>
      <c r="T725" s="42" t="n">
        <v>46001.3945949074</v>
      </c>
      <c r="Z725" s="42" t="n">
        <v>46001.3945949074</v>
      </c>
      <c r="AA725" t="n">
        <v>0</v>
      </c>
      <c r="AD725" t="n">
        <v>2</v>
      </c>
      <c r="AE725" t="n">
        <v>2</v>
      </c>
      <c r="AF725" t="n">
        <v>0</v>
      </c>
      <c r="AI725" t="n">
        <v>0</v>
      </c>
      <c r="AJ725" t="n">
        <v>0</v>
      </c>
      <c r="AK725" t="n">
        <v>0</v>
      </c>
      <c r="AL725" t="n">
        <v>0</v>
      </c>
      <c r="AN725" t="n">
        <v>0</v>
      </c>
      <c r="AO725" t="n">
        <v>0</v>
      </c>
      <c r="AP725" t="n">
        <v>0</v>
      </c>
      <c r="AQ725" t="n">
        <v>24</v>
      </c>
      <c r="AR725" t="n">
        <v>0</v>
      </c>
    </row>
    <row r="726">
      <c r="A726" t="n">
        <v>193230</v>
      </c>
      <c r="B726" t="inlineStr">
        <is>
          <t>بایگانی اسناد ریالی - ویرایش تاریخ های انتخاب شده در کارتن</t>
        </is>
      </c>
      <c r="D726" t="inlineStr">
        <is>
          <t>Medium</t>
        </is>
      </c>
      <c r="E726" t="n">
        <v>1</v>
      </c>
      <c r="F726" t="inlineStr">
        <is>
          <t>Closed</t>
        </is>
      </c>
      <c r="G726" t="inlineStr">
        <is>
          <t>Other</t>
        </is>
      </c>
      <c r="J726" t="inlineStr">
        <is>
          <t>Stagnant Archive</t>
        </is>
      </c>
      <c r="K726" t="inlineStr">
        <is>
          <t>Sp_22</t>
        </is>
      </c>
      <c r="M726" t="inlineStr">
        <is>
          <t>Homayoun Mohammad</t>
        </is>
      </c>
      <c r="N726" t="inlineStr">
        <is>
          <t>Monfared Mobina</t>
        </is>
      </c>
      <c r="O726" s="42" t="n">
        <v>45994.54996527778</v>
      </c>
      <c r="Q726" s="42" t="n">
        <v>45994.54996527778</v>
      </c>
      <c r="S726" t="n">
        <v>0</v>
      </c>
      <c r="T726" s="42" t="n">
        <v>45994.54996527778</v>
      </c>
      <c r="Z726" s="42" t="n">
        <v>45994.54996527778</v>
      </c>
      <c r="AA726" t="n">
        <v>0</v>
      </c>
      <c r="AD726" t="n">
        <v>2</v>
      </c>
      <c r="AE726" t="n">
        <v>2</v>
      </c>
      <c r="AF726" t="n">
        <v>0</v>
      </c>
      <c r="AI726" t="n">
        <v>0</v>
      </c>
      <c r="AJ726" t="n">
        <v>0</v>
      </c>
      <c r="AK726" t="n">
        <v>0</v>
      </c>
      <c r="AL726" t="n">
        <v>0</v>
      </c>
      <c r="AN726" t="n">
        <v>0</v>
      </c>
      <c r="AO726" t="n">
        <v>0</v>
      </c>
      <c r="AP726" t="n">
        <v>0</v>
      </c>
      <c r="AQ726" t="n">
        <v>24</v>
      </c>
      <c r="AR726" t="n">
        <v>0</v>
      </c>
    </row>
    <row r="727">
      <c r="A727" t="n">
        <v>193231</v>
      </c>
      <c r="B727" t="inlineStr">
        <is>
          <t>رفع کسری  - عدم نمایش نماینده واحد</t>
        </is>
      </c>
      <c r="D727" t="inlineStr">
        <is>
          <t>Medium</t>
        </is>
      </c>
      <c r="E727" t="n">
        <v>1</v>
      </c>
      <c r="F727" t="inlineStr">
        <is>
          <t>Closed</t>
        </is>
      </c>
      <c r="G727" t="inlineStr">
        <is>
          <t>Other</t>
        </is>
      </c>
      <c r="J727" t="inlineStr">
        <is>
          <t>Stagnant Archive</t>
        </is>
      </c>
      <c r="K727" t="inlineStr">
        <is>
          <t>Sp_21</t>
        </is>
      </c>
      <c r="M727" t="inlineStr">
        <is>
          <t>Hajkhalil Mehrzad</t>
        </is>
      </c>
      <c r="N727" t="inlineStr">
        <is>
          <t>Sharifi Shayan</t>
        </is>
      </c>
      <c r="O727" s="42" t="n">
        <v>45966.60907407408</v>
      </c>
      <c r="Q727" s="42" t="n">
        <v>45966.60907407408</v>
      </c>
      <c r="S727" t="n">
        <v>0</v>
      </c>
      <c r="T727" s="42" t="n">
        <v>45966.60907407408</v>
      </c>
      <c r="Z727" s="42" t="n">
        <v>45966.60907407408</v>
      </c>
      <c r="AA727" t="n">
        <v>0</v>
      </c>
      <c r="AD727" t="n">
        <v>2</v>
      </c>
      <c r="AE727" t="n">
        <v>2</v>
      </c>
      <c r="AF727" t="n">
        <v>0</v>
      </c>
      <c r="AI727" t="n">
        <v>0</v>
      </c>
      <c r="AJ727" t="n">
        <v>0</v>
      </c>
      <c r="AK727" t="n">
        <v>0</v>
      </c>
      <c r="AL727" t="n">
        <v>0</v>
      </c>
      <c r="AN727" t="n">
        <v>0</v>
      </c>
      <c r="AO727" t="n">
        <v>0</v>
      </c>
      <c r="AP727" t="n">
        <v>0</v>
      </c>
      <c r="AQ727" t="n">
        <v>24</v>
      </c>
      <c r="AR727" t="n">
        <v>0</v>
      </c>
    </row>
    <row r="728">
      <c r="A728" t="n">
        <v>193278</v>
      </c>
      <c r="B728" t="inlineStr">
        <is>
          <t>درخواست بازیابی اسناد-نتایج اسناد درخواستی-سورت براساس تاریخ و شماره کارتن بایستی باشد(نسخه184:1377)</t>
        </is>
      </c>
      <c r="D728" t="inlineStr">
        <is>
          <t>Medium</t>
        </is>
      </c>
      <c r="E728" t="n">
        <v>2</v>
      </c>
      <c r="F728" t="inlineStr">
        <is>
          <t>Closed</t>
        </is>
      </c>
      <c r="G728" t="inlineStr">
        <is>
          <t>Other</t>
        </is>
      </c>
      <c r="J728" t="inlineStr">
        <is>
          <t>Stagnant Archive</t>
        </is>
      </c>
      <c r="K728" t="inlineStr">
        <is>
          <t>Sp_22</t>
        </is>
      </c>
      <c r="M728" t="inlineStr">
        <is>
          <t>Homayoun Mohammad</t>
        </is>
      </c>
      <c r="N728" t="inlineStr">
        <is>
          <t>Monfared Mobina</t>
        </is>
      </c>
      <c r="O728" s="42" t="n">
        <v>45998.65355324074</v>
      </c>
      <c r="Q728" s="42" t="n">
        <v>45998.65355324074</v>
      </c>
      <c r="S728" t="n">
        <v>0</v>
      </c>
      <c r="T728" s="42" t="n">
        <v>45998.65355324074</v>
      </c>
      <c r="Z728" s="42" t="n">
        <v>45998.65355324074</v>
      </c>
      <c r="AA728" t="n">
        <v>0</v>
      </c>
      <c r="AD728" t="n">
        <v>2</v>
      </c>
      <c r="AE728" t="n">
        <v>2</v>
      </c>
      <c r="AF728" t="n">
        <v>0</v>
      </c>
      <c r="AI728" t="n">
        <v>0</v>
      </c>
      <c r="AJ728" t="n">
        <v>0</v>
      </c>
      <c r="AK728" t="n">
        <v>0</v>
      </c>
      <c r="AL728" t="n">
        <v>0</v>
      </c>
      <c r="AN728" t="n">
        <v>0</v>
      </c>
      <c r="AO728" t="n">
        <v>0</v>
      </c>
      <c r="AP728" t="n">
        <v>0</v>
      </c>
      <c r="AQ728" t="n">
        <v>24</v>
      </c>
      <c r="AR728" t="n">
        <v>0</v>
      </c>
    </row>
    <row r="729">
      <c r="A729" t="n">
        <v>193279</v>
      </c>
      <c r="B729" t="inlineStr">
        <is>
          <t>بازیابی-تحویل از انبار-ثبت مدرک در تب اسناد و مدارک ارور میده و ثبت نمیکنه(نسخه184:1377)</t>
        </is>
      </c>
      <c r="D729" t="inlineStr">
        <is>
          <t>Medium</t>
        </is>
      </c>
      <c r="E729" t="n">
        <v>1</v>
      </c>
      <c r="F729" t="inlineStr">
        <is>
          <t>Closed</t>
        </is>
      </c>
      <c r="G729" t="inlineStr">
        <is>
          <t>Other</t>
        </is>
      </c>
      <c r="J729" t="inlineStr">
        <is>
          <t>Stagnant Archive</t>
        </is>
      </c>
      <c r="K729" t="inlineStr">
        <is>
          <t>Sp_22</t>
        </is>
      </c>
      <c r="M729" t="inlineStr">
        <is>
          <t>Homayoun Mohammad</t>
        </is>
      </c>
      <c r="N729" t="inlineStr">
        <is>
          <t>Monfared Mobina</t>
        </is>
      </c>
      <c r="O729" s="42" t="n">
        <v>45998.71122685185</v>
      </c>
      <c r="Q729" s="42" t="n">
        <v>45998.71122685185</v>
      </c>
      <c r="S729" t="n">
        <v>0</v>
      </c>
      <c r="T729" s="42" t="n">
        <v>45998.71122685185</v>
      </c>
      <c r="Z729" s="42" t="n">
        <v>45998.71122685185</v>
      </c>
      <c r="AA729" t="n">
        <v>0</v>
      </c>
      <c r="AD729" t="n">
        <v>2</v>
      </c>
      <c r="AE729" t="n">
        <v>2</v>
      </c>
      <c r="AF729" t="n">
        <v>0</v>
      </c>
      <c r="AI729" t="n">
        <v>0</v>
      </c>
      <c r="AJ729" t="n">
        <v>0</v>
      </c>
      <c r="AK729" t="n">
        <v>0</v>
      </c>
      <c r="AL729" t="n">
        <v>0</v>
      </c>
      <c r="AN729" t="n">
        <v>0</v>
      </c>
      <c r="AO729" t="n">
        <v>0</v>
      </c>
      <c r="AP729" t="n">
        <v>0</v>
      </c>
      <c r="AQ729" t="n">
        <v>24</v>
      </c>
      <c r="AR729" t="n">
        <v>0</v>
      </c>
    </row>
    <row r="730">
      <c r="A730" t="n">
        <v>193327</v>
      </c>
      <c r="B730" t="inlineStr">
        <is>
          <t xml:space="preserve">AE_SAJA\\ خالی شدن دیتا های پر </t>
        </is>
      </c>
      <c r="D730" t="inlineStr">
        <is>
          <t>Medium</t>
        </is>
      </c>
      <c r="E730" t="n">
        <v>1</v>
      </c>
      <c r="F730" t="inlineStr">
        <is>
          <t>Removed</t>
        </is>
      </c>
      <c r="G730" t="inlineStr">
        <is>
          <t>Other</t>
        </is>
      </c>
      <c r="J730" t="inlineStr">
        <is>
          <t>Infrastructure Bizagi Extension</t>
        </is>
      </c>
      <c r="K730" t="inlineStr">
        <is>
          <t>SP-87</t>
        </is>
      </c>
      <c r="M730" t="inlineStr">
        <is>
          <t>Nemati Hasan</t>
        </is>
      </c>
      <c r="P730" s="42" t="n">
        <v>46011.4399537037</v>
      </c>
      <c r="Q730" s="42" t="n">
        <v>46011.4399537037</v>
      </c>
      <c r="S730" t="n">
        <v>0</v>
      </c>
      <c r="T730" s="42" t="n">
        <v>46011.4399537037</v>
      </c>
      <c r="AA730" t="n">
        <v>0</v>
      </c>
      <c r="AD730" t="n">
        <v>2</v>
      </c>
      <c r="AE730" t="n">
        <v>2</v>
      </c>
      <c r="AF730" t="n">
        <v>0</v>
      </c>
      <c r="AI730" t="n">
        <v>0</v>
      </c>
      <c r="AJ730" t="n">
        <v>0</v>
      </c>
      <c r="AN730" t="n">
        <v>0</v>
      </c>
      <c r="AO730" t="n">
        <v>0</v>
      </c>
      <c r="AP730" t="n">
        <v>0</v>
      </c>
      <c r="AQ730" t="n">
        <v>24</v>
      </c>
      <c r="AR730" t="n">
        <v>0</v>
      </c>
    </row>
    <row r="731">
      <c r="A731" t="n">
        <v>193333</v>
      </c>
      <c r="B731" t="inlineStr">
        <is>
          <t xml:space="preserve">هندل نشدن .Date در رول ها </t>
        </is>
      </c>
      <c r="D731" t="inlineStr">
        <is>
          <t>Medium</t>
        </is>
      </c>
      <c r="E731" t="n">
        <v>2</v>
      </c>
      <c r="F731" t="inlineStr">
        <is>
          <t>Closed</t>
        </is>
      </c>
      <c r="G731" t="inlineStr">
        <is>
          <t>Other</t>
        </is>
      </c>
      <c r="J731" t="inlineStr">
        <is>
          <t>Infrastructure Bizagi Extension</t>
        </is>
      </c>
      <c r="K731" t="inlineStr">
        <is>
          <t>SP-87</t>
        </is>
      </c>
      <c r="M731" t="inlineStr">
        <is>
          <t>Nemati Hasan</t>
        </is>
      </c>
      <c r="N731" t="inlineStr">
        <is>
          <t>Kalaei Saman</t>
        </is>
      </c>
      <c r="O731" s="42" t="n">
        <v>45984.42520833333</v>
      </c>
      <c r="Q731" s="42" t="n">
        <v>45984.42520833333</v>
      </c>
      <c r="S731" t="n">
        <v>0</v>
      </c>
      <c r="T731" s="42" t="n">
        <v>45984.42520833333</v>
      </c>
      <c r="Z731" s="42" t="n">
        <v>45984.42520833333</v>
      </c>
      <c r="AA731" t="n">
        <v>0</v>
      </c>
      <c r="AD731" t="n">
        <v>2</v>
      </c>
      <c r="AE731" t="n">
        <v>2</v>
      </c>
      <c r="AF731" t="n">
        <v>0</v>
      </c>
      <c r="AI731" t="n">
        <v>0</v>
      </c>
      <c r="AJ731" t="n">
        <v>0</v>
      </c>
      <c r="AK731" t="n">
        <v>0</v>
      </c>
      <c r="AL731" t="n">
        <v>0</v>
      </c>
      <c r="AN731" t="n">
        <v>0</v>
      </c>
      <c r="AO731" t="n">
        <v>0</v>
      </c>
      <c r="AP731" t="n">
        <v>0</v>
      </c>
      <c r="AQ731" t="n">
        <v>24</v>
      </c>
      <c r="AR731" t="n">
        <v>0</v>
      </c>
    </row>
    <row r="732">
      <c r="A732" t="n">
        <v>193349</v>
      </c>
      <c r="B732" t="inlineStr">
        <is>
          <t>AE_SAJA\\گرید مالتی سلکت سرچ سایز نمیگیری</t>
        </is>
      </c>
      <c r="D732" t="inlineStr">
        <is>
          <t>Medium</t>
        </is>
      </c>
      <c r="E732" t="n">
        <v>1</v>
      </c>
      <c r="F732" t="inlineStr">
        <is>
          <t>Closed</t>
        </is>
      </c>
      <c r="G732" t="inlineStr">
        <is>
          <t>Other</t>
        </is>
      </c>
      <c r="J732" t="inlineStr">
        <is>
          <t>Infrastructure Bizagi Extension</t>
        </is>
      </c>
      <c r="K732" t="inlineStr">
        <is>
          <t>SP-87</t>
        </is>
      </c>
      <c r="M732" t="inlineStr">
        <is>
          <t>Nemati Hasan</t>
        </is>
      </c>
      <c r="N732" t="inlineStr">
        <is>
          <t>Tedadi Abbas</t>
        </is>
      </c>
      <c r="O732" s="42" t="n">
        <v>45998.70893518518</v>
      </c>
      <c r="Q732" s="42" t="n">
        <v>45998.70893518518</v>
      </c>
      <c r="S732" t="n">
        <v>0</v>
      </c>
      <c r="T732" s="42" t="n">
        <v>45998.70893518518</v>
      </c>
      <c r="Z732" s="42" t="n">
        <v>45998.70893518518</v>
      </c>
      <c r="AA732" t="n">
        <v>0</v>
      </c>
      <c r="AD732" t="n">
        <v>2</v>
      </c>
      <c r="AE732" t="n">
        <v>2</v>
      </c>
      <c r="AF732" t="n">
        <v>0</v>
      </c>
      <c r="AI732" t="n">
        <v>0</v>
      </c>
      <c r="AJ732" t="n">
        <v>0</v>
      </c>
      <c r="AK732" t="n">
        <v>0</v>
      </c>
      <c r="AL732" t="n">
        <v>0</v>
      </c>
      <c r="AN732" t="n">
        <v>0</v>
      </c>
      <c r="AO732" t="n">
        <v>0</v>
      </c>
      <c r="AP732" t="n">
        <v>0</v>
      </c>
      <c r="AQ732" t="n">
        <v>24</v>
      </c>
      <c r="AR732" t="n">
        <v>0</v>
      </c>
    </row>
    <row r="733">
      <c r="A733" t="n">
        <v>193385</v>
      </c>
      <c r="B733" t="inlineStr">
        <is>
          <t>نوع مالکیت املاک نشانی ، در تغییرات شرکت ، رکورد نال نمایش می دهد/1365</t>
        </is>
      </c>
      <c r="D733" t="inlineStr">
        <is>
          <t>Medium</t>
        </is>
      </c>
      <c r="E733" t="n">
        <v>2</v>
      </c>
      <c r="F733" t="inlineStr">
        <is>
          <t>Closed</t>
        </is>
      </c>
      <c r="G733" t="inlineStr">
        <is>
          <t>Other</t>
        </is>
      </c>
      <c r="J733" t="inlineStr">
        <is>
          <t>Dem</t>
        </is>
      </c>
      <c r="K733" t="inlineStr">
        <is>
          <t>DemBiz</t>
        </is>
      </c>
      <c r="M733" t="inlineStr">
        <is>
          <t>Javanmardi Mojan</t>
        </is>
      </c>
      <c r="N733" t="inlineStr">
        <is>
          <t>Hajizadeh Elnaz</t>
        </is>
      </c>
      <c r="O733" s="42" t="n">
        <v>45978.42113425926</v>
      </c>
      <c r="Q733" s="42" t="n">
        <v>45978.42113425926</v>
      </c>
      <c r="S733" t="n">
        <v>0</v>
      </c>
      <c r="T733" s="42" t="n">
        <v>45978.42113425926</v>
      </c>
      <c r="Z733" s="42" t="n">
        <v>45978.42113425926</v>
      </c>
      <c r="AA733" t="n">
        <v>0</v>
      </c>
      <c r="AD733" t="n">
        <v>2</v>
      </c>
      <c r="AE733" t="n">
        <v>2</v>
      </c>
      <c r="AF733" t="n">
        <v>0</v>
      </c>
      <c r="AI733" t="n">
        <v>0</v>
      </c>
      <c r="AJ733" t="n">
        <v>0</v>
      </c>
      <c r="AK733" t="n">
        <v>0</v>
      </c>
      <c r="AL733" t="n">
        <v>0</v>
      </c>
      <c r="AN733" t="n">
        <v>0</v>
      </c>
      <c r="AO733" t="n">
        <v>0</v>
      </c>
      <c r="AP733" t="n">
        <v>0</v>
      </c>
      <c r="AQ733" t="n">
        <v>24</v>
      </c>
      <c r="AR733" t="n">
        <v>0</v>
      </c>
    </row>
    <row r="734">
      <c r="A734" t="n">
        <v>193390</v>
      </c>
      <c r="B734" t="inlineStr">
        <is>
          <t xml:space="preserve"> با تغییر سرمایه اولیه درتغییرات شرکت ، تغییرات اعمال نشده و نمایش داده نمی شود   /1365</t>
        </is>
      </c>
      <c r="D734" t="inlineStr">
        <is>
          <t>Medium</t>
        </is>
      </c>
      <c r="E734" t="n">
        <v>1</v>
      </c>
      <c r="F734" t="inlineStr">
        <is>
          <t>Closed</t>
        </is>
      </c>
      <c r="G734" t="inlineStr">
        <is>
          <t>Other</t>
        </is>
      </c>
      <c r="J734" t="inlineStr">
        <is>
          <t>Dem</t>
        </is>
      </c>
      <c r="K734" t="inlineStr">
        <is>
          <t>DemBiz</t>
        </is>
      </c>
      <c r="M734" t="inlineStr">
        <is>
          <t>Moradi Mohammad</t>
        </is>
      </c>
      <c r="N734" t="inlineStr">
        <is>
          <t>Baniamer Shaghayegh</t>
        </is>
      </c>
      <c r="O734" s="42" t="n">
        <v>45977.71980324074</v>
      </c>
      <c r="Q734" s="42" t="n">
        <v>45977.71980324074</v>
      </c>
      <c r="S734" t="n">
        <v>0</v>
      </c>
      <c r="T734" s="42" t="n">
        <v>45977.71980324074</v>
      </c>
      <c r="Z734" s="42" t="n">
        <v>45977.71980324074</v>
      </c>
      <c r="AA734" t="n">
        <v>0</v>
      </c>
      <c r="AD734" t="n">
        <v>2</v>
      </c>
      <c r="AE734" t="n">
        <v>2</v>
      </c>
      <c r="AF734" t="n">
        <v>0</v>
      </c>
      <c r="AI734" t="n">
        <v>0</v>
      </c>
      <c r="AJ734" t="n">
        <v>0</v>
      </c>
      <c r="AK734" t="n">
        <v>0</v>
      </c>
      <c r="AL734" t="n">
        <v>0</v>
      </c>
      <c r="AN734" t="n">
        <v>0</v>
      </c>
      <c r="AO734" t="n">
        <v>0</v>
      </c>
      <c r="AP734" t="n">
        <v>0</v>
      </c>
      <c r="AQ734" t="n">
        <v>24</v>
      </c>
      <c r="AR734" t="n">
        <v>0</v>
      </c>
    </row>
    <row r="735">
      <c r="A735" t="n">
        <v>193392</v>
      </c>
      <c r="B735" t="inlineStr">
        <is>
          <t xml:space="preserve">1365/گزینه ادامه ویرایش  در اسناد ، در فرم ویرایش مشتری خطا 500 می دهد </t>
        </is>
      </c>
      <c r="D735" t="inlineStr">
        <is>
          <t>Medium</t>
        </is>
      </c>
      <c r="E735" t="n">
        <v>1</v>
      </c>
      <c r="F735" t="inlineStr">
        <is>
          <t>Closed</t>
        </is>
      </c>
      <c r="G735" t="inlineStr">
        <is>
          <t>Other</t>
        </is>
      </c>
      <c r="J735" t="inlineStr">
        <is>
          <t>Dem</t>
        </is>
      </c>
      <c r="K735" t="inlineStr">
        <is>
          <t>DemBiz</t>
        </is>
      </c>
      <c r="M735" t="inlineStr">
        <is>
          <t>Moradi Mohammad</t>
        </is>
      </c>
      <c r="N735" t="inlineStr">
        <is>
          <t>Mohseni Hadise</t>
        </is>
      </c>
      <c r="O735" s="42" t="n">
        <v>45971.72145833333</v>
      </c>
      <c r="Q735" s="42" t="n">
        <v>45971.72145833333</v>
      </c>
      <c r="S735" t="n">
        <v>0</v>
      </c>
      <c r="T735" s="42" t="n">
        <v>45971.72145833333</v>
      </c>
      <c r="Z735" s="42" t="n">
        <v>45971.72145833333</v>
      </c>
      <c r="AA735" t="n">
        <v>0</v>
      </c>
      <c r="AD735" t="n">
        <v>2</v>
      </c>
      <c r="AE735" t="n">
        <v>2</v>
      </c>
      <c r="AF735" t="n">
        <v>0</v>
      </c>
      <c r="AI735" t="n">
        <v>0</v>
      </c>
      <c r="AJ735" t="n">
        <v>0</v>
      </c>
      <c r="AK735" t="n">
        <v>0</v>
      </c>
      <c r="AL735" t="n">
        <v>0</v>
      </c>
      <c r="AN735" t="n">
        <v>0</v>
      </c>
      <c r="AO735" t="n">
        <v>0</v>
      </c>
      <c r="AP735" t="n">
        <v>0</v>
      </c>
      <c r="AQ735" t="n">
        <v>24</v>
      </c>
      <c r="AR735" t="n">
        <v>0</v>
      </c>
    </row>
    <row r="736">
      <c r="A736" t="n">
        <v>193395</v>
      </c>
      <c r="B736" t="inlineStr">
        <is>
          <t>دکمه دانلود  پرونده الکترونیکی مشتری  در لینک اسناد خطا 500 می دهد /1365</t>
        </is>
      </c>
      <c r="D736" t="inlineStr">
        <is>
          <t>Medium</t>
        </is>
      </c>
      <c r="E736" t="n">
        <v>1</v>
      </c>
      <c r="F736" t="inlineStr">
        <is>
          <t>Closed</t>
        </is>
      </c>
      <c r="G736" t="inlineStr">
        <is>
          <t>Other</t>
        </is>
      </c>
      <c r="J736" t="inlineStr">
        <is>
          <t>Dem</t>
        </is>
      </c>
      <c r="K736" t="inlineStr">
        <is>
          <t>DemBiz</t>
        </is>
      </c>
      <c r="M736" t="inlineStr">
        <is>
          <t>Hoseini Fatemeh</t>
        </is>
      </c>
      <c r="N736" t="inlineStr">
        <is>
          <t>Hajizadeh Elnaz</t>
        </is>
      </c>
      <c r="O736" s="42" t="n">
        <v>45978.42782407408</v>
      </c>
      <c r="Q736" s="42" t="n">
        <v>45978.42782407408</v>
      </c>
      <c r="S736" t="n">
        <v>0</v>
      </c>
      <c r="T736" s="42" t="n">
        <v>45978.42782407408</v>
      </c>
      <c r="Z736" s="42" t="n">
        <v>45978.42782407408</v>
      </c>
      <c r="AA736" t="n">
        <v>0</v>
      </c>
      <c r="AD736" t="n">
        <v>2</v>
      </c>
      <c r="AE736" t="n">
        <v>2</v>
      </c>
      <c r="AF736" t="n">
        <v>0</v>
      </c>
      <c r="AI736" t="n">
        <v>0</v>
      </c>
      <c r="AJ736" t="n">
        <v>0</v>
      </c>
      <c r="AK736" t="n">
        <v>0</v>
      </c>
      <c r="AL736" t="n">
        <v>0</v>
      </c>
      <c r="AN736" t="n">
        <v>0</v>
      </c>
      <c r="AO736" t="n">
        <v>0</v>
      </c>
      <c r="AP736" t="n">
        <v>0</v>
      </c>
      <c r="AQ736" t="n">
        <v>24</v>
      </c>
      <c r="AR736" t="n">
        <v>0</v>
      </c>
    </row>
    <row r="737">
      <c r="A737" t="n">
        <v>193396</v>
      </c>
      <c r="B737" t="inlineStr">
        <is>
          <t>دکمه دریافت گزارشات وپیش نمایش گزارشات خطا 500 می دهد / 1365</t>
        </is>
      </c>
      <c r="D737" t="inlineStr">
        <is>
          <t>Medium</t>
        </is>
      </c>
      <c r="E737" t="n">
        <v>1</v>
      </c>
      <c r="F737" t="inlineStr">
        <is>
          <t>Closed</t>
        </is>
      </c>
      <c r="G737" t="inlineStr">
        <is>
          <t>Other</t>
        </is>
      </c>
      <c r="J737" t="inlineStr">
        <is>
          <t>Dem</t>
        </is>
      </c>
      <c r="K737" t="inlineStr">
        <is>
          <t>DemBiz</t>
        </is>
      </c>
      <c r="M737" t="inlineStr">
        <is>
          <t>Moradi Mohammad</t>
        </is>
      </c>
      <c r="N737" t="inlineStr">
        <is>
          <t>Hajizadeh Elnaz</t>
        </is>
      </c>
      <c r="O737" s="42" t="n">
        <v>45977.68773148148</v>
      </c>
      <c r="Q737" s="42" t="n">
        <v>45977.68773148148</v>
      </c>
      <c r="S737" t="n">
        <v>0</v>
      </c>
      <c r="T737" s="42" t="n">
        <v>45977.68773148148</v>
      </c>
      <c r="Z737" s="42" t="n">
        <v>45977.68773148148</v>
      </c>
      <c r="AA737" t="n">
        <v>0</v>
      </c>
      <c r="AD737" t="n">
        <v>2</v>
      </c>
      <c r="AE737" t="n">
        <v>2</v>
      </c>
      <c r="AF737" t="n">
        <v>0</v>
      </c>
      <c r="AI737" t="n">
        <v>0</v>
      </c>
      <c r="AJ737" t="n">
        <v>0</v>
      </c>
      <c r="AK737" t="n">
        <v>0</v>
      </c>
      <c r="AL737" t="n">
        <v>0</v>
      </c>
      <c r="AN737" t="n">
        <v>0</v>
      </c>
      <c r="AO737" t="n">
        <v>0</v>
      </c>
      <c r="AP737" t="n">
        <v>0</v>
      </c>
      <c r="AQ737" t="n">
        <v>24</v>
      </c>
      <c r="AR737" t="n">
        <v>0</v>
      </c>
    </row>
    <row r="738">
      <c r="A738" t="n">
        <v>193403</v>
      </c>
      <c r="B738" t="inlineStr">
        <is>
          <t xml:space="preserve">1365 / ثبت مشتری جدید در فرم ثبت گزارش نویسی ، بعداز نکست خطا 500 می دهد </t>
        </is>
      </c>
      <c r="D738" t="inlineStr">
        <is>
          <t>Medium</t>
        </is>
      </c>
      <c r="E738" t="n">
        <v>1</v>
      </c>
      <c r="F738" t="inlineStr">
        <is>
          <t>Closed</t>
        </is>
      </c>
      <c r="G738" t="inlineStr">
        <is>
          <t>Other</t>
        </is>
      </c>
      <c r="J738" t="inlineStr">
        <is>
          <t>Dem</t>
        </is>
      </c>
      <c r="K738" t="inlineStr">
        <is>
          <t>DemBiz</t>
        </is>
      </c>
      <c r="M738" t="inlineStr">
        <is>
          <t>Hoseini Fatemeh</t>
        </is>
      </c>
      <c r="N738" t="inlineStr">
        <is>
          <t>Hajizadeh Elnaz</t>
        </is>
      </c>
      <c r="O738" s="42" t="n">
        <v>45970.541875</v>
      </c>
      <c r="Q738" s="42" t="n">
        <v>45970.541875</v>
      </c>
      <c r="S738" t="n">
        <v>0</v>
      </c>
      <c r="T738" s="42" t="n">
        <v>45970.541875</v>
      </c>
      <c r="Z738" s="42" t="n">
        <v>45970.541875</v>
      </c>
      <c r="AA738" t="n">
        <v>0</v>
      </c>
      <c r="AD738" t="n">
        <v>2</v>
      </c>
      <c r="AE738" t="n">
        <v>2</v>
      </c>
      <c r="AF738" t="n">
        <v>0</v>
      </c>
      <c r="AI738" t="n">
        <v>0</v>
      </c>
      <c r="AJ738" t="n">
        <v>0</v>
      </c>
      <c r="AK738" t="n">
        <v>0</v>
      </c>
      <c r="AL738" t="n">
        <v>0</v>
      </c>
      <c r="AN738" t="n">
        <v>0</v>
      </c>
      <c r="AO738" t="n">
        <v>0</v>
      </c>
      <c r="AP738" t="n">
        <v>0</v>
      </c>
      <c r="AQ738" t="n">
        <v>24</v>
      </c>
      <c r="AR738" t="n">
        <v>0</v>
      </c>
    </row>
    <row r="739">
      <c r="A739" t="n">
        <v>193411</v>
      </c>
      <c r="B739" t="inlineStr">
        <is>
          <t xml:space="preserve">عدم شناسایی مشتری بعداز انتخاب مشتری از کمبو مشتری ، در فرم ثبت گزارش نویسی جدید /1365 </t>
        </is>
      </c>
      <c r="D739" t="inlineStr">
        <is>
          <t>Medium</t>
        </is>
      </c>
      <c r="E739" t="n">
        <v>1</v>
      </c>
      <c r="F739" t="inlineStr">
        <is>
          <t>Closed</t>
        </is>
      </c>
      <c r="G739" t="inlineStr">
        <is>
          <t>Other</t>
        </is>
      </c>
      <c r="J739" t="inlineStr">
        <is>
          <t>Dem</t>
        </is>
      </c>
      <c r="K739" t="inlineStr">
        <is>
          <t>DemBiz</t>
        </is>
      </c>
      <c r="M739" t="inlineStr">
        <is>
          <t>Moradi Mohammad</t>
        </is>
      </c>
      <c r="N739" t="inlineStr">
        <is>
          <t>Mohseni Hadise</t>
        </is>
      </c>
      <c r="O739" s="42" t="n">
        <v>45972.70402777778</v>
      </c>
      <c r="Q739" s="42" t="n">
        <v>45972.70402777778</v>
      </c>
      <c r="S739" t="n">
        <v>0</v>
      </c>
      <c r="T739" s="42" t="n">
        <v>45972.70402777778</v>
      </c>
      <c r="Z739" s="42" t="n">
        <v>45972.70402777778</v>
      </c>
      <c r="AA739" t="n">
        <v>0</v>
      </c>
      <c r="AD739" t="n">
        <v>2</v>
      </c>
      <c r="AE739" t="n">
        <v>2</v>
      </c>
      <c r="AF739" t="n">
        <v>0</v>
      </c>
      <c r="AI739" t="n">
        <v>0</v>
      </c>
      <c r="AJ739" t="n">
        <v>0</v>
      </c>
      <c r="AK739" t="n">
        <v>0</v>
      </c>
      <c r="AL739" t="n">
        <v>0</v>
      </c>
      <c r="AN739" t="n">
        <v>0</v>
      </c>
      <c r="AO739" t="n">
        <v>0</v>
      </c>
      <c r="AP739" t="n">
        <v>0</v>
      </c>
      <c r="AQ739" t="n">
        <v>24</v>
      </c>
      <c r="AR739" t="n">
        <v>0</v>
      </c>
    </row>
    <row r="740">
      <c r="A740" t="n">
        <v>193449</v>
      </c>
      <c r="B740" t="inlineStr">
        <is>
          <t xml:space="preserve">دکمه ذخیره در لینک ویرایش ، پیغام درصد وثائق می دهد  </t>
        </is>
      </c>
      <c r="D740" t="inlineStr">
        <is>
          <t>Medium</t>
        </is>
      </c>
      <c r="E740" t="n">
        <v>1</v>
      </c>
      <c r="F740" t="inlineStr">
        <is>
          <t>Closed</t>
        </is>
      </c>
      <c r="G740" t="inlineStr">
        <is>
          <t>Other</t>
        </is>
      </c>
      <c r="J740" t="inlineStr">
        <is>
          <t>Dem</t>
        </is>
      </c>
      <c r="K740" t="inlineStr">
        <is>
          <t>DemBiz</t>
        </is>
      </c>
      <c r="M740" t="inlineStr">
        <is>
          <t>Moradi Mohammad</t>
        </is>
      </c>
      <c r="N740" t="inlineStr">
        <is>
          <t>Baniamer Shaghayegh</t>
        </is>
      </c>
      <c r="O740" s="42" t="n">
        <v>45984.57238425926</v>
      </c>
      <c r="Q740" s="42" t="n">
        <v>45984.57238425926</v>
      </c>
      <c r="S740" t="n">
        <v>0</v>
      </c>
      <c r="T740" s="42" t="n">
        <v>45984.57238425926</v>
      </c>
      <c r="Z740" s="42" t="n">
        <v>45984.57238425926</v>
      </c>
      <c r="AA740" t="n">
        <v>0</v>
      </c>
      <c r="AD740" t="n">
        <v>2</v>
      </c>
      <c r="AE740" t="n">
        <v>2</v>
      </c>
      <c r="AF740" t="n">
        <v>0</v>
      </c>
      <c r="AI740" t="n">
        <v>0</v>
      </c>
      <c r="AJ740" t="n">
        <v>0</v>
      </c>
      <c r="AK740" t="n">
        <v>0</v>
      </c>
      <c r="AL740" t="n">
        <v>0</v>
      </c>
      <c r="AN740" t="n">
        <v>0</v>
      </c>
      <c r="AO740" t="n">
        <v>0</v>
      </c>
      <c r="AP740" t="n">
        <v>0</v>
      </c>
      <c r="AQ740" t="n">
        <v>24</v>
      </c>
      <c r="AR740" t="n">
        <v>0</v>
      </c>
    </row>
    <row r="741">
      <c r="A741" t="n">
        <v>193467</v>
      </c>
      <c r="B741" t="inlineStr">
        <is>
          <t xml:space="preserve"> 1377/1365/دکمه ثبت در فرم نمایش درخواست ، پیغام خطا می دهد </t>
        </is>
      </c>
      <c r="D741" t="inlineStr">
        <is>
          <t>Medium</t>
        </is>
      </c>
      <c r="E741" t="n">
        <v>1</v>
      </c>
      <c r="F741" t="inlineStr">
        <is>
          <t>Closed</t>
        </is>
      </c>
      <c r="G741" t="inlineStr">
        <is>
          <t>Other</t>
        </is>
      </c>
      <c r="J741" t="inlineStr">
        <is>
          <t>Dem</t>
        </is>
      </c>
      <c r="K741" t="inlineStr">
        <is>
          <t>DemBiz</t>
        </is>
      </c>
      <c r="M741" t="inlineStr">
        <is>
          <t>Hoseini Fatemeh</t>
        </is>
      </c>
      <c r="N741" t="inlineStr">
        <is>
          <t>Baniamer Shaghayegh</t>
        </is>
      </c>
      <c r="O741" s="42" t="n">
        <v>45979.80658564815</v>
      </c>
      <c r="Q741" s="42" t="n">
        <v>45979.80658564815</v>
      </c>
      <c r="S741" t="n">
        <v>0</v>
      </c>
      <c r="T741" s="42" t="n">
        <v>45979.80658564815</v>
      </c>
      <c r="Z741" s="42" t="n">
        <v>45979.80658564815</v>
      </c>
      <c r="AA741" t="n">
        <v>0</v>
      </c>
      <c r="AD741" t="n">
        <v>2</v>
      </c>
      <c r="AE741" t="n">
        <v>2</v>
      </c>
      <c r="AF741" t="n">
        <v>0</v>
      </c>
      <c r="AI741" t="n">
        <v>0</v>
      </c>
      <c r="AJ741" t="n">
        <v>0</v>
      </c>
      <c r="AK741" t="n">
        <v>0</v>
      </c>
      <c r="AL741" t="n">
        <v>0</v>
      </c>
      <c r="AN741" t="n">
        <v>0</v>
      </c>
      <c r="AO741" t="n">
        <v>0</v>
      </c>
      <c r="AP741" t="n">
        <v>0</v>
      </c>
      <c r="AQ741" t="n">
        <v>24</v>
      </c>
      <c r="AR741" t="n">
        <v>0</v>
      </c>
    </row>
    <row r="742">
      <c r="A742" t="n">
        <v>193489</v>
      </c>
      <c r="B742" t="inlineStr">
        <is>
          <t>کمبو نوع گشایش  در حجم گشایش اعتبارات اسنادی   باگ ظاهری دارد/1365</t>
        </is>
      </c>
      <c r="D742" t="inlineStr">
        <is>
          <t>Medium</t>
        </is>
      </c>
      <c r="E742" t="n">
        <v>1</v>
      </c>
      <c r="F742" t="inlineStr">
        <is>
          <t>Closed</t>
        </is>
      </c>
      <c r="G742" t="inlineStr">
        <is>
          <t>Other</t>
        </is>
      </c>
      <c r="J742" t="inlineStr">
        <is>
          <t>Dem</t>
        </is>
      </c>
      <c r="K742" t="inlineStr">
        <is>
          <t>DemBiz</t>
        </is>
      </c>
      <c r="M742" t="inlineStr">
        <is>
          <t>Javanmardi Mojan</t>
        </is>
      </c>
      <c r="N742" t="inlineStr">
        <is>
          <t>Baniamer Shaghayegh</t>
        </is>
      </c>
      <c r="O742" s="42" t="n">
        <v>45973.68481481481</v>
      </c>
      <c r="Q742" s="42" t="n">
        <v>45973.68481481481</v>
      </c>
      <c r="S742" t="n">
        <v>0</v>
      </c>
      <c r="T742" s="42" t="n">
        <v>45973.68481481481</v>
      </c>
      <c r="Z742" s="42" t="n">
        <v>45973.68481481481</v>
      </c>
      <c r="AA742" t="n">
        <v>0</v>
      </c>
      <c r="AD742" t="n">
        <v>2</v>
      </c>
      <c r="AE742" t="n">
        <v>2</v>
      </c>
      <c r="AF742" t="n">
        <v>0</v>
      </c>
      <c r="AI742" t="n">
        <v>0</v>
      </c>
      <c r="AJ742" t="n">
        <v>0</v>
      </c>
      <c r="AK742" t="n">
        <v>0</v>
      </c>
      <c r="AL742" t="n">
        <v>0</v>
      </c>
      <c r="AN742" t="n">
        <v>0</v>
      </c>
      <c r="AO742" t="n">
        <v>0</v>
      </c>
      <c r="AP742" t="n">
        <v>0</v>
      </c>
      <c r="AQ742" t="n">
        <v>24</v>
      </c>
      <c r="AR742" t="n">
        <v>0</v>
      </c>
    </row>
    <row r="743">
      <c r="A743" t="n">
        <v>193491</v>
      </c>
      <c r="B743" t="inlineStr">
        <is>
          <t>کمبو حجم ضمانت نامه در حجم ضمانت نامه هاباگ ظاهری دارد/1365</t>
        </is>
      </c>
      <c r="D743" t="inlineStr">
        <is>
          <t>Medium</t>
        </is>
      </c>
      <c r="E743" t="n">
        <v>1</v>
      </c>
      <c r="F743" t="inlineStr">
        <is>
          <t>Closed</t>
        </is>
      </c>
      <c r="G743" t="inlineStr">
        <is>
          <t>Other</t>
        </is>
      </c>
      <c r="J743" t="inlineStr">
        <is>
          <t>Dem</t>
        </is>
      </c>
      <c r="K743" t="inlineStr">
        <is>
          <t>DemBiz</t>
        </is>
      </c>
      <c r="M743" t="inlineStr">
        <is>
          <t>Javanmardi Mojan</t>
        </is>
      </c>
      <c r="N743" t="inlineStr">
        <is>
          <t>Baniamer Shaghayegh</t>
        </is>
      </c>
      <c r="O743" s="42" t="n">
        <v>45973.68497685185</v>
      </c>
      <c r="Q743" s="42" t="n">
        <v>45973.68497685185</v>
      </c>
      <c r="S743" t="n">
        <v>0</v>
      </c>
      <c r="T743" s="42" t="n">
        <v>45973.68497685185</v>
      </c>
      <c r="Z743" s="42" t="n">
        <v>45973.68497685185</v>
      </c>
      <c r="AA743" t="n">
        <v>0</v>
      </c>
      <c r="AD743" t="n">
        <v>2</v>
      </c>
      <c r="AE743" t="n">
        <v>2</v>
      </c>
      <c r="AF743" t="n">
        <v>0</v>
      </c>
      <c r="AI743" t="n">
        <v>0</v>
      </c>
      <c r="AJ743" t="n">
        <v>0</v>
      </c>
      <c r="AK743" t="n">
        <v>0</v>
      </c>
      <c r="AL743" t="n">
        <v>0</v>
      </c>
      <c r="AN743" t="n">
        <v>0</v>
      </c>
      <c r="AO743" t="n">
        <v>0</v>
      </c>
      <c r="AP743" t="n">
        <v>0</v>
      </c>
      <c r="AQ743" t="n">
        <v>24</v>
      </c>
      <c r="AR743" t="n">
        <v>0</v>
      </c>
    </row>
    <row r="744">
      <c r="A744" t="n">
        <v>193503</v>
      </c>
      <c r="B744" t="inlineStr">
        <is>
          <t>در وضعیت حساب با کلیک بر کمبو های نام صاحب حساب و نوع حساب ، گیرید حذف می شود /1365</t>
        </is>
      </c>
      <c r="D744" t="inlineStr">
        <is>
          <t>Medium</t>
        </is>
      </c>
      <c r="E744" t="n">
        <v>1</v>
      </c>
      <c r="F744" t="inlineStr">
        <is>
          <t>Closed</t>
        </is>
      </c>
      <c r="G744" t="inlineStr">
        <is>
          <t>Other</t>
        </is>
      </c>
      <c r="J744" t="inlineStr">
        <is>
          <t>Dem</t>
        </is>
      </c>
      <c r="K744" t="inlineStr">
        <is>
          <t>DemBiz</t>
        </is>
      </c>
      <c r="M744" t="inlineStr">
        <is>
          <t>Moradi Mohammad</t>
        </is>
      </c>
      <c r="N744" t="inlineStr">
        <is>
          <t>Hajizadeh Elnaz</t>
        </is>
      </c>
      <c r="O744" s="42" t="n">
        <v>45973.56378472222</v>
      </c>
      <c r="Q744" s="42" t="n">
        <v>45973.56378472222</v>
      </c>
      <c r="S744" t="n">
        <v>0</v>
      </c>
      <c r="T744" s="42" t="n">
        <v>45973.56378472222</v>
      </c>
      <c r="Z744" s="42" t="n">
        <v>45973.56378472222</v>
      </c>
      <c r="AA744" t="n">
        <v>0</v>
      </c>
      <c r="AD744" t="n">
        <v>2</v>
      </c>
      <c r="AE744" t="n">
        <v>2</v>
      </c>
      <c r="AF744" t="n">
        <v>0</v>
      </c>
      <c r="AI744" t="n">
        <v>0</v>
      </c>
      <c r="AJ744" t="n">
        <v>0</v>
      </c>
      <c r="AK744" t="n">
        <v>0</v>
      </c>
      <c r="AL744" t="n">
        <v>0</v>
      </c>
      <c r="AN744" t="n">
        <v>0</v>
      </c>
      <c r="AO744" t="n">
        <v>0</v>
      </c>
      <c r="AP744" t="n">
        <v>0</v>
      </c>
      <c r="AQ744" t="n">
        <v>24</v>
      </c>
      <c r="AR744" t="n">
        <v>0</v>
      </c>
    </row>
    <row r="745">
      <c r="A745" t="n">
        <v>193512</v>
      </c>
      <c r="B745" t="inlineStr">
        <is>
          <t>1365/اتچ فایل در معرفی نامه خطا 500 می دهد</t>
        </is>
      </c>
      <c r="D745" t="inlineStr">
        <is>
          <t>Medium</t>
        </is>
      </c>
      <c r="E745" t="n">
        <v>1</v>
      </c>
      <c r="F745" t="inlineStr">
        <is>
          <t>Closed</t>
        </is>
      </c>
      <c r="G745" t="inlineStr">
        <is>
          <t>Other</t>
        </is>
      </c>
      <c r="J745" t="inlineStr">
        <is>
          <t>Dem</t>
        </is>
      </c>
      <c r="K745" t="inlineStr">
        <is>
          <t>DemBiz</t>
        </is>
      </c>
      <c r="M745" t="inlineStr">
        <is>
          <t>Moradi Mohammad</t>
        </is>
      </c>
      <c r="N745" t="inlineStr">
        <is>
          <t>Hajizadeh Elnaz</t>
        </is>
      </c>
      <c r="O745" s="42" t="n">
        <v>45970.68385416667</v>
      </c>
      <c r="Q745" s="42" t="n">
        <v>45970.68385416667</v>
      </c>
      <c r="S745" t="n">
        <v>0</v>
      </c>
      <c r="T745" s="42" t="n">
        <v>45970.68385416667</v>
      </c>
      <c r="Z745" s="42" t="n">
        <v>45970.68385416667</v>
      </c>
      <c r="AA745" t="n">
        <v>0</v>
      </c>
      <c r="AD745" t="n">
        <v>2</v>
      </c>
      <c r="AE745" t="n">
        <v>2</v>
      </c>
      <c r="AF745" t="n">
        <v>0</v>
      </c>
      <c r="AI745" t="n">
        <v>0</v>
      </c>
      <c r="AJ745" t="n">
        <v>0</v>
      </c>
      <c r="AK745" t="n">
        <v>0</v>
      </c>
      <c r="AL745" t="n">
        <v>0</v>
      </c>
      <c r="AN745" t="n">
        <v>0</v>
      </c>
      <c r="AO745" t="n">
        <v>0</v>
      </c>
      <c r="AP745" t="n">
        <v>0</v>
      </c>
      <c r="AQ745" t="n">
        <v>24</v>
      </c>
      <c r="AR745" t="n">
        <v>0</v>
      </c>
    </row>
    <row r="746">
      <c r="A746" t="n">
        <v>193518</v>
      </c>
      <c r="B746" t="inlineStr">
        <is>
          <t xml:space="preserve">1365/اتچ کردن فایل در مکاتبات خطا 500 می دهد </t>
        </is>
      </c>
      <c r="D746" t="inlineStr">
        <is>
          <t>Medium</t>
        </is>
      </c>
      <c r="E746" t="n">
        <v>1</v>
      </c>
      <c r="F746" t="inlineStr">
        <is>
          <t>Closed</t>
        </is>
      </c>
      <c r="G746" t="inlineStr">
        <is>
          <t>Other</t>
        </is>
      </c>
      <c r="J746" t="inlineStr">
        <is>
          <t>Dem</t>
        </is>
      </c>
      <c r="K746" t="inlineStr">
        <is>
          <t>DemBiz</t>
        </is>
      </c>
      <c r="M746" t="inlineStr">
        <is>
          <t>Moradi Mohammad</t>
        </is>
      </c>
      <c r="N746" t="inlineStr">
        <is>
          <t>Hajizadeh Elnaz</t>
        </is>
      </c>
      <c r="O746" s="42" t="n">
        <v>45970.68116898148</v>
      </c>
      <c r="Q746" s="42" t="n">
        <v>45970.68116898148</v>
      </c>
      <c r="S746" t="n">
        <v>0</v>
      </c>
      <c r="T746" s="42" t="n">
        <v>45970.68116898148</v>
      </c>
      <c r="Z746" s="42" t="n">
        <v>45970.68116898148</v>
      </c>
      <c r="AA746" t="n">
        <v>0</v>
      </c>
      <c r="AD746" t="n">
        <v>2</v>
      </c>
      <c r="AE746" t="n">
        <v>2</v>
      </c>
      <c r="AF746" t="n">
        <v>0</v>
      </c>
      <c r="AI746" t="n">
        <v>0</v>
      </c>
      <c r="AJ746" t="n">
        <v>0</v>
      </c>
      <c r="AK746" t="n">
        <v>0</v>
      </c>
      <c r="AL746" t="n">
        <v>0</v>
      </c>
      <c r="AN746" t="n">
        <v>0</v>
      </c>
      <c r="AO746" t="n">
        <v>0</v>
      </c>
      <c r="AP746" t="n">
        <v>0</v>
      </c>
      <c r="AQ746" t="n">
        <v>24</v>
      </c>
      <c r="AR746" t="n">
        <v>0</v>
      </c>
    </row>
    <row r="747">
      <c r="A747" t="n">
        <v>193528</v>
      </c>
      <c r="B747" t="inlineStr">
        <is>
          <t xml:space="preserve">1365/اتچ فایل درثبت بازدیدازمحل فعالیت در فرم تکمیل اطلاعات ،  خطا 500 می دهد </t>
        </is>
      </c>
      <c r="D747" t="inlineStr">
        <is>
          <t>Medium</t>
        </is>
      </c>
      <c r="E747" t="n">
        <v>1</v>
      </c>
      <c r="F747" t="inlineStr">
        <is>
          <t>Closed</t>
        </is>
      </c>
      <c r="G747" t="inlineStr">
        <is>
          <t>Other</t>
        </is>
      </c>
      <c r="J747" t="inlineStr">
        <is>
          <t>Dem</t>
        </is>
      </c>
      <c r="K747" t="inlineStr">
        <is>
          <t>DemBiz</t>
        </is>
      </c>
      <c r="M747" t="inlineStr">
        <is>
          <t>Moradi Mohammad</t>
        </is>
      </c>
      <c r="N747" t="inlineStr">
        <is>
          <t>Hajizadeh Elnaz</t>
        </is>
      </c>
      <c r="O747" s="42" t="n">
        <v>45970.68398148148</v>
      </c>
      <c r="Q747" s="42" t="n">
        <v>45970.68398148148</v>
      </c>
      <c r="S747" t="n">
        <v>0</v>
      </c>
      <c r="T747" s="42" t="n">
        <v>45970.68398148148</v>
      </c>
      <c r="Z747" s="42" t="n">
        <v>45970.68398148148</v>
      </c>
      <c r="AA747" t="n">
        <v>0</v>
      </c>
      <c r="AD747" t="n">
        <v>2</v>
      </c>
      <c r="AE747" t="n">
        <v>2</v>
      </c>
      <c r="AF747" t="n">
        <v>0</v>
      </c>
      <c r="AI747" t="n">
        <v>0</v>
      </c>
      <c r="AJ747" t="n">
        <v>0</v>
      </c>
      <c r="AK747" t="n">
        <v>0</v>
      </c>
      <c r="AL747" t="n">
        <v>0</v>
      </c>
      <c r="AN747" t="n">
        <v>0</v>
      </c>
      <c r="AO747" t="n">
        <v>0</v>
      </c>
      <c r="AP747" t="n">
        <v>0</v>
      </c>
      <c r="AQ747" t="n">
        <v>24</v>
      </c>
      <c r="AR747" t="n">
        <v>0</v>
      </c>
    </row>
    <row r="748">
      <c r="A748" t="n">
        <v>193548</v>
      </c>
      <c r="B748" t="inlineStr">
        <is>
          <t>مدیریت کاربران_غیر فعال کردن</t>
        </is>
      </c>
      <c r="D748" t="inlineStr">
        <is>
          <t>Medium</t>
        </is>
      </c>
      <c r="E748" t="n">
        <v>1</v>
      </c>
      <c r="F748" t="inlineStr">
        <is>
          <t>Ready for Retest</t>
        </is>
      </c>
      <c r="G748" t="inlineStr">
        <is>
          <t>Other</t>
        </is>
      </c>
      <c r="J748" t="inlineStr">
        <is>
          <t>Transportation</t>
        </is>
      </c>
      <c r="K748" t="inlineStr">
        <is>
          <t>Sp_25</t>
        </is>
      </c>
      <c r="M748" t="inlineStr">
        <is>
          <t>Navab Erfan</t>
        </is>
      </c>
      <c r="Q748" s="42" t="n">
        <v>46015.65965277778</v>
      </c>
      <c r="S748" t="n">
        <v>0</v>
      </c>
      <c r="T748" s="42" t="n">
        <v>46015.65965277778</v>
      </c>
      <c r="AA748" t="n">
        <v>0</v>
      </c>
      <c r="AD748" t="n">
        <v>2</v>
      </c>
      <c r="AE748" t="n">
        <v>2</v>
      </c>
      <c r="AF748" t="n">
        <v>0</v>
      </c>
      <c r="AI748" t="n">
        <v>0</v>
      </c>
      <c r="AJ748" t="n">
        <v>0</v>
      </c>
      <c r="AN748" t="n">
        <v>0</v>
      </c>
      <c r="AO748" t="n">
        <v>0</v>
      </c>
      <c r="AP748" t="n">
        <v>0</v>
      </c>
      <c r="AQ748" t="n">
        <v>24</v>
      </c>
      <c r="AR748" t="n">
        <v>0</v>
      </c>
    </row>
    <row r="749">
      <c r="A749" t="n">
        <v>193549</v>
      </c>
      <c r="B749" t="inlineStr">
        <is>
          <t xml:space="preserve">لیست خودرو - فیلتر جستجو در بالای فرم لیست خودرو </t>
        </is>
      </c>
      <c r="D749" t="inlineStr">
        <is>
          <t>Medium</t>
        </is>
      </c>
      <c r="E749" t="n">
        <v>2</v>
      </c>
      <c r="F749" t="inlineStr">
        <is>
          <t>New</t>
        </is>
      </c>
      <c r="G749" t="inlineStr">
        <is>
          <t>Other</t>
        </is>
      </c>
      <c r="J749" t="inlineStr">
        <is>
          <t>Transportation</t>
        </is>
      </c>
      <c r="K749" t="inlineStr">
        <is>
          <t>Sp_24</t>
        </is>
      </c>
      <c r="M749" t="inlineStr">
        <is>
          <t>Navab Erfan</t>
        </is>
      </c>
      <c r="Q749" s="42" t="n">
        <v>45969.5778587963</v>
      </c>
      <c r="S749" t="n">
        <v>0</v>
      </c>
      <c r="T749" s="42" t="n">
        <v>45969.5778587963</v>
      </c>
      <c r="AA749" t="n">
        <v>0</v>
      </c>
      <c r="AD749" t="n">
        <v>2</v>
      </c>
      <c r="AE749" t="n">
        <v>2</v>
      </c>
      <c r="AF749" t="n">
        <v>0</v>
      </c>
      <c r="AI749" t="n">
        <v>0</v>
      </c>
      <c r="AJ749" t="n">
        <v>0</v>
      </c>
      <c r="AM749" t="n">
        <v>48</v>
      </c>
      <c r="AN749" t="n">
        <v>0</v>
      </c>
      <c r="AO749" t="n">
        <v>0</v>
      </c>
      <c r="AP749" t="n">
        <v>0</v>
      </c>
      <c r="AQ749" t="n">
        <v>24</v>
      </c>
      <c r="AR749" t="n">
        <v>0</v>
      </c>
    </row>
    <row r="750">
      <c r="A750" t="n">
        <v>193555</v>
      </c>
      <c r="B750" t="inlineStr">
        <is>
          <t xml:space="preserve">1365/با ویرایش مجموع مبلغ درلینک ویرایش، درفرم نمایش درخواست مجموع مبلغ 0 می شود </t>
        </is>
      </c>
      <c r="D750" t="inlineStr">
        <is>
          <t>Medium</t>
        </is>
      </c>
      <c r="E750" t="n">
        <v>1</v>
      </c>
      <c r="F750" t="inlineStr">
        <is>
          <t>Closed</t>
        </is>
      </c>
      <c r="G750" t="inlineStr">
        <is>
          <t>Other</t>
        </is>
      </c>
      <c r="J750" t="inlineStr">
        <is>
          <t>Dem</t>
        </is>
      </c>
      <c r="K750" t="inlineStr">
        <is>
          <t>DemBiz</t>
        </is>
      </c>
      <c r="M750" t="inlineStr">
        <is>
          <t>Arshi Mahmood</t>
        </is>
      </c>
      <c r="N750" t="inlineStr">
        <is>
          <t>Hajizadeh Elnaz</t>
        </is>
      </c>
      <c r="O750" s="42" t="n">
        <v>45976.54016203704</v>
      </c>
      <c r="Q750" s="42" t="n">
        <v>45976.54016203704</v>
      </c>
      <c r="S750" t="n">
        <v>0</v>
      </c>
      <c r="T750" s="42" t="n">
        <v>45976.54016203704</v>
      </c>
      <c r="Z750" s="42" t="n">
        <v>45976.54016203704</v>
      </c>
      <c r="AA750" t="n">
        <v>0</v>
      </c>
      <c r="AD750" t="n">
        <v>2</v>
      </c>
      <c r="AE750" t="n">
        <v>2</v>
      </c>
      <c r="AF750" t="n">
        <v>0</v>
      </c>
      <c r="AI750" t="n">
        <v>0</v>
      </c>
      <c r="AJ750" t="n">
        <v>0</v>
      </c>
      <c r="AK750" t="n">
        <v>0</v>
      </c>
      <c r="AL750" t="n">
        <v>0</v>
      </c>
      <c r="AN750" t="n">
        <v>0</v>
      </c>
      <c r="AO750" t="n">
        <v>0</v>
      </c>
      <c r="AP750" t="n">
        <v>0</v>
      </c>
      <c r="AQ750" t="n">
        <v>24</v>
      </c>
      <c r="AR750" t="n">
        <v>0</v>
      </c>
    </row>
    <row r="751">
      <c r="A751" t="n">
        <v>193556</v>
      </c>
      <c r="B751" t="inlineStr">
        <is>
          <t xml:space="preserve">1365 / نمایش اشتباه پیام جزییات پابلیش  در نمایش  جزییات </t>
        </is>
      </c>
      <c r="D751" t="inlineStr">
        <is>
          <t>Medium</t>
        </is>
      </c>
      <c r="E751" t="n">
        <v>2</v>
      </c>
      <c r="F751" t="inlineStr">
        <is>
          <t>Closed</t>
        </is>
      </c>
      <c r="G751" t="inlineStr">
        <is>
          <t>Other</t>
        </is>
      </c>
      <c r="J751" t="inlineStr">
        <is>
          <t>Dem</t>
        </is>
      </c>
      <c r="K751" t="inlineStr">
        <is>
          <t>DemBiz</t>
        </is>
      </c>
      <c r="M751" t="inlineStr">
        <is>
          <t>Baniamer Shaghayegh</t>
        </is>
      </c>
      <c r="N751" t="inlineStr">
        <is>
          <t>Hoseini Fatemeh</t>
        </is>
      </c>
      <c r="O751" s="42" t="n">
        <v>45977.83555555555</v>
      </c>
      <c r="Q751" s="42" t="n">
        <v>45977.83555555555</v>
      </c>
      <c r="S751" t="n">
        <v>0</v>
      </c>
      <c r="T751" s="42" t="n">
        <v>45977.83555555555</v>
      </c>
      <c r="Z751" s="42" t="n">
        <v>45977.83555555555</v>
      </c>
      <c r="AA751" t="n">
        <v>0</v>
      </c>
      <c r="AD751" t="n">
        <v>2</v>
      </c>
      <c r="AE751" t="n">
        <v>2</v>
      </c>
      <c r="AF751" t="n">
        <v>0</v>
      </c>
      <c r="AI751" t="n">
        <v>0</v>
      </c>
      <c r="AJ751" t="n">
        <v>0</v>
      </c>
      <c r="AK751" t="n">
        <v>0</v>
      </c>
      <c r="AL751" t="n">
        <v>0</v>
      </c>
      <c r="AN751" t="n">
        <v>0</v>
      </c>
      <c r="AO751" t="n">
        <v>0</v>
      </c>
      <c r="AP751" t="n">
        <v>0</v>
      </c>
      <c r="AQ751" t="n">
        <v>24</v>
      </c>
      <c r="AR751" t="n">
        <v>0</v>
      </c>
    </row>
    <row r="752">
      <c r="A752" t="n">
        <v>193563</v>
      </c>
      <c r="B752" t="inlineStr">
        <is>
          <t>با انتخاب مشتری از کمبو مشتری در فرم ثبت گزارش نویسی جدید خطا 500 می دهد/1365</t>
        </is>
      </c>
      <c r="D752" t="inlineStr">
        <is>
          <t>Medium</t>
        </is>
      </c>
      <c r="E752" t="n">
        <v>2</v>
      </c>
      <c r="F752" t="inlineStr">
        <is>
          <t>Closed</t>
        </is>
      </c>
      <c r="G752" t="inlineStr">
        <is>
          <t>Other</t>
        </is>
      </c>
      <c r="J752" t="inlineStr">
        <is>
          <t>Dem</t>
        </is>
      </c>
      <c r="K752" t="inlineStr">
        <is>
          <t>DemBiz</t>
        </is>
      </c>
      <c r="M752" t="inlineStr">
        <is>
          <t>Moradi Mohammad</t>
        </is>
      </c>
      <c r="N752" t="inlineStr">
        <is>
          <t>Mohseni Hadise</t>
        </is>
      </c>
      <c r="O752" s="42" t="n">
        <v>45971.70315972222</v>
      </c>
      <c r="Q752" s="42" t="n">
        <v>45971.70315972222</v>
      </c>
      <c r="S752" t="n">
        <v>0</v>
      </c>
      <c r="T752" s="42" t="n">
        <v>45971.70315972222</v>
      </c>
      <c r="Z752" s="42" t="n">
        <v>45971.70315972222</v>
      </c>
      <c r="AA752" t="n">
        <v>0</v>
      </c>
      <c r="AD752" t="n">
        <v>2</v>
      </c>
      <c r="AE752" t="n">
        <v>2</v>
      </c>
      <c r="AF752" t="n">
        <v>0</v>
      </c>
      <c r="AI752" t="n">
        <v>0</v>
      </c>
      <c r="AJ752" t="n">
        <v>0</v>
      </c>
      <c r="AK752" t="n">
        <v>0</v>
      </c>
      <c r="AL752" t="n">
        <v>0</v>
      </c>
      <c r="AN752" t="n">
        <v>0</v>
      </c>
      <c r="AO752" t="n">
        <v>0</v>
      </c>
      <c r="AP752" t="n">
        <v>0</v>
      </c>
      <c r="AQ752" t="n">
        <v>24</v>
      </c>
      <c r="AR752" t="n">
        <v>0</v>
      </c>
    </row>
    <row r="753">
      <c r="A753" t="n">
        <v>193573</v>
      </c>
      <c r="B753" t="inlineStr">
        <is>
          <t xml:space="preserve">1365/دکمه محاسبه نسبت های مالی در فرم لینک ثبت هم زمان صورت مالی جزئیات خطا 500 می دهد </t>
        </is>
      </c>
      <c r="D753" t="inlineStr">
        <is>
          <t>Medium</t>
        </is>
      </c>
      <c r="E753" t="n">
        <v>1</v>
      </c>
      <c r="F753" t="inlineStr">
        <is>
          <t>Closed</t>
        </is>
      </c>
      <c r="G753" t="inlineStr">
        <is>
          <t>Other</t>
        </is>
      </c>
      <c r="J753" t="inlineStr">
        <is>
          <t>Dem</t>
        </is>
      </c>
      <c r="K753" t="inlineStr">
        <is>
          <t>DemBiz</t>
        </is>
      </c>
      <c r="M753" t="inlineStr">
        <is>
          <t>Moradi Mohammad</t>
        </is>
      </c>
      <c r="N753" t="inlineStr">
        <is>
          <t>Hajizadeh Elnaz</t>
        </is>
      </c>
      <c r="O753" s="42" t="n">
        <v>45973.39972222222</v>
      </c>
      <c r="Q753" s="42" t="n">
        <v>45973.39972222222</v>
      </c>
      <c r="S753" t="n">
        <v>0</v>
      </c>
      <c r="T753" s="42" t="n">
        <v>45973.39972222222</v>
      </c>
      <c r="Z753" s="42" t="n">
        <v>45973.39972222222</v>
      </c>
      <c r="AA753" t="n">
        <v>0</v>
      </c>
      <c r="AD753" t="n">
        <v>2</v>
      </c>
      <c r="AE753" t="n">
        <v>2</v>
      </c>
      <c r="AF753" t="n">
        <v>0</v>
      </c>
      <c r="AI753" t="n">
        <v>0</v>
      </c>
      <c r="AJ753" t="n">
        <v>0</v>
      </c>
      <c r="AK753" t="n">
        <v>0</v>
      </c>
      <c r="AL753" t="n">
        <v>0</v>
      </c>
      <c r="AN753" t="n">
        <v>0</v>
      </c>
      <c r="AO753" t="n">
        <v>0</v>
      </c>
      <c r="AP753" t="n">
        <v>0</v>
      </c>
      <c r="AQ753" t="n">
        <v>24</v>
      </c>
      <c r="AR753" t="n">
        <v>0</v>
      </c>
    </row>
    <row r="754">
      <c r="A754" t="n">
        <v>193579</v>
      </c>
      <c r="B754" t="inlineStr">
        <is>
          <t xml:space="preserve">1365/دکمه انصراف و بازگشت در فرم  ثبت هم زمان صورت مالی جزئیات خطا 500 می دهد </t>
        </is>
      </c>
      <c r="D754" t="inlineStr">
        <is>
          <t>Medium</t>
        </is>
      </c>
      <c r="E754" t="n">
        <v>1</v>
      </c>
      <c r="F754" t="inlineStr">
        <is>
          <t>Closed</t>
        </is>
      </c>
      <c r="G754" t="inlineStr">
        <is>
          <t>Other</t>
        </is>
      </c>
      <c r="J754" t="inlineStr">
        <is>
          <t>Dem</t>
        </is>
      </c>
      <c r="K754" t="inlineStr">
        <is>
          <t>DemBiz</t>
        </is>
      </c>
      <c r="M754" t="inlineStr">
        <is>
          <t>Moradi Mohammad</t>
        </is>
      </c>
      <c r="N754" t="inlineStr">
        <is>
          <t>Mohseni Hadise</t>
        </is>
      </c>
      <c r="O754" s="42" t="n">
        <v>45971.70245370371</v>
      </c>
      <c r="Q754" s="42" t="n">
        <v>45971.70245370371</v>
      </c>
      <c r="S754" t="n">
        <v>0</v>
      </c>
      <c r="T754" s="42" t="n">
        <v>45971.70245370371</v>
      </c>
      <c r="Z754" s="42" t="n">
        <v>45971.70245370371</v>
      </c>
      <c r="AA754" t="n">
        <v>0</v>
      </c>
      <c r="AD754" t="n">
        <v>2</v>
      </c>
      <c r="AE754" t="n">
        <v>2</v>
      </c>
      <c r="AF754" t="n">
        <v>0</v>
      </c>
      <c r="AI754" t="n">
        <v>0</v>
      </c>
      <c r="AJ754" t="n">
        <v>0</v>
      </c>
      <c r="AK754" t="n">
        <v>0</v>
      </c>
      <c r="AL754" t="n">
        <v>0</v>
      </c>
      <c r="AN754" t="n">
        <v>0</v>
      </c>
      <c r="AO754" t="n">
        <v>0</v>
      </c>
      <c r="AP754" t="n">
        <v>0</v>
      </c>
      <c r="AQ754" t="n">
        <v>24</v>
      </c>
      <c r="AR754" t="n">
        <v>0</v>
      </c>
    </row>
    <row r="755">
      <c r="A755" t="n">
        <v>193838</v>
      </c>
      <c r="B755" t="inlineStr">
        <is>
          <t>ذخیره کردن فایل وورد نظریه کارشناسی خطا 500  می دهد/ 1365</t>
        </is>
      </c>
      <c r="D755" t="inlineStr">
        <is>
          <t>Medium</t>
        </is>
      </c>
      <c r="E755" t="n">
        <v>1</v>
      </c>
      <c r="F755" t="inlineStr">
        <is>
          <t>Closed</t>
        </is>
      </c>
      <c r="G755" t="inlineStr">
        <is>
          <t>Other</t>
        </is>
      </c>
      <c r="J755" t="inlineStr">
        <is>
          <t>Dem</t>
        </is>
      </c>
      <c r="K755" t="inlineStr">
        <is>
          <t>DemBiz</t>
        </is>
      </c>
      <c r="M755" t="inlineStr">
        <is>
          <t>Hoseini Fatemeh</t>
        </is>
      </c>
      <c r="N755" t="inlineStr">
        <is>
          <t>Hajizadeh Elnaz</t>
        </is>
      </c>
      <c r="O755" s="42" t="n">
        <v>45970.53556712963</v>
      </c>
      <c r="Q755" s="42" t="n">
        <v>45970.53556712963</v>
      </c>
      <c r="S755" t="n">
        <v>0</v>
      </c>
      <c r="T755" s="42" t="n">
        <v>45970.53556712963</v>
      </c>
      <c r="Z755" s="42" t="n">
        <v>45970.53556712963</v>
      </c>
      <c r="AA755" t="n">
        <v>0</v>
      </c>
      <c r="AD755" t="n">
        <v>2</v>
      </c>
      <c r="AE755" t="n">
        <v>2</v>
      </c>
      <c r="AF755" t="n">
        <v>0</v>
      </c>
      <c r="AI755" t="n">
        <v>0</v>
      </c>
      <c r="AJ755" t="n">
        <v>0</v>
      </c>
      <c r="AK755" t="n">
        <v>0</v>
      </c>
      <c r="AL755" t="n">
        <v>0</v>
      </c>
      <c r="AN755" t="n">
        <v>0</v>
      </c>
      <c r="AO755" t="n">
        <v>0</v>
      </c>
      <c r="AP755" t="n">
        <v>0</v>
      </c>
      <c r="AQ755" t="n">
        <v>24</v>
      </c>
      <c r="AR755" t="n">
        <v>0</v>
      </c>
    </row>
    <row r="756">
      <c r="A756" t="n">
        <v>194096</v>
      </c>
      <c r="B756" t="inlineStr">
        <is>
          <t>AE_SAJA\\ نکست نشدن فرم اصلاح را هیئت</t>
        </is>
      </c>
      <c r="D756" t="inlineStr">
        <is>
          <t>Medium</t>
        </is>
      </c>
      <c r="E756" t="n">
        <v>1</v>
      </c>
      <c r="F756" t="inlineStr">
        <is>
          <t>Closed</t>
        </is>
      </c>
      <c r="G756" t="inlineStr">
        <is>
          <t>Other</t>
        </is>
      </c>
      <c r="J756" t="inlineStr">
        <is>
          <t>Infrastructure Bizagi Extension</t>
        </is>
      </c>
      <c r="K756" t="inlineStr">
        <is>
          <t>SP-86</t>
        </is>
      </c>
      <c r="M756" t="inlineStr">
        <is>
          <t>Nemati Hasan</t>
        </is>
      </c>
      <c r="N756" t="inlineStr">
        <is>
          <t>Tedadi Abbas</t>
        </is>
      </c>
      <c r="O756" s="42" t="n">
        <v>45998.70284722222</v>
      </c>
      <c r="Q756" s="42" t="n">
        <v>45998.70284722222</v>
      </c>
      <c r="S756" t="n">
        <v>0</v>
      </c>
      <c r="T756" s="42" t="n">
        <v>45998.70284722222</v>
      </c>
      <c r="Z756" s="42" t="n">
        <v>45998.70284722222</v>
      </c>
      <c r="AA756" t="n">
        <v>0</v>
      </c>
      <c r="AD756" t="n">
        <v>2</v>
      </c>
      <c r="AE756" t="n">
        <v>2</v>
      </c>
      <c r="AF756" t="n">
        <v>0</v>
      </c>
      <c r="AI756" t="n">
        <v>0</v>
      </c>
      <c r="AJ756" t="n">
        <v>0</v>
      </c>
      <c r="AK756" t="n">
        <v>0</v>
      </c>
      <c r="AL756" t="n">
        <v>0</v>
      </c>
      <c r="AN756" t="n">
        <v>0</v>
      </c>
      <c r="AO756" t="n">
        <v>0</v>
      </c>
      <c r="AP756" t="n">
        <v>0</v>
      </c>
      <c r="AQ756" t="n">
        <v>24</v>
      </c>
      <c r="AR756" t="n">
        <v>0</v>
      </c>
    </row>
    <row r="757">
      <c r="A757" t="n">
        <v>194097</v>
      </c>
      <c r="B757" t="inlineStr">
        <is>
          <t>باز نشدن کمبو (فرانت) NFWarch</t>
        </is>
      </c>
      <c r="D757" t="inlineStr">
        <is>
          <t>Medium</t>
        </is>
      </c>
      <c r="E757" t="n">
        <v>2</v>
      </c>
      <c r="F757" t="inlineStr">
        <is>
          <t>Closed</t>
        </is>
      </c>
      <c r="G757" t="inlineStr">
        <is>
          <t>Other</t>
        </is>
      </c>
      <c r="J757" t="inlineStr">
        <is>
          <t>Infrastructure Bizagi Extension</t>
        </is>
      </c>
      <c r="K757" t="inlineStr">
        <is>
          <t>SP-87</t>
        </is>
      </c>
      <c r="M757" t="inlineStr">
        <is>
          <t>Jafari Saeed</t>
        </is>
      </c>
      <c r="N757" t="inlineStr">
        <is>
          <t>Mojtaba MohammadGholi</t>
        </is>
      </c>
      <c r="O757" s="42" t="n">
        <v>45972.36039351852</v>
      </c>
      <c r="Q757" s="42" t="n">
        <v>45972.36039351852</v>
      </c>
      <c r="S757" t="n">
        <v>0</v>
      </c>
      <c r="T757" s="42" t="n">
        <v>45972.36039351852</v>
      </c>
      <c r="Z757" s="42" t="n">
        <v>45972.36039351852</v>
      </c>
      <c r="AA757" t="n">
        <v>0</v>
      </c>
      <c r="AD757" t="n">
        <v>2</v>
      </c>
      <c r="AE757" t="n">
        <v>2</v>
      </c>
      <c r="AF757" t="n">
        <v>0</v>
      </c>
      <c r="AI757" t="n">
        <v>0</v>
      </c>
      <c r="AJ757" t="n">
        <v>0</v>
      </c>
      <c r="AK757" t="n">
        <v>0</v>
      </c>
      <c r="AL757" t="n">
        <v>0</v>
      </c>
      <c r="AN757" t="n">
        <v>0</v>
      </c>
      <c r="AO757" t="n">
        <v>0</v>
      </c>
      <c r="AP757" t="n">
        <v>0</v>
      </c>
      <c r="AQ757" t="n">
        <v>24</v>
      </c>
      <c r="AR757" t="n">
        <v>0</v>
      </c>
    </row>
    <row r="758">
      <c r="A758" t="n">
        <v>194115</v>
      </c>
      <c r="B758" t="inlineStr">
        <is>
          <t xml:space="preserve">وجود پیغام اشتباه در فرم ثبت گزارش نویسی </t>
        </is>
      </c>
      <c r="D758" t="inlineStr">
        <is>
          <t>Medium</t>
        </is>
      </c>
      <c r="E758" t="n">
        <v>1</v>
      </c>
      <c r="F758" t="inlineStr">
        <is>
          <t>Closed</t>
        </is>
      </c>
      <c r="G758" t="inlineStr">
        <is>
          <t>Other</t>
        </is>
      </c>
      <c r="J758" t="inlineStr">
        <is>
          <t>Dem</t>
        </is>
      </c>
      <c r="K758" t="inlineStr">
        <is>
          <t>DemBiz</t>
        </is>
      </c>
      <c r="M758" t="inlineStr">
        <is>
          <t>Hoseini Fatemeh</t>
        </is>
      </c>
      <c r="N758" t="inlineStr">
        <is>
          <t>Mohseni Hadise</t>
        </is>
      </c>
      <c r="O758" s="42" t="n">
        <v>45971.70101851852</v>
      </c>
      <c r="Q758" s="42" t="n">
        <v>45971.70101851852</v>
      </c>
      <c r="S758" t="n">
        <v>0</v>
      </c>
      <c r="T758" s="42" t="n">
        <v>45971.70101851852</v>
      </c>
      <c r="Z758" s="42" t="n">
        <v>45971.70101851852</v>
      </c>
      <c r="AA758" t="n">
        <v>0</v>
      </c>
      <c r="AD758" t="n">
        <v>2</v>
      </c>
      <c r="AE758" t="n">
        <v>2</v>
      </c>
      <c r="AF758" t="n">
        <v>0</v>
      </c>
      <c r="AI758" t="n">
        <v>0</v>
      </c>
      <c r="AJ758" t="n">
        <v>0</v>
      </c>
      <c r="AK758" t="n">
        <v>0</v>
      </c>
      <c r="AL758" t="n">
        <v>0</v>
      </c>
      <c r="AN758" t="n">
        <v>0</v>
      </c>
      <c r="AO758" t="n">
        <v>0</v>
      </c>
      <c r="AP758" t="n">
        <v>0</v>
      </c>
      <c r="AQ758" t="n">
        <v>24</v>
      </c>
      <c r="AR758" t="n">
        <v>0</v>
      </c>
    </row>
    <row r="759">
      <c r="A759" t="n">
        <v>194120</v>
      </c>
      <c r="B759" t="inlineStr">
        <is>
          <t>ردیف ها  درفرم ویرایش مشتری ،  نامرتب  می باشد</t>
        </is>
      </c>
      <c r="D759" t="inlineStr">
        <is>
          <t>Medium</t>
        </is>
      </c>
      <c r="E759" t="n">
        <v>2</v>
      </c>
      <c r="F759" t="inlineStr">
        <is>
          <t>Closed</t>
        </is>
      </c>
      <c r="G759" t="inlineStr">
        <is>
          <t>Other</t>
        </is>
      </c>
      <c r="J759" t="inlineStr">
        <is>
          <t>Dem</t>
        </is>
      </c>
      <c r="K759" t="inlineStr">
        <is>
          <t>DemBiz</t>
        </is>
      </c>
      <c r="M759" t="inlineStr">
        <is>
          <t>Hoseini Fatemeh</t>
        </is>
      </c>
      <c r="N759" t="inlineStr">
        <is>
          <t>Mohseni Hadise</t>
        </is>
      </c>
      <c r="O759" s="42" t="n">
        <v>45972.37881944444</v>
      </c>
      <c r="Q759" s="42" t="n">
        <v>45972.37881944444</v>
      </c>
      <c r="S759" t="n">
        <v>0</v>
      </c>
      <c r="T759" s="42" t="n">
        <v>45972.37881944444</v>
      </c>
      <c r="Z759" s="42" t="n">
        <v>45972.37881944444</v>
      </c>
      <c r="AA759" t="n">
        <v>0</v>
      </c>
      <c r="AD759" t="n">
        <v>2</v>
      </c>
      <c r="AE759" t="n">
        <v>2</v>
      </c>
      <c r="AF759" t="n">
        <v>0</v>
      </c>
      <c r="AI759" t="n">
        <v>0</v>
      </c>
      <c r="AJ759" t="n">
        <v>0</v>
      </c>
      <c r="AK759" t="n">
        <v>0</v>
      </c>
      <c r="AL759" t="n">
        <v>0</v>
      </c>
      <c r="AN759" t="n">
        <v>0</v>
      </c>
      <c r="AO759" t="n">
        <v>0</v>
      </c>
      <c r="AP759" t="n">
        <v>0</v>
      </c>
      <c r="AQ759" t="n">
        <v>24</v>
      </c>
      <c r="AR759" t="n">
        <v>0</v>
      </c>
    </row>
    <row r="760">
      <c r="A760" t="n">
        <v>194149</v>
      </c>
      <c r="B760" t="inlineStr">
        <is>
          <t>AE_SAJA\\ باز نشدن فرم تعیین زمان بازدید</t>
        </is>
      </c>
      <c r="D760" t="inlineStr">
        <is>
          <t>Medium</t>
        </is>
      </c>
      <c r="E760" t="n">
        <v>1</v>
      </c>
      <c r="F760" t="inlineStr">
        <is>
          <t>Closed</t>
        </is>
      </c>
      <c r="G760" t="inlineStr">
        <is>
          <t>Other</t>
        </is>
      </c>
      <c r="J760" t="inlineStr">
        <is>
          <t>Infrastructure Bizagi Extension</t>
        </is>
      </c>
      <c r="K760" t="inlineStr">
        <is>
          <t>SP-87</t>
        </is>
      </c>
      <c r="M760" t="inlineStr">
        <is>
          <t>Jafari Saeed</t>
        </is>
      </c>
      <c r="N760" t="inlineStr">
        <is>
          <t>Tedadi Abbas</t>
        </is>
      </c>
      <c r="O760" s="42" t="n">
        <v>45991.61385416667</v>
      </c>
      <c r="Q760" s="42" t="n">
        <v>45991.61385416667</v>
      </c>
      <c r="S760" t="n">
        <v>0</v>
      </c>
      <c r="T760" s="42" t="n">
        <v>45991.61385416667</v>
      </c>
      <c r="Z760" s="42" t="n">
        <v>45991.61385416667</v>
      </c>
      <c r="AA760" t="n">
        <v>0</v>
      </c>
      <c r="AD760" t="n">
        <v>2</v>
      </c>
      <c r="AE760" t="n">
        <v>2</v>
      </c>
      <c r="AF760" t="n">
        <v>0</v>
      </c>
      <c r="AI760" t="n">
        <v>0</v>
      </c>
      <c r="AJ760" t="n">
        <v>0</v>
      </c>
      <c r="AK760" t="n">
        <v>0</v>
      </c>
      <c r="AL760" t="n">
        <v>0</v>
      </c>
      <c r="AN760" t="n">
        <v>0</v>
      </c>
      <c r="AO760" t="n">
        <v>0</v>
      </c>
      <c r="AP760" t="n">
        <v>0</v>
      </c>
      <c r="AQ760" t="n">
        <v>24</v>
      </c>
      <c r="AR760" t="n">
        <v>0</v>
      </c>
    </row>
    <row r="761">
      <c r="A761" t="n">
        <v>194186</v>
      </c>
      <c r="B761" t="inlineStr">
        <is>
          <t>Mom01_ثبت هیات -واحد سازمانی</t>
        </is>
      </c>
      <c r="D761" t="inlineStr">
        <is>
          <t>Medium</t>
        </is>
      </c>
      <c r="E761" t="n">
        <v>2</v>
      </c>
      <c r="F761" t="inlineStr">
        <is>
          <t>Active</t>
        </is>
      </c>
      <c r="G761" t="inlineStr">
        <is>
          <t>Other</t>
        </is>
      </c>
      <c r="I761" t="inlineStr">
        <is>
          <t>Bizagi_Team</t>
        </is>
      </c>
      <c r="J761" t="inlineStr">
        <is>
          <t>SAJAK</t>
        </is>
      </c>
      <c r="K761" t="inlineStr">
        <is>
          <t>Estate_Sprint 44</t>
        </is>
      </c>
      <c r="M761" t="inlineStr">
        <is>
          <t>Kalaei Saman</t>
        </is>
      </c>
      <c r="Q761" s="42" t="n">
        <v>45977.65590277778</v>
      </c>
      <c r="S761" t="n">
        <v>0</v>
      </c>
      <c r="T761" s="42" t="n">
        <v>45977.65590277778</v>
      </c>
      <c r="AA761" t="n">
        <v>0</v>
      </c>
      <c r="AD761" t="n">
        <v>2</v>
      </c>
      <c r="AE761" t="n">
        <v>2</v>
      </c>
      <c r="AF761" t="n">
        <v>0</v>
      </c>
      <c r="AI761" t="n">
        <v>0</v>
      </c>
      <c r="AJ761" t="n">
        <v>0</v>
      </c>
      <c r="AM761" t="n">
        <v>40</v>
      </c>
      <c r="AN761" t="n">
        <v>0</v>
      </c>
      <c r="AO761" t="n">
        <v>0</v>
      </c>
      <c r="AP761" t="n">
        <v>0</v>
      </c>
      <c r="AQ761" t="n">
        <v>24</v>
      </c>
      <c r="AR761" t="n">
        <v>0</v>
      </c>
    </row>
    <row r="762">
      <c r="A762" t="n">
        <v>194188</v>
      </c>
      <c r="B762" t="inlineStr">
        <is>
          <t>1365/فرم ویرایش مشتری ، پیغام درصد سهام می دهد</t>
        </is>
      </c>
      <c r="D762" t="inlineStr">
        <is>
          <t>Medium</t>
        </is>
      </c>
      <c r="E762" t="n">
        <v>2</v>
      </c>
      <c r="F762" t="inlineStr">
        <is>
          <t>Closed</t>
        </is>
      </c>
      <c r="G762" t="inlineStr">
        <is>
          <t>Other</t>
        </is>
      </c>
      <c r="J762" t="inlineStr">
        <is>
          <t>Dem</t>
        </is>
      </c>
      <c r="K762" t="inlineStr">
        <is>
          <t>DemBiz</t>
        </is>
      </c>
      <c r="M762" t="inlineStr">
        <is>
          <t>Hoseini Fatemeh</t>
        </is>
      </c>
      <c r="N762" t="inlineStr">
        <is>
          <t>Hajizadeh Elnaz</t>
        </is>
      </c>
      <c r="O762" s="42" t="n">
        <v>45977.68203703704</v>
      </c>
      <c r="Q762" s="42" t="n">
        <v>45977.68203703704</v>
      </c>
      <c r="S762" t="n">
        <v>0</v>
      </c>
      <c r="T762" s="42" t="n">
        <v>45977.68203703704</v>
      </c>
      <c r="Z762" s="42" t="n">
        <v>45977.68203703704</v>
      </c>
      <c r="AA762" t="n">
        <v>0</v>
      </c>
      <c r="AD762" t="n">
        <v>2</v>
      </c>
      <c r="AE762" t="n">
        <v>2</v>
      </c>
      <c r="AF762" t="n">
        <v>0</v>
      </c>
      <c r="AI762" t="n">
        <v>0</v>
      </c>
      <c r="AJ762" t="n">
        <v>0</v>
      </c>
      <c r="AK762" t="n">
        <v>0</v>
      </c>
      <c r="AL762" t="n">
        <v>0</v>
      </c>
      <c r="AN762" t="n">
        <v>0</v>
      </c>
      <c r="AO762" t="n">
        <v>0</v>
      </c>
      <c r="AP762" t="n">
        <v>0</v>
      </c>
      <c r="AQ762" t="n">
        <v>24</v>
      </c>
      <c r="AR762" t="n">
        <v>0</v>
      </c>
    </row>
    <row r="763">
      <c r="A763" t="n">
        <v>194196</v>
      </c>
      <c r="B763" t="inlineStr">
        <is>
          <t>انصراف/اختتام در تغییر مشتری خطای 500 میدهد/1365</t>
        </is>
      </c>
      <c r="D763" t="inlineStr">
        <is>
          <t>Medium</t>
        </is>
      </c>
      <c r="E763" t="n">
        <v>2</v>
      </c>
      <c r="F763" t="inlineStr">
        <is>
          <t>Closed</t>
        </is>
      </c>
      <c r="G763" t="inlineStr">
        <is>
          <t>Other</t>
        </is>
      </c>
      <c r="J763" t="inlineStr">
        <is>
          <t>Dem</t>
        </is>
      </c>
      <c r="K763" t="inlineStr">
        <is>
          <t>DemBiz</t>
        </is>
      </c>
      <c r="M763" t="inlineStr">
        <is>
          <t>Moradi Mohammad</t>
        </is>
      </c>
      <c r="N763" t="inlineStr">
        <is>
          <t>Hajizadeh Elnaz</t>
        </is>
      </c>
      <c r="O763" s="42" t="n">
        <v>45971.47267361111</v>
      </c>
      <c r="Q763" s="42" t="n">
        <v>45971.47267361111</v>
      </c>
      <c r="S763" t="n">
        <v>0</v>
      </c>
      <c r="T763" s="42" t="n">
        <v>45971.47267361111</v>
      </c>
      <c r="Z763" s="42" t="n">
        <v>45971.47267361111</v>
      </c>
      <c r="AA763" t="n">
        <v>0</v>
      </c>
      <c r="AD763" t="n">
        <v>2</v>
      </c>
      <c r="AE763" t="n">
        <v>2</v>
      </c>
      <c r="AF763" t="n">
        <v>0</v>
      </c>
      <c r="AI763" t="n">
        <v>0</v>
      </c>
      <c r="AJ763" t="n">
        <v>0</v>
      </c>
      <c r="AK763" t="n">
        <v>0</v>
      </c>
      <c r="AL763" t="n">
        <v>0</v>
      </c>
      <c r="AN763" t="n">
        <v>0</v>
      </c>
      <c r="AO763" t="n">
        <v>0</v>
      </c>
      <c r="AP763" t="n">
        <v>0</v>
      </c>
      <c r="AQ763" t="n">
        <v>24</v>
      </c>
      <c r="AR763" t="n">
        <v>0</v>
      </c>
    </row>
    <row r="764">
      <c r="A764" t="n">
        <v>194197</v>
      </c>
      <c r="B764" t="inlineStr">
        <is>
          <t>AE_SAJA\\ خطا در ارجاع بررسی نظر دبیر هیات</t>
        </is>
      </c>
      <c r="D764" t="inlineStr">
        <is>
          <t>Medium</t>
        </is>
      </c>
      <c r="E764" t="n">
        <v>1</v>
      </c>
      <c r="F764" t="inlineStr">
        <is>
          <t>Closed</t>
        </is>
      </c>
      <c r="G764" t="inlineStr">
        <is>
          <t>Other</t>
        </is>
      </c>
      <c r="J764" t="inlineStr">
        <is>
          <t>Infrastructure Bizagi Extension</t>
        </is>
      </c>
      <c r="K764" t="inlineStr">
        <is>
          <t>SP-87</t>
        </is>
      </c>
      <c r="M764" t="inlineStr">
        <is>
          <t>Nemati Hasan</t>
        </is>
      </c>
      <c r="N764" t="inlineStr">
        <is>
          <t>Tedadi Abbas</t>
        </is>
      </c>
      <c r="O764" s="42" t="n">
        <v>45998.47006944445</v>
      </c>
      <c r="Q764" s="42" t="n">
        <v>45998.47006944445</v>
      </c>
      <c r="S764" t="n">
        <v>0</v>
      </c>
      <c r="T764" s="42" t="n">
        <v>45998.47006944445</v>
      </c>
      <c r="Z764" s="42" t="n">
        <v>45998.47006944445</v>
      </c>
      <c r="AA764" t="n">
        <v>0</v>
      </c>
      <c r="AD764" t="n">
        <v>2</v>
      </c>
      <c r="AE764" t="n">
        <v>2</v>
      </c>
      <c r="AF764" t="n">
        <v>0</v>
      </c>
      <c r="AI764" t="n">
        <v>0</v>
      </c>
      <c r="AJ764" t="n">
        <v>0</v>
      </c>
      <c r="AK764" t="n">
        <v>0</v>
      </c>
      <c r="AL764" t="n">
        <v>0</v>
      </c>
      <c r="AN764" t="n">
        <v>0</v>
      </c>
      <c r="AO764" t="n">
        <v>0</v>
      </c>
      <c r="AP764" t="n">
        <v>0</v>
      </c>
      <c r="AQ764" t="n">
        <v>24</v>
      </c>
      <c r="AR764" t="n">
        <v>0</v>
      </c>
    </row>
    <row r="765">
      <c r="A765" t="n">
        <v>194198</v>
      </c>
      <c r="B765" t="inlineStr">
        <is>
          <t xml:space="preserve">ثبت هیات/محل برگزاری جلسه  </t>
        </is>
      </c>
      <c r="D765" t="inlineStr">
        <is>
          <t>Medium</t>
        </is>
      </c>
      <c r="E765" t="n">
        <v>2</v>
      </c>
      <c r="F765" t="inlineStr">
        <is>
          <t>Closed</t>
        </is>
      </c>
      <c r="G765" t="inlineStr">
        <is>
          <t>Other</t>
        </is>
      </c>
      <c r="I765" t="inlineStr">
        <is>
          <t>Bizagi_Team</t>
        </is>
      </c>
      <c r="J765" t="inlineStr">
        <is>
          <t>SAJAK</t>
        </is>
      </c>
      <c r="K765" t="inlineStr">
        <is>
          <t>Estate_Sprint 44</t>
        </is>
      </c>
      <c r="M765" t="inlineStr">
        <is>
          <t>Kalaei Saman</t>
        </is>
      </c>
      <c r="N765" t="inlineStr">
        <is>
          <t>Mousavi Azadeh</t>
        </is>
      </c>
      <c r="O765" s="42" t="n">
        <v>45977.56188657408</v>
      </c>
      <c r="Q765" s="42" t="n">
        <v>45977.56188657408</v>
      </c>
      <c r="S765" t="n">
        <v>0</v>
      </c>
      <c r="T765" s="42" t="n">
        <v>45977.56188657408</v>
      </c>
      <c r="Z765" s="42" t="n">
        <v>45977.56188657408</v>
      </c>
      <c r="AA765" t="n">
        <v>0</v>
      </c>
      <c r="AD765" t="n">
        <v>2</v>
      </c>
      <c r="AE765" t="n">
        <v>2</v>
      </c>
      <c r="AF765" t="n">
        <v>0</v>
      </c>
      <c r="AI765" t="n">
        <v>0</v>
      </c>
      <c r="AJ765" t="n">
        <v>0</v>
      </c>
      <c r="AK765" t="n">
        <v>0</v>
      </c>
      <c r="AL765" t="n">
        <v>0</v>
      </c>
      <c r="AN765" t="n">
        <v>0</v>
      </c>
      <c r="AO765" t="n">
        <v>0</v>
      </c>
      <c r="AP765" t="n">
        <v>0</v>
      </c>
      <c r="AQ765" t="n">
        <v>24</v>
      </c>
      <c r="AR765" t="n">
        <v>0</v>
      </c>
    </row>
    <row r="766">
      <c r="A766" t="n">
        <v>194201</v>
      </c>
      <c r="B766" t="inlineStr">
        <is>
          <t>تکراری بودن سوابق اعتباری در فرم تکمیل /  1365</t>
        </is>
      </c>
      <c r="D766" t="inlineStr">
        <is>
          <t>Medium</t>
        </is>
      </c>
      <c r="E766" t="n">
        <v>2</v>
      </c>
      <c r="F766" t="inlineStr">
        <is>
          <t>Closed</t>
        </is>
      </c>
      <c r="G766" t="inlineStr">
        <is>
          <t>Other</t>
        </is>
      </c>
      <c r="J766" t="inlineStr">
        <is>
          <t>Dem</t>
        </is>
      </c>
      <c r="K766" t="inlineStr">
        <is>
          <t>DemBiz</t>
        </is>
      </c>
      <c r="M766" t="inlineStr">
        <is>
          <t>Moradi Mohammad</t>
        </is>
      </c>
      <c r="N766" t="inlineStr">
        <is>
          <t>Hajizadeh Elnaz</t>
        </is>
      </c>
      <c r="O766" s="42" t="n">
        <v>45978.49719907407</v>
      </c>
      <c r="Q766" s="42" t="n">
        <v>45978.49719907407</v>
      </c>
      <c r="S766" t="n">
        <v>0</v>
      </c>
      <c r="T766" s="42" t="n">
        <v>45978.49719907407</v>
      </c>
      <c r="Z766" s="42" t="n">
        <v>45978.49719907407</v>
      </c>
      <c r="AA766" t="n">
        <v>0</v>
      </c>
      <c r="AD766" t="n">
        <v>2</v>
      </c>
      <c r="AE766" t="n">
        <v>2</v>
      </c>
      <c r="AF766" t="n">
        <v>0</v>
      </c>
      <c r="AI766" t="n">
        <v>0</v>
      </c>
      <c r="AJ766" t="n">
        <v>0</v>
      </c>
      <c r="AK766" t="n">
        <v>0</v>
      </c>
      <c r="AL766" t="n">
        <v>0</v>
      </c>
      <c r="AN766" t="n">
        <v>0</v>
      </c>
      <c r="AO766" t="n">
        <v>0</v>
      </c>
      <c r="AP766" t="n">
        <v>0</v>
      </c>
      <c r="AQ766" t="n">
        <v>24</v>
      </c>
      <c r="AR766" t="n">
        <v>0</v>
      </c>
    </row>
    <row r="767">
      <c r="A767" t="n">
        <v>194211</v>
      </c>
      <c r="B767" t="inlineStr">
        <is>
          <t>Mom01_ثبت جلسه هیات - محل برگزاری</t>
        </is>
      </c>
      <c r="D767" t="inlineStr">
        <is>
          <t>Medium</t>
        </is>
      </c>
      <c r="E767" t="n">
        <v>2</v>
      </c>
      <c r="F767" t="inlineStr">
        <is>
          <t>Closed</t>
        </is>
      </c>
      <c r="G767" t="inlineStr">
        <is>
          <t>Other</t>
        </is>
      </c>
      <c r="I767" t="inlineStr">
        <is>
          <t>Bizagi_Team</t>
        </is>
      </c>
      <c r="J767" t="inlineStr">
        <is>
          <t>SAJAK</t>
        </is>
      </c>
      <c r="K767" t="inlineStr">
        <is>
          <t>Estate_Sprint 44</t>
        </is>
      </c>
      <c r="M767" t="inlineStr">
        <is>
          <t>Tedadi Abbas</t>
        </is>
      </c>
      <c r="N767" t="inlineStr">
        <is>
          <t>Mousavi Azadeh</t>
        </is>
      </c>
      <c r="O767" s="42" t="n">
        <v>45977.56871527778</v>
      </c>
      <c r="Q767" s="42" t="n">
        <v>45977.56871527778</v>
      </c>
      <c r="S767" t="n">
        <v>0</v>
      </c>
      <c r="T767" s="42" t="n">
        <v>45977.56871527778</v>
      </c>
      <c r="Z767" s="42" t="n">
        <v>45977.56871527778</v>
      </c>
      <c r="AA767" t="n">
        <v>0</v>
      </c>
      <c r="AD767" t="n">
        <v>2</v>
      </c>
      <c r="AE767" t="n">
        <v>2</v>
      </c>
      <c r="AF767" t="n">
        <v>0</v>
      </c>
      <c r="AI767" t="n">
        <v>0</v>
      </c>
      <c r="AJ767" t="n">
        <v>0</v>
      </c>
      <c r="AK767" t="n">
        <v>0</v>
      </c>
      <c r="AL767" t="n">
        <v>0</v>
      </c>
      <c r="AN767" t="n">
        <v>0</v>
      </c>
      <c r="AO767" t="n">
        <v>0</v>
      </c>
      <c r="AP767" t="n">
        <v>0</v>
      </c>
      <c r="AQ767" t="n">
        <v>24</v>
      </c>
      <c r="AR767" t="n">
        <v>0</v>
      </c>
    </row>
    <row r="768">
      <c r="A768" t="n">
        <v>194217</v>
      </c>
      <c r="B768" t="inlineStr">
        <is>
          <t>Mom01_ثبت جلسه هیات -لیست جلسات</t>
        </is>
      </c>
      <c r="D768" t="inlineStr">
        <is>
          <t>Medium</t>
        </is>
      </c>
      <c r="E768" t="n">
        <v>2</v>
      </c>
      <c r="F768" t="inlineStr">
        <is>
          <t>Closed</t>
        </is>
      </c>
      <c r="G768" t="inlineStr">
        <is>
          <t>Other</t>
        </is>
      </c>
      <c r="I768" t="inlineStr">
        <is>
          <t>Bizagi_Team</t>
        </is>
      </c>
      <c r="J768" t="inlineStr">
        <is>
          <t>SAJAK</t>
        </is>
      </c>
      <c r="K768" t="inlineStr">
        <is>
          <t>Estate_Sprint 44</t>
        </is>
      </c>
      <c r="M768" t="inlineStr">
        <is>
          <t>Shamsfard Ahmad</t>
        </is>
      </c>
      <c r="N768" t="inlineStr">
        <is>
          <t>Mousavi Azadeh</t>
        </is>
      </c>
      <c r="O768" s="42" t="n">
        <v>45977.5740625</v>
      </c>
      <c r="Q768" s="42" t="n">
        <v>45977.5740625</v>
      </c>
      <c r="S768" t="n">
        <v>0</v>
      </c>
      <c r="T768" s="42" t="n">
        <v>45977.5740625</v>
      </c>
      <c r="Z768" s="42" t="n">
        <v>45977.5740625</v>
      </c>
      <c r="AA768" t="n">
        <v>0</v>
      </c>
      <c r="AD768" t="n">
        <v>2</v>
      </c>
      <c r="AE768" t="n">
        <v>2</v>
      </c>
      <c r="AF768" t="n">
        <v>0</v>
      </c>
      <c r="AI768" t="n">
        <v>0</v>
      </c>
      <c r="AJ768" t="n">
        <v>0</v>
      </c>
      <c r="AK768" t="n">
        <v>0</v>
      </c>
      <c r="AL768" t="n">
        <v>0</v>
      </c>
      <c r="AN768" t="n">
        <v>0</v>
      </c>
      <c r="AO768" t="n">
        <v>0</v>
      </c>
      <c r="AP768" t="n">
        <v>0</v>
      </c>
      <c r="AQ768" t="n">
        <v>24</v>
      </c>
      <c r="AR768" t="n">
        <v>0</v>
      </c>
    </row>
    <row r="769">
      <c r="A769" t="n">
        <v>194221</v>
      </c>
      <c r="B769" t="inlineStr">
        <is>
          <t xml:space="preserve">1365/فرم ثبت درخواست  تقسیط ضمانت نامه خطا 500 می دهد </t>
        </is>
      </c>
      <c r="D769" t="inlineStr">
        <is>
          <t>Medium</t>
        </is>
      </c>
      <c r="E769" t="n">
        <v>1</v>
      </c>
      <c r="F769" t="inlineStr">
        <is>
          <t>Closed</t>
        </is>
      </c>
      <c r="G769" t="inlineStr">
        <is>
          <t>Other</t>
        </is>
      </c>
      <c r="J769" t="inlineStr">
        <is>
          <t>Dem</t>
        </is>
      </c>
      <c r="K769" t="inlineStr">
        <is>
          <t>DemBiz</t>
        </is>
      </c>
      <c r="M769" t="inlineStr">
        <is>
          <t>Javanmardi Mojan</t>
        </is>
      </c>
      <c r="N769" t="inlineStr">
        <is>
          <t>Mohseni Hadise</t>
        </is>
      </c>
      <c r="O769" s="42" t="n">
        <v>45973.39650462963</v>
      </c>
      <c r="Q769" s="42" t="n">
        <v>45973.39650462963</v>
      </c>
      <c r="S769" t="n">
        <v>0</v>
      </c>
      <c r="T769" s="42" t="n">
        <v>45973.39650462963</v>
      </c>
      <c r="Z769" s="42" t="n">
        <v>45973.39650462963</v>
      </c>
      <c r="AA769" t="n">
        <v>0</v>
      </c>
      <c r="AD769" t="n">
        <v>2</v>
      </c>
      <c r="AE769" t="n">
        <v>2</v>
      </c>
      <c r="AF769" t="n">
        <v>0</v>
      </c>
      <c r="AI769" t="n">
        <v>0</v>
      </c>
      <c r="AJ769" t="n">
        <v>0</v>
      </c>
      <c r="AK769" t="n">
        <v>0</v>
      </c>
      <c r="AL769" t="n">
        <v>0</v>
      </c>
      <c r="AN769" t="n">
        <v>0</v>
      </c>
      <c r="AO769" t="n">
        <v>0</v>
      </c>
      <c r="AP769" t="n">
        <v>0</v>
      </c>
      <c r="AQ769" t="n">
        <v>24</v>
      </c>
      <c r="AR769" t="n">
        <v>0</v>
      </c>
    </row>
    <row r="770">
      <c r="A770" t="n">
        <v>194228</v>
      </c>
      <c r="B770" t="inlineStr">
        <is>
          <t xml:space="preserve">1365/اکشن تقویم در اسناد بار اول اعمال نشده  و بار دوم اعمال می شود </t>
        </is>
      </c>
      <c r="D770" t="inlineStr">
        <is>
          <t>Medium</t>
        </is>
      </c>
      <c r="E770" t="n">
        <v>2</v>
      </c>
      <c r="F770" t="inlineStr">
        <is>
          <t>Closed</t>
        </is>
      </c>
      <c r="G770" t="inlineStr">
        <is>
          <t>Other</t>
        </is>
      </c>
      <c r="J770" t="inlineStr">
        <is>
          <t>Dem</t>
        </is>
      </c>
      <c r="K770" t="inlineStr">
        <is>
          <t>DemBiz</t>
        </is>
      </c>
      <c r="M770" t="inlineStr">
        <is>
          <t>Moradi Mohammad</t>
        </is>
      </c>
      <c r="N770" t="inlineStr">
        <is>
          <t>Hajizadeh Elnaz</t>
        </is>
      </c>
      <c r="O770" s="42" t="n">
        <v>45971.4715162037</v>
      </c>
      <c r="Q770" s="42" t="n">
        <v>45971.4715162037</v>
      </c>
      <c r="S770" t="n">
        <v>0</v>
      </c>
      <c r="T770" s="42" t="n">
        <v>45971.4715162037</v>
      </c>
      <c r="Z770" s="42" t="n">
        <v>45971.4715162037</v>
      </c>
      <c r="AA770" t="n">
        <v>0</v>
      </c>
      <c r="AD770" t="n">
        <v>2</v>
      </c>
      <c r="AE770" t="n">
        <v>2</v>
      </c>
      <c r="AF770" t="n">
        <v>0</v>
      </c>
      <c r="AI770" t="n">
        <v>0</v>
      </c>
      <c r="AJ770" t="n">
        <v>0</v>
      </c>
      <c r="AK770" t="n">
        <v>0</v>
      </c>
      <c r="AL770" t="n">
        <v>0</v>
      </c>
      <c r="AN770" t="n">
        <v>0</v>
      </c>
      <c r="AO770" t="n">
        <v>0</v>
      </c>
      <c r="AP770" t="n">
        <v>0</v>
      </c>
      <c r="AQ770" t="n">
        <v>24</v>
      </c>
      <c r="AR770" t="n">
        <v>0</v>
      </c>
    </row>
    <row r="771">
      <c r="A771" t="n">
        <v>194229</v>
      </c>
      <c r="B771" t="inlineStr">
        <is>
          <t>AE_SAJA\\ عدم نمایش ساعت شروع جلسه</t>
        </is>
      </c>
      <c r="D771" t="inlineStr">
        <is>
          <t>Medium</t>
        </is>
      </c>
      <c r="E771" t="n">
        <v>1</v>
      </c>
      <c r="F771" t="inlineStr">
        <is>
          <t>Closed</t>
        </is>
      </c>
      <c r="G771" t="inlineStr">
        <is>
          <t>Other</t>
        </is>
      </c>
      <c r="J771" t="inlineStr">
        <is>
          <t>Infrastructure Bizagi Extension</t>
        </is>
      </c>
      <c r="K771" t="inlineStr">
        <is>
          <t>SP-87</t>
        </is>
      </c>
      <c r="M771" t="inlineStr">
        <is>
          <t>Jafari Saeed</t>
        </is>
      </c>
      <c r="N771" t="inlineStr">
        <is>
          <t>Tedadi Abbas</t>
        </is>
      </c>
      <c r="O771" s="42" t="n">
        <v>45998.70872685185</v>
      </c>
      <c r="Q771" s="42" t="n">
        <v>45998.70872685185</v>
      </c>
      <c r="S771" t="n">
        <v>0</v>
      </c>
      <c r="T771" s="42" t="n">
        <v>45998.70872685185</v>
      </c>
      <c r="Z771" s="42" t="n">
        <v>45998.70872685185</v>
      </c>
      <c r="AA771" t="n">
        <v>0</v>
      </c>
      <c r="AD771" t="n">
        <v>2</v>
      </c>
      <c r="AE771" t="n">
        <v>2</v>
      </c>
      <c r="AF771" t="n">
        <v>0</v>
      </c>
      <c r="AI771" t="n">
        <v>0</v>
      </c>
      <c r="AJ771" t="n">
        <v>0</v>
      </c>
      <c r="AK771" t="n">
        <v>0</v>
      </c>
      <c r="AL771" t="n">
        <v>0</v>
      </c>
      <c r="AN771" t="n">
        <v>0</v>
      </c>
      <c r="AO771" t="n">
        <v>0</v>
      </c>
      <c r="AP771" t="n">
        <v>0</v>
      </c>
      <c r="AQ771" t="n">
        <v>24</v>
      </c>
      <c r="AR771" t="n">
        <v>0</v>
      </c>
    </row>
    <row r="772">
      <c r="A772" t="n">
        <v>194238</v>
      </c>
      <c r="B772" t="inlineStr">
        <is>
          <t>عملیات نقشه برداری // مشکل زوم در انتقال از سه بعدی به دوبعدی</t>
        </is>
      </c>
      <c r="D772" t="inlineStr">
        <is>
          <t>Medium</t>
        </is>
      </c>
      <c r="E772" t="n">
        <v>1</v>
      </c>
      <c r="F772" t="inlineStr">
        <is>
          <t>Active</t>
        </is>
      </c>
      <c r="G772" t="inlineStr">
        <is>
          <t>Other</t>
        </is>
      </c>
      <c r="J772" t="inlineStr">
        <is>
          <t>SAJAK</t>
        </is>
      </c>
      <c r="K772" t="inlineStr">
        <is>
          <t>GIS_Sprint 44</t>
        </is>
      </c>
      <c r="M772" t="inlineStr">
        <is>
          <t>Shivanasab Pooya</t>
        </is>
      </c>
      <c r="Q772" s="42" t="n">
        <v>45970.61923611111</v>
      </c>
      <c r="S772" t="n">
        <v>0</v>
      </c>
      <c r="T772" s="42" t="n">
        <v>45970.61923611111</v>
      </c>
      <c r="AA772" t="n">
        <v>0</v>
      </c>
      <c r="AD772" t="n">
        <v>2</v>
      </c>
      <c r="AE772" t="n">
        <v>2</v>
      </c>
      <c r="AF772" t="n">
        <v>0</v>
      </c>
      <c r="AI772" t="n">
        <v>0</v>
      </c>
      <c r="AJ772" t="n">
        <v>0</v>
      </c>
      <c r="AM772" t="n">
        <v>47</v>
      </c>
      <c r="AN772" t="n">
        <v>0</v>
      </c>
      <c r="AO772" t="n">
        <v>0</v>
      </c>
      <c r="AP772" t="n">
        <v>0</v>
      </c>
      <c r="AQ772" t="n">
        <v>24</v>
      </c>
      <c r="AR772" t="n">
        <v>0</v>
      </c>
    </row>
    <row r="773">
      <c r="A773" t="n">
        <v>194239</v>
      </c>
      <c r="B773" t="inlineStr">
        <is>
          <t>مشکل در حذف نام فایل dxf</t>
        </is>
      </c>
      <c r="D773" t="inlineStr">
        <is>
          <t>Medium</t>
        </is>
      </c>
      <c r="E773" t="n">
        <v>2</v>
      </c>
      <c r="F773" t="inlineStr">
        <is>
          <t>Active</t>
        </is>
      </c>
      <c r="G773" t="inlineStr">
        <is>
          <t>Other</t>
        </is>
      </c>
      <c r="J773" t="inlineStr">
        <is>
          <t>SAJAK</t>
        </is>
      </c>
      <c r="K773" t="inlineStr">
        <is>
          <t>GIS_Sprint 44</t>
        </is>
      </c>
      <c r="M773" t="inlineStr">
        <is>
          <t>Shivanasab Pooya</t>
        </is>
      </c>
      <c r="Q773" s="42" t="n">
        <v>45970.61967592593</v>
      </c>
      <c r="S773" t="n">
        <v>0</v>
      </c>
      <c r="T773" s="42" t="n">
        <v>45970.61967592593</v>
      </c>
      <c r="AA773" t="n">
        <v>0</v>
      </c>
      <c r="AD773" t="n">
        <v>2</v>
      </c>
      <c r="AE773" t="n">
        <v>2</v>
      </c>
      <c r="AF773" t="n">
        <v>0</v>
      </c>
      <c r="AI773" t="n">
        <v>0</v>
      </c>
      <c r="AJ773" t="n">
        <v>0</v>
      </c>
      <c r="AM773" t="n">
        <v>47</v>
      </c>
      <c r="AN773" t="n">
        <v>0</v>
      </c>
      <c r="AO773" t="n">
        <v>0</v>
      </c>
      <c r="AP773" t="n">
        <v>0</v>
      </c>
      <c r="AQ773" t="n">
        <v>24</v>
      </c>
      <c r="AR773" t="n">
        <v>0</v>
      </c>
    </row>
    <row r="774">
      <c r="A774" t="n">
        <v>194244</v>
      </c>
      <c r="B774" t="inlineStr">
        <is>
          <t>ثبت یک شناسه ملی ، مشترک برای دو مشتری / 1365</t>
        </is>
      </c>
      <c r="D774" t="inlineStr">
        <is>
          <t>Medium</t>
        </is>
      </c>
      <c r="E774" t="n">
        <v>1</v>
      </c>
      <c r="F774" t="inlineStr">
        <is>
          <t>Closed</t>
        </is>
      </c>
      <c r="G774" t="inlineStr">
        <is>
          <t>Other</t>
        </is>
      </c>
      <c r="J774" t="inlineStr">
        <is>
          <t>Dem</t>
        </is>
      </c>
      <c r="K774" t="inlineStr">
        <is>
          <t>DemBiz</t>
        </is>
      </c>
      <c r="M774" t="inlineStr">
        <is>
          <t>Moradi Mohammad</t>
        </is>
      </c>
      <c r="N774" t="inlineStr">
        <is>
          <t>Hajizadeh Elnaz</t>
        </is>
      </c>
      <c r="O774" s="42" t="n">
        <v>45973.38923611111</v>
      </c>
      <c r="Q774" s="42" t="n">
        <v>45973.38923611111</v>
      </c>
      <c r="S774" t="n">
        <v>0</v>
      </c>
      <c r="T774" s="42" t="n">
        <v>45973.38923611111</v>
      </c>
      <c r="Z774" s="42" t="n">
        <v>45973.38923611111</v>
      </c>
      <c r="AA774" t="n">
        <v>0</v>
      </c>
      <c r="AD774" t="n">
        <v>2</v>
      </c>
      <c r="AE774" t="n">
        <v>2</v>
      </c>
      <c r="AF774" t="n">
        <v>0</v>
      </c>
      <c r="AI774" t="n">
        <v>0</v>
      </c>
      <c r="AJ774" t="n">
        <v>0</v>
      </c>
      <c r="AK774" t="n">
        <v>0</v>
      </c>
      <c r="AL774" t="n">
        <v>0</v>
      </c>
      <c r="AN774" t="n">
        <v>0</v>
      </c>
      <c r="AO774" t="n">
        <v>0</v>
      </c>
      <c r="AP774" t="n">
        <v>0</v>
      </c>
      <c r="AQ774" t="n">
        <v>24</v>
      </c>
      <c r="AR774" t="n">
        <v>0</v>
      </c>
    </row>
    <row r="775">
      <c r="A775" t="n">
        <v>194246</v>
      </c>
      <c r="B775" t="inlineStr">
        <is>
          <t>ستون تاریخ درخواست</t>
        </is>
      </c>
      <c r="D775" t="inlineStr">
        <is>
          <t>Medium</t>
        </is>
      </c>
      <c r="E775" t="n">
        <v>2</v>
      </c>
      <c r="F775" t="inlineStr">
        <is>
          <t>Open</t>
        </is>
      </c>
      <c r="G775" t="inlineStr">
        <is>
          <t>Other</t>
        </is>
      </c>
      <c r="I775" t="inlineStr">
        <is>
          <t>Bizagi_Team</t>
        </is>
      </c>
      <c r="J775" t="inlineStr">
        <is>
          <t>SAJAK</t>
        </is>
      </c>
      <c r="K775" t="inlineStr">
        <is>
          <t>Estate_Sprint 43</t>
        </is>
      </c>
      <c r="M775" t="inlineStr">
        <is>
          <t>Erfani Alireza</t>
        </is>
      </c>
      <c r="Q775" s="42" t="n">
        <v>46014.5531712963</v>
      </c>
      <c r="S775" t="n">
        <v>0</v>
      </c>
      <c r="T775" s="42" t="n">
        <v>46014.5531712963</v>
      </c>
      <c r="AA775" t="n">
        <v>0</v>
      </c>
      <c r="AD775" t="n">
        <v>2</v>
      </c>
      <c r="AE775" t="n">
        <v>2</v>
      </c>
      <c r="AF775" t="n">
        <v>0</v>
      </c>
      <c r="AI775" t="n">
        <v>0</v>
      </c>
      <c r="AJ775" t="n">
        <v>0</v>
      </c>
      <c r="AM775" t="n">
        <v>3</v>
      </c>
      <c r="AN775" t="n">
        <v>0</v>
      </c>
      <c r="AO775" t="n">
        <v>0</v>
      </c>
      <c r="AP775" t="n">
        <v>0</v>
      </c>
      <c r="AQ775" t="n">
        <v>24</v>
      </c>
      <c r="AR775" t="n">
        <v>0</v>
      </c>
    </row>
    <row r="776">
      <c r="A776" t="n">
        <v>194247</v>
      </c>
      <c r="B776" t="inlineStr">
        <is>
          <t>عدم نمایش صفحه تعیین زمان بازدید</t>
        </is>
      </c>
      <c r="D776" t="inlineStr">
        <is>
          <t>Medium</t>
        </is>
      </c>
      <c r="E776" t="n">
        <v>2</v>
      </c>
      <c r="F776" t="inlineStr">
        <is>
          <t>Closed</t>
        </is>
      </c>
      <c r="G776" t="inlineStr">
        <is>
          <t>Other</t>
        </is>
      </c>
      <c r="I776" t="inlineStr">
        <is>
          <t>Bizagi_Team</t>
        </is>
      </c>
      <c r="J776" t="inlineStr">
        <is>
          <t>SAJAK</t>
        </is>
      </c>
      <c r="K776" t="inlineStr">
        <is>
          <t>Estate_Sprint 44</t>
        </is>
      </c>
      <c r="M776" t="inlineStr">
        <is>
          <t>Tedadi Abbas</t>
        </is>
      </c>
      <c r="N776" t="inlineStr">
        <is>
          <t>Moradnoori Parinaz</t>
        </is>
      </c>
      <c r="O776" s="42" t="n">
        <v>45977.72954861111</v>
      </c>
      <c r="Q776" s="42" t="n">
        <v>45977.72954861111</v>
      </c>
      <c r="S776" t="n">
        <v>0</v>
      </c>
      <c r="T776" s="42" t="n">
        <v>45977.72954861111</v>
      </c>
      <c r="Z776" s="42" t="n">
        <v>45977.72954861111</v>
      </c>
      <c r="AA776" t="n">
        <v>0</v>
      </c>
      <c r="AD776" t="n">
        <v>2</v>
      </c>
      <c r="AE776" t="n">
        <v>2</v>
      </c>
      <c r="AF776" t="n">
        <v>0</v>
      </c>
      <c r="AI776" t="n">
        <v>0</v>
      </c>
      <c r="AJ776" t="n">
        <v>0</v>
      </c>
      <c r="AK776" t="n">
        <v>0</v>
      </c>
      <c r="AL776" t="n">
        <v>0</v>
      </c>
      <c r="AN776" t="n">
        <v>0</v>
      </c>
      <c r="AO776" t="n">
        <v>0</v>
      </c>
      <c r="AP776" t="n">
        <v>0</v>
      </c>
      <c r="AQ776" t="n">
        <v>24</v>
      </c>
      <c r="AR776" t="n">
        <v>0</v>
      </c>
    </row>
    <row r="777">
      <c r="A777" t="n">
        <v>194248</v>
      </c>
      <c r="B777" t="inlineStr">
        <is>
          <t>عدم همزمانی ساعت سرور در سرویس سوم ساماندهی</t>
        </is>
      </c>
      <c r="D777" t="inlineStr">
        <is>
          <t>Medium</t>
        </is>
      </c>
      <c r="E777" t="n">
        <v>1</v>
      </c>
      <c r="F777" t="inlineStr">
        <is>
          <t>Active</t>
        </is>
      </c>
      <c r="G777" t="inlineStr">
        <is>
          <t>Other</t>
        </is>
      </c>
      <c r="I777" t="inlineStr">
        <is>
          <t>Kadastr_Team</t>
        </is>
      </c>
      <c r="J777" t="inlineStr">
        <is>
          <t>SAJAK</t>
        </is>
      </c>
      <c r="K777" t="inlineStr">
        <is>
          <t>GIS_Sprint 43</t>
        </is>
      </c>
      <c r="M777" t="inlineStr">
        <is>
          <t>GanjiRad Mohammad</t>
        </is>
      </c>
      <c r="Q777" s="42" t="n">
        <v>46014.66400462963</v>
      </c>
      <c r="S777" t="n">
        <v>0</v>
      </c>
      <c r="T777" s="42" t="n">
        <v>46014.66400462963</v>
      </c>
      <c r="AA777" t="n">
        <v>0</v>
      </c>
      <c r="AD777" t="n">
        <v>2</v>
      </c>
      <c r="AE777" t="n">
        <v>2</v>
      </c>
      <c r="AF777" t="n">
        <v>0</v>
      </c>
      <c r="AI777" t="n">
        <v>0</v>
      </c>
      <c r="AJ777" t="n">
        <v>0</v>
      </c>
      <c r="AM777" t="n">
        <v>3</v>
      </c>
      <c r="AN777" t="n">
        <v>0</v>
      </c>
      <c r="AO777" t="n">
        <v>0</v>
      </c>
      <c r="AP777" t="n">
        <v>0</v>
      </c>
      <c r="AQ777" t="n">
        <v>24</v>
      </c>
      <c r="AR777" t="n">
        <v>0</v>
      </c>
    </row>
    <row r="778">
      <c r="A778" t="n">
        <v>194250</v>
      </c>
      <c r="B778" t="inlineStr">
        <is>
          <t xml:space="preserve">عدم تطابق ستون های فرم کارتابل با طراحی </t>
        </is>
      </c>
      <c r="D778" t="inlineStr">
        <is>
          <t>Medium</t>
        </is>
      </c>
      <c r="E778" t="n">
        <v>1</v>
      </c>
      <c r="F778" t="inlineStr">
        <is>
          <t>Removed</t>
        </is>
      </c>
      <c r="G778" t="inlineStr">
        <is>
          <t>Other</t>
        </is>
      </c>
      <c r="I778" t="inlineStr">
        <is>
          <t>Bizagi_Team</t>
        </is>
      </c>
      <c r="J778" t="inlineStr">
        <is>
          <t>SAJAK</t>
        </is>
      </c>
      <c r="K778" t="inlineStr">
        <is>
          <t>Estate_Sprint 44</t>
        </is>
      </c>
      <c r="M778" t="inlineStr">
        <is>
          <t>Zeynali Masoud</t>
        </is>
      </c>
      <c r="Q778" s="42" t="n">
        <v>45983.48609953704</v>
      </c>
      <c r="S778" t="n">
        <v>0</v>
      </c>
      <c r="T778" s="42" t="n">
        <v>45983.48609953704</v>
      </c>
      <c r="AA778" t="n">
        <v>0</v>
      </c>
      <c r="AD778" t="n">
        <v>2</v>
      </c>
      <c r="AE778" t="n">
        <v>2</v>
      </c>
      <c r="AF778" t="n">
        <v>0</v>
      </c>
      <c r="AI778" t="n">
        <v>0</v>
      </c>
      <c r="AJ778" t="n">
        <v>0</v>
      </c>
      <c r="AN778" t="n">
        <v>0</v>
      </c>
      <c r="AO778" t="n">
        <v>0</v>
      </c>
      <c r="AP778" t="n">
        <v>0</v>
      </c>
      <c r="AQ778" t="n">
        <v>24</v>
      </c>
      <c r="AR778" t="n">
        <v>0</v>
      </c>
    </row>
    <row r="779">
      <c r="A779" t="n">
        <v>194251</v>
      </c>
      <c r="B779" t="inlineStr">
        <is>
          <t>انتخاب نماینده بنیاد مسکن</t>
        </is>
      </c>
      <c r="D779" t="inlineStr">
        <is>
          <t>Medium</t>
        </is>
      </c>
      <c r="E779" t="n">
        <v>1</v>
      </c>
      <c r="F779" t="inlineStr">
        <is>
          <t>Removed</t>
        </is>
      </c>
      <c r="G779" t="inlineStr">
        <is>
          <t>Other</t>
        </is>
      </c>
      <c r="I779" t="inlineStr">
        <is>
          <t>Bizagi_Team</t>
        </is>
      </c>
      <c r="J779" t="inlineStr">
        <is>
          <t>SAJAK</t>
        </is>
      </c>
      <c r="K779" t="inlineStr">
        <is>
          <t>Estate_Sprint 43</t>
        </is>
      </c>
      <c r="M779" t="inlineStr">
        <is>
          <t>Seyfollahi Artin</t>
        </is>
      </c>
      <c r="Q779" s="42" t="n">
        <v>45971.70726851852</v>
      </c>
      <c r="S779" t="n">
        <v>0</v>
      </c>
      <c r="T779" s="42" t="n">
        <v>45971.70726851852</v>
      </c>
      <c r="AA779" t="n">
        <v>0</v>
      </c>
      <c r="AD779" t="n">
        <v>2</v>
      </c>
      <c r="AE779" t="n">
        <v>2</v>
      </c>
      <c r="AF779" t="n">
        <v>0</v>
      </c>
      <c r="AI779" t="n">
        <v>0</v>
      </c>
      <c r="AJ779" t="n">
        <v>0</v>
      </c>
      <c r="AN779" t="n">
        <v>0</v>
      </c>
      <c r="AO779" t="n">
        <v>0</v>
      </c>
      <c r="AP779" t="n">
        <v>0</v>
      </c>
      <c r="AQ779" t="n">
        <v>24</v>
      </c>
      <c r="AR779" t="n">
        <v>0</v>
      </c>
    </row>
    <row r="780">
      <c r="A780" t="n">
        <v>194252</v>
      </c>
      <c r="B780" t="inlineStr">
        <is>
          <t>عدم تطابق فرم اضافه کردن نماینده بنیاد مسکن</t>
        </is>
      </c>
      <c r="D780" t="inlineStr">
        <is>
          <t>Medium</t>
        </is>
      </c>
      <c r="E780" t="n">
        <v>1</v>
      </c>
      <c r="F780" t="inlineStr">
        <is>
          <t>Closed</t>
        </is>
      </c>
      <c r="G780" t="inlineStr">
        <is>
          <t>Other</t>
        </is>
      </c>
      <c r="I780" t="inlineStr">
        <is>
          <t>Bizagi_Team</t>
        </is>
      </c>
      <c r="J780" t="inlineStr">
        <is>
          <t>SAJAK</t>
        </is>
      </c>
      <c r="K780" t="inlineStr">
        <is>
          <t>Estate_Sprint 44</t>
        </is>
      </c>
      <c r="M780" t="inlineStr">
        <is>
          <t>Zeynali Masoud</t>
        </is>
      </c>
      <c r="N780" t="inlineStr">
        <is>
          <t>Moradnoori Parinaz</t>
        </is>
      </c>
      <c r="O780" s="42" t="n">
        <v>45979.4981712963</v>
      </c>
      <c r="Q780" s="42" t="n">
        <v>45979.4981712963</v>
      </c>
      <c r="S780" t="n">
        <v>0</v>
      </c>
      <c r="T780" s="42" t="n">
        <v>45979.4981712963</v>
      </c>
      <c r="Z780" s="42" t="n">
        <v>45979.4981712963</v>
      </c>
      <c r="AA780" t="n">
        <v>0</v>
      </c>
      <c r="AD780" t="n">
        <v>2</v>
      </c>
      <c r="AE780" t="n">
        <v>2</v>
      </c>
      <c r="AF780" t="n">
        <v>0</v>
      </c>
      <c r="AI780" t="n">
        <v>0</v>
      </c>
      <c r="AJ780" t="n">
        <v>0</v>
      </c>
      <c r="AK780" t="n">
        <v>0</v>
      </c>
      <c r="AL780" t="n">
        <v>0</v>
      </c>
      <c r="AN780" t="n">
        <v>0</v>
      </c>
      <c r="AO780" t="n">
        <v>0</v>
      </c>
      <c r="AP780" t="n">
        <v>0</v>
      </c>
      <c r="AQ780" t="n">
        <v>24</v>
      </c>
      <c r="AR780" t="n">
        <v>0</v>
      </c>
    </row>
    <row r="781">
      <c r="A781" t="n">
        <v>194253</v>
      </c>
      <c r="B781" t="inlineStr">
        <is>
          <t xml:space="preserve">1365/کمبو نوع مالکیت در فرم ثبت شخص حقیقی / حقوقی  خالی می باشد </t>
        </is>
      </c>
      <c r="D781" t="inlineStr">
        <is>
          <t>Medium</t>
        </is>
      </c>
      <c r="E781" t="n">
        <v>1</v>
      </c>
      <c r="F781" t="inlineStr">
        <is>
          <t>Closed</t>
        </is>
      </c>
      <c r="G781" t="inlineStr">
        <is>
          <t>Other</t>
        </is>
      </c>
      <c r="J781" t="inlineStr">
        <is>
          <t>Dem</t>
        </is>
      </c>
      <c r="K781" t="inlineStr">
        <is>
          <t>DemBiz</t>
        </is>
      </c>
      <c r="M781" t="inlineStr">
        <is>
          <t>Hoseini Fatemeh</t>
        </is>
      </c>
      <c r="N781" t="inlineStr">
        <is>
          <t>Hajizadeh Elnaz</t>
        </is>
      </c>
      <c r="O781" s="42" t="n">
        <v>45970.68648148148</v>
      </c>
      <c r="Q781" s="42" t="n">
        <v>45970.68648148148</v>
      </c>
      <c r="S781" t="n">
        <v>0</v>
      </c>
      <c r="T781" s="42" t="n">
        <v>45970.68648148148</v>
      </c>
      <c r="Z781" s="42" t="n">
        <v>45970.68648148148</v>
      </c>
      <c r="AA781" t="n">
        <v>0</v>
      </c>
      <c r="AD781" t="n">
        <v>2</v>
      </c>
      <c r="AE781" t="n">
        <v>2</v>
      </c>
      <c r="AF781" t="n">
        <v>0</v>
      </c>
      <c r="AI781" t="n">
        <v>0</v>
      </c>
      <c r="AJ781" t="n">
        <v>0</v>
      </c>
      <c r="AK781" t="n">
        <v>0</v>
      </c>
      <c r="AL781" t="n">
        <v>0</v>
      </c>
      <c r="AN781" t="n">
        <v>0</v>
      </c>
      <c r="AO781" t="n">
        <v>0</v>
      </c>
      <c r="AP781" t="n">
        <v>0</v>
      </c>
      <c r="AQ781" t="n">
        <v>24</v>
      </c>
      <c r="AR781" t="n">
        <v>0</v>
      </c>
    </row>
    <row r="782">
      <c r="A782" t="n">
        <v>194254</v>
      </c>
      <c r="B782" t="inlineStr">
        <is>
          <t>عدم تطابق فرم اضافه کردن نماینده بنیاد مسکن</t>
        </is>
      </c>
      <c r="D782" t="inlineStr">
        <is>
          <t>Medium</t>
        </is>
      </c>
      <c r="E782" t="n">
        <v>1</v>
      </c>
      <c r="F782" t="inlineStr">
        <is>
          <t>Approved</t>
        </is>
      </c>
      <c r="G782" t="inlineStr">
        <is>
          <t>Other</t>
        </is>
      </c>
      <c r="I782" t="inlineStr">
        <is>
          <t>Bizagi_Team</t>
        </is>
      </c>
      <c r="J782" t="inlineStr">
        <is>
          <t>SAJAK</t>
        </is>
      </c>
      <c r="K782" t="inlineStr">
        <is>
          <t>Estate_Sprint 44</t>
        </is>
      </c>
      <c r="M782" t="inlineStr">
        <is>
          <t>Jafari Saeed</t>
        </is>
      </c>
      <c r="Q782" s="42" t="n">
        <v>45990.66482638889</v>
      </c>
      <c r="S782" t="n">
        <v>0</v>
      </c>
      <c r="T782" s="42" t="n">
        <v>45990.66482638889</v>
      </c>
      <c r="AA782" t="n">
        <v>0</v>
      </c>
      <c r="AD782" t="n">
        <v>2</v>
      </c>
      <c r="AE782" t="n">
        <v>2</v>
      </c>
      <c r="AF782" t="n">
        <v>0</v>
      </c>
      <c r="AI782" t="n">
        <v>0</v>
      </c>
      <c r="AJ782" t="n">
        <v>0</v>
      </c>
      <c r="AN782" t="n">
        <v>0</v>
      </c>
      <c r="AO782" t="n">
        <v>0</v>
      </c>
      <c r="AP782" t="n">
        <v>0</v>
      </c>
      <c r="AQ782" t="n">
        <v>24</v>
      </c>
      <c r="AR782" t="n">
        <v>0</v>
      </c>
    </row>
    <row r="783">
      <c r="A783" t="n">
        <v>194255</v>
      </c>
      <c r="B783" t="inlineStr">
        <is>
          <t>جلوگیری از انتخاب زمان بادید قبل از روز جاری</t>
        </is>
      </c>
      <c r="D783" t="inlineStr">
        <is>
          <t>Medium</t>
        </is>
      </c>
      <c r="E783" t="n">
        <v>1</v>
      </c>
      <c r="F783" t="inlineStr">
        <is>
          <t>Closed</t>
        </is>
      </c>
      <c r="G783" t="inlineStr">
        <is>
          <t>Other</t>
        </is>
      </c>
      <c r="I783" t="inlineStr">
        <is>
          <t>Bizagi_Team</t>
        </is>
      </c>
      <c r="J783" t="inlineStr">
        <is>
          <t>SAJAK</t>
        </is>
      </c>
      <c r="K783" t="inlineStr">
        <is>
          <t>Estate_Sprint 44</t>
        </is>
      </c>
      <c r="M783" t="inlineStr">
        <is>
          <t>Seyfollahi Artin</t>
        </is>
      </c>
      <c r="N783" t="inlineStr">
        <is>
          <t>Moradnoori Parinaz</t>
        </is>
      </c>
      <c r="O783" s="42" t="n">
        <v>45978.7275</v>
      </c>
      <c r="Q783" s="42" t="n">
        <v>45978.7275</v>
      </c>
      <c r="S783" t="n">
        <v>0</v>
      </c>
      <c r="T783" s="42" t="n">
        <v>45978.7275</v>
      </c>
      <c r="Z783" s="42" t="n">
        <v>45978.7275</v>
      </c>
      <c r="AA783" t="n">
        <v>0</v>
      </c>
      <c r="AD783" t="n">
        <v>2</v>
      </c>
      <c r="AE783" t="n">
        <v>2</v>
      </c>
      <c r="AF783" t="n">
        <v>0</v>
      </c>
      <c r="AI783" t="n">
        <v>0</v>
      </c>
      <c r="AJ783" t="n">
        <v>0</v>
      </c>
      <c r="AK783" t="n">
        <v>0</v>
      </c>
      <c r="AL783" t="n">
        <v>0</v>
      </c>
      <c r="AN783" t="n">
        <v>0</v>
      </c>
      <c r="AO783" t="n">
        <v>0</v>
      </c>
      <c r="AP783" t="n">
        <v>0</v>
      </c>
      <c r="AQ783" t="n">
        <v>24</v>
      </c>
      <c r="AR783" t="n">
        <v>0</v>
      </c>
    </row>
    <row r="784">
      <c r="A784" t="n">
        <v>194257</v>
      </c>
      <c r="B784" t="inlineStr">
        <is>
          <t>نمایش ندادن  تعداد کار های کارتابل NFWarch</t>
        </is>
      </c>
      <c r="D784" t="inlineStr">
        <is>
          <t>Medium</t>
        </is>
      </c>
      <c r="E784" t="n">
        <v>2</v>
      </c>
      <c r="F784" t="inlineStr">
        <is>
          <t>New</t>
        </is>
      </c>
      <c r="G784" t="inlineStr">
        <is>
          <t>Other</t>
        </is>
      </c>
      <c r="J784" t="inlineStr">
        <is>
          <t>Infrastructure Bizagi Extension</t>
        </is>
      </c>
      <c r="K784" t="inlineStr">
        <is>
          <t>SP-87</t>
        </is>
      </c>
      <c r="M784" t="inlineStr">
        <is>
          <t>Mirshomali Pouya</t>
        </is>
      </c>
      <c r="Q784" s="42" t="n">
        <v>45970.59847222222</v>
      </c>
      <c r="S784" t="n">
        <v>0</v>
      </c>
      <c r="T784" s="42" t="n">
        <v>45970.59847222222</v>
      </c>
      <c r="AA784" t="n">
        <v>0</v>
      </c>
      <c r="AD784" t="n">
        <v>2</v>
      </c>
      <c r="AE784" t="n">
        <v>2</v>
      </c>
      <c r="AF784" t="n">
        <v>0</v>
      </c>
      <c r="AI784" t="n">
        <v>0</v>
      </c>
      <c r="AJ784" t="n">
        <v>0</v>
      </c>
      <c r="AM784" t="n">
        <v>47</v>
      </c>
      <c r="AN784" t="n">
        <v>0</v>
      </c>
      <c r="AO784" t="n">
        <v>0</v>
      </c>
      <c r="AP784" t="n">
        <v>0</v>
      </c>
      <c r="AQ784" t="n">
        <v>24</v>
      </c>
      <c r="AR784" t="n">
        <v>0</v>
      </c>
    </row>
    <row r="785">
      <c r="A785" t="n">
        <v>194258</v>
      </c>
      <c r="B785" t="inlineStr">
        <is>
          <t>ردیف وثائق در فرم لینک ویرایش نامرتب  می باشد/ 1365</t>
        </is>
      </c>
      <c r="D785" t="inlineStr">
        <is>
          <t>Medium</t>
        </is>
      </c>
      <c r="E785" t="n">
        <v>2</v>
      </c>
      <c r="F785" t="inlineStr">
        <is>
          <t>Closed</t>
        </is>
      </c>
      <c r="G785" t="inlineStr">
        <is>
          <t>Other</t>
        </is>
      </c>
      <c r="J785" t="inlineStr">
        <is>
          <t>Dem</t>
        </is>
      </c>
      <c r="K785" t="inlineStr">
        <is>
          <t>DemBiz</t>
        </is>
      </c>
      <c r="M785" t="inlineStr">
        <is>
          <t>Moradi Mohammad</t>
        </is>
      </c>
      <c r="N785" t="inlineStr">
        <is>
          <t>Hajizadeh Elnaz</t>
        </is>
      </c>
      <c r="O785" s="42" t="n">
        <v>45976.4963425926</v>
      </c>
      <c r="Q785" s="42" t="n">
        <v>45976.4963425926</v>
      </c>
      <c r="S785" t="n">
        <v>0</v>
      </c>
      <c r="T785" s="42" t="n">
        <v>45976.4963425926</v>
      </c>
      <c r="Z785" s="42" t="n">
        <v>45976.4963425926</v>
      </c>
      <c r="AA785" t="n">
        <v>0</v>
      </c>
      <c r="AD785" t="n">
        <v>2</v>
      </c>
      <c r="AE785" t="n">
        <v>2</v>
      </c>
      <c r="AF785" t="n">
        <v>0</v>
      </c>
      <c r="AI785" t="n">
        <v>0</v>
      </c>
      <c r="AJ785" t="n">
        <v>0</v>
      </c>
      <c r="AK785" t="n">
        <v>0</v>
      </c>
      <c r="AL785" t="n">
        <v>0</v>
      </c>
      <c r="AN785" t="n">
        <v>0</v>
      </c>
      <c r="AO785" t="n">
        <v>0</v>
      </c>
      <c r="AP785" t="n">
        <v>0</v>
      </c>
      <c r="AQ785" t="n">
        <v>24</v>
      </c>
      <c r="AR785" t="n">
        <v>0</v>
      </c>
    </row>
    <row r="786">
      <c r="A786" t="n">
        <v>194264</v>
      </c>
      <c r="B786" t="inlineStr">
        <is>
          <t>1365/دکمه ثبت در فرم  ثبت اطلاعات شرکا  خطای دسیمال می دهد</t>
        </is>
      </c>
      <c r="D786" t="inlineStr">
        <is>
          <t>Medium</t>
        </is>
      </c>
      <c r="E786" t="n">
        <v>1</v>
      </c>
      <c r="F786" t="inlineStr">
        <is>
          <t>Closed</t>
        </is>
      </c>
      <c r="G786" t="inlineStr">
        <is>
          <t>Other</t>
        </is>
      </c>
      <c r="J786" t="inlineStr">
        <is>
          <t>Dem</t>
        </is>
      </c>
      <c r="K786" t="inlineStr">
        <is>
          <t>DemBiz</t>
        </is>
      </c>
      <c r="M786" t="inlineStr">
        <is>
          <t>Javanmardi Mojan</t>
        </is>
      </c>
      <c r="N786" t="inlineStr">
        <is>
          <t>Mohseni Hadise</t>
        </is>
      </c>
      <c r="O786" s="42" t="n">
        <v>45973.39112268519</v>
      </c>
      <c r="Q786" s="42" t="n">
        <v>45973.39112268519</v>
      </c>
      <c r="S786" t="n">
        <v>0</v>
      </c>
      <c r="T786" s="42" t="n">
        <v>45973.39112268519</v>
      </c>
      <c r="Z786" s="42" t="n">
        <v>45973.39112268519</v>
      </c>
      <c r="AA786" t="n">
        <v>0</v>
      </c>
      <c r="AD786" t="n">
        <v>2</v>
      </c>
      <c r="AE786" t="n">
        <v>2</v>
      </c>
      <c r="AF786" t="n">
        <v>0</v>
      </c>
      <c r="AI786" t="n">
        <v>0</v>
      </c>
      <c r="AJ786" t="n">
        <v>0</v>
      </c>
      <c r="AK786" t="n">
        <v>0</v>
      </c>
      <c r="AL786" t="n">
        <v>0</v>
      </c>
      <c r="AN786" t="n">
        <v>0</v>
      </c>
      <c r="AO786" t="n">
        <v>0</v>
      </c>
      <c r="AP786" t="n">
        <v>0</v>
      </c>
      <c r="AQ786" t="n">
        <v>24</v>
      </c>
      <c r="AR786" t="n">
        <v>0</v>
      </c>
    </row>
    <row r="787">
      <c r="A787" t="n">
        <v>194292</v>
      </c>
      <c r="B787" t="inlineStr">
        <is>
          <t>405 بعد از زدن دکمه لاگ اوت NFWarch</t>
        </is>
      </c>
      <c r="D787" t="inlineStr">
        <is>
          <t>Medium</t>
        </is>
      </c>
      <c r="E787" t="n">
        <v>2</v>
      </c>
      <c r="F787" t="inlineStr">
        <is>
          <t>Closed</t>
        </is>
      </c>
      <c r="G787" t="inlineStr">
        <is>
          <t>Other</t>
        </is>
      </c>
      <c r="J787" t="inlineStr">
        <is>
          <t>Infrastructure Bizagi Extension</t>
        </is>
      </c>
      <c r="K787" t="inlineStr">
        <is>
          <t>SP-87</t>
        </is>
      </c>
      <c r="M787" t="inlineStr">
        <is>
          <t>Mirshomali Pouya</t>
        </is>
      </c>
      <c r="N787" t="inlineStr">
        <is>
          <t>Mojtaba MohammadGholi</t>
        </is>
      </c>
      <c r="O787" s="42" t="n">
        <v>45971.46240740741</v>
      </c>
      <c r="Q787" s="42" t="n">
        <v>45971.46240740741</v>
      </c>
      <c r="S787" t="n">
        <v>0</v>
      </c>
      <c r="T787" s="42" t="n">
        <v>45971.46240740741</v>
      </c>
      <c r="Z787" s="42" t="n">
        <v>45971.46240740741</v>
      </c>
      <c r="AA787" t="n">
        <v>0</v>
      </c>
      <c r="AD787" t="n">
        <v>2</v>
      </c>
      <c r="AE787" t="n">
        <v>2</v>
      </c>
      <c r="AF787" t="n">
        <v>0</v>
      </c>
      <c r="AI787" t="n">
        <v>0</v>
      </c>
      <c r="AJ787" t="n">
        <v>0</v>
      </c>
      <c r="AK787" t="n">
        <v>0</v>
      </c>
      <c r="AL787" t="n">
        <v>0</v>
      </c>
      <c r="AN787" t="n">
        <v>0</v>
      </c>
      <c r="AO787" t="n">
        <v>0</v>
      </c>
      <c r="AP787" t="n">
        <v>0</v>
      </c>
      <c r="AQ787" t="n">
        <v>24</v>
      </c>
      <c r="AR787" t="n">
        <v>0</v>
      </c>
    </row>
    <row r="788">
      <c r="A788" t="n">
        <v>194453</v>
      </c>
      <c r="B788" t="inlineStr">
        <is>
          <t xml:space="preserve">تکرار عنوان تعیین وضعیت ثبتی </t>
        </is>
      </c>
      <c r="D788" t="inlineStr">
        <is>
          <t>Medium</t>
        </is>
      </c>
      <c r="E788" t="n">
        <v>4</v>
      </c>
      <c r="F788" t="inlineStr">
        <is>
          <t>Closed</t>
        </is>
      </c>
      <c r="G788" t="inlineStr">
        <is>
          <t>Other</t>
        </is>
      </c>
      <c r="I788" t="inlineStr">
        <is>
          <t>Bizagi_Team</t>
        </is>
      </c>
      <c r="J788" t="inlineStr">
        <is>
          <t>SAJAK</t>
        </is>
      </c>
      <c r="K788" t="inlineStr">
        <is>
          <t>Estate_Sprint 44</t>
        </is>
      </c>
      <c r="M788" t="inlineStr">
        <is>
          <t>Shamsfard Ahmad</t>
        </is>
      </c>
      <c r="O788" s="42" t="n">
        <v>45978.71429398148</v>
      </c>
      <c r="Q788" s="42" t="n">
        <v>45978.71429398148</v>
      </c>
      <c r="S788" t="n">
        <v>0</v>
      </c>
      <c r="T788" s="42" t="n">
        <v>45978.71429398148</v>
      </c>
      <c r="Z788" s="42" t="n">
        <v>45978.71429398148</v>
      </c>
      <c r="AA788" t="n">
        <v>0</v>
      </c>
      <c r="AD788" t="n">
        <v>2</v>
      </c>
      <c r="AE788" t="n">
        <v>2</v>
      </c>
      <c r="AF788" t="n">
        <v>0</v>
      </c>
      <c r="AI788" t="n">
        <v>0</v>
      </c>
      <c r="AJ788" t="n">
        <v>0</v>
      </c>
      <c r="AK788" t="n">
        <v>0</v>
      </c>
      <c r="AL788" t="n">
        <v>0</v>
      </c>
      <c r="AN788" t="n">
        <v>0</v>
      </c>
      <c r="AO788" t="n">
        <v>0</v>
      </c>
      <c r="AP788" t="n">
        <v>0</v>
      </c>
      <c r="AQ788" t="n">
        <v>24</v>
      </c>
      <c r="AR788" t="n">
        <v>0</v>
      </c>
    </row>
    <row r="789">
      <c r="A789" t="n">
        <v>194517</v>
      </c>
      <c r="B789" t="inlineStr">
        <is>
          <t xml:space="preserve">وثائق در جزییات عقود ادیتبل می باشد  </t>
        </is>
      </c>
      <c r="D789" t="inlineStr">
        <is>
          <t>Medium</t>
        </is>
      </c>
      <c r="E789" t="n">
        <v>2</v>
      </c>
      <c r="F789" t="inlineStr">
        <is>
          <t>Closed</t>
        </is>
      </c>
      <c r="G789" t="inlineStr">
        <is>
          <t>Other</t>
        </is>
      </c>
      <c r="J789" t="inlineStr">
        <is>
          <t>Dem</t>
        </is>
      </c>
      <c r="K789" t="inlineStr">
        <is>
          <t>DemBiz</t>
        </is>
      </c>
      <c r="M789" t="inlineStr">
        <is>
          <t>Moradi Mohammad</t>
        </is>
      </c>
      <c r="N789" t="inlineStr">
        <is>
          <t>Mohseni Hadise</t>
        </is>
      </c>
      <c r="O789" s="42" t="n">
        <v>45997.38395833333</v>
      </c>
      <c r="Q789" s="42" t="n">
        <v>45997.38395833333</v>
      </c>
      <c r="S789" t="n">
        <v>0</v>
      </c>
      <c r="T789" s="42" t="n">
        <v>45997.38395833333</v>
      </c>
      <c r="Z789" s="42" t="n">
        <v>45997.38395833333</v>
      </c>
      <c r="AA789" t="n">
        <v>0</v>
      </c>
      <c r="AD789" t="n">
        <v>2</v>
      </c>
      <c r="AE789" t="n">
        <v>2</v>
      </c>
      <c r="AF789" t="n">
        <v>0</v>
      </c>
      <c r="AI789" t="n">
        <v>0</v>
      </c>
      <c r="AJ789" t="n">
        <v>0</v>
      </c>
      <c r="AK789" t="n">
        <v>0</v>
      </c>
      <c r="AL789" t="n">
        <v>0</v>
      </c>
      <c r="AN789" t="n">
        <v>0</v>
      </c>
      <c r="AO789" t="n">
        <v>0</v>
      </c>
      <c r="AP789" t="n">
        <v>0</v>
      </c>
      <c r="AQ789" t="n">
        <v>24</v>
      </c>
      <c r="AR789" t="n">
        <v>0</v>
      </c>
    </row>
    <row r="790">
      <c r="A790" t="n">
        <v>194529</v>
      </c>
      <c r="B790" t="inlineStr">
        <is>
          <t>عدم انتقال مقدار طول ها در بخش حدود در کارتابل پیگیری</t>
        </is>
      </c>
      <c r="D790" t="inlineStr">
        <is>
          <t>Medium</t>
        </is>
      </c>
      <c r="E790" t="n">
        <v>1</v>
      </c>
      <c r="F790" t="inlineStr">
        <is>
          <t>Closed</t>
        </is>
      </c>
      <c r="G790" t="inlineStr">
        <is>
          <t>Other</t>
        </is>
      </c>
      <c r="J790" t="inlineStr">
        <is>
          <t>SAJAK</t>
        </is>
      </c>
      <c r="K790" t="inlineStr">
        <is>
          <t>GIS_Sprint 39</t>
        </is>
      </c>
      <c r="M790" t="inlineStr">
        <is>
          <t>Shivanasab Pooya</t>
        </is>
      </c>
      <c r="N790" t="inlineStr">
        <is>
          <t>Shivanasab Pooya</t>
        </is>
      </c>
      <c r="O790" s="42" t="n">
        <v>45990.39616898148</v>
      </c>
      <c r="Q790" s="42" t="n">
        <v>45990.39616898148</v>
      </c>
      <c r="S790" t="n">
        <v>0</v>
      </c>
      <c r="T790" s="42" t="n">
        <v>45990.39616898148</v>
      </c>
      <c r="Z790" s="42" t="n">
        <v>45990.39616898148</v>
      </c>
      <c r="AA790" t="n">
        <v>0</v>
      </c>
      <c r="AD790" t="n">
        <v>2</v>
      </c>
      <c r="AE790" t="n">
        <v>2</v>
      </c>
      <c r="AF790" t="n">
        <v>0</v>
      </c>
      <c r="AI790" t="n">
        <v>0</v>
      </c>
      <c r="AJ790" t="n">
        <v>0</v>
      </c>
      <c r="AK790" t="n">
        <v>0</v>
      </c>
      <c r="AL790" t="n">
        <v>0</v>
      </c>
      <c r="AN790" t="n">
        <v>0</v>
      </c>
      <c r="AO790" t="n">
        <v>0</v>
      </c>
      <c r="AP790" t="n">
        <v>0</v>
      </c>
      <c r="AQ790" t="n">
        <v>24</v>
      </c>
      <c r="AR790" t="n">
        <v>0</v>
      </c>
    </row>
    <row r="791">
      <c r="A791" t="n">
        <v>194575</v>
      </c>
      <c r="B791" t="inlineStr">
        <is>
          <t xml:space="preserve"> 1365/عدم سیو شدن مبلغ نرخ ارز در فرم لینک ویرایش درخواست</t>
        </is>
      </c>
      <c r="D791" t="inlineStr">
        <is>
          <t>Medium</t>
        </is>
      </c>
      <c r="E791" t="n">
        <v>2</v>
      </c>
      <c r="F791" t="inlineStr">
        <is>
          <t>Closed</t>
        </is>
      </c>
      <c r="G791" t="inlineStr">
        <is>
          <t>Other</t>
        </is>
      </c>
      <c r="J791" t="inlineStr">
        <is>
          <t>Dem</t>
        </is>
      </c>
      <c r="K791" t="inlineStr">
        <is>
          <t>DemBiz</t>
        </is>
      </c>
      <c r="M791" t="inlineStr">
        <is>
          <t>Moradi Mohammad</t>
        </is>
      </c>
      <c r="N791" t="inlineStr">
        <is>
          <t>Hajizadeh Elnaz</t>
        </is>
      </c>
      <c r="O791" s="42" t="n">
        <v>45976.49305555555</v>
      </c>
      <c r="Q791" s="42" t="n">
        <v>45976.49305555555</v>
      </c>
      <c r="S791" t="n">
        <v>0</v>
      </c>
      <c r="T791" s="42" t="n">
        <v>45976.49305555555</v>
      </c>
      <c r="Z791" s="42" t="n">
        <v>45976.49305555555</v>
      </c>
      <c r="AA791" t="n">
        <v>0</v>
      </c>
      <c r="AD791" t="n">
        <v>2</v>
      </c>
      <c r="AE791" t="n">
        <v>2</v>
      </c>
      <c r="AF791" t="n">
        <v>0</v>
      </c>
      <c r="AI791" t="n">
        <v>0</v>
      </c>
      <c r="AJ791" t="n">
        <v>0</v>
      </c>
      <c r="AK791" t="n">
        <v>0</v>
      </c>
      <c r="AL791" t="n">
        <v>0</v>
      </c>
      <c r="AN791" t="n">
        <v>0</v>
      </c>
      <c r="AO791" t="n">
        <v>0</v>
      </c>
      <c r="AP791" t="n">
        <v>0</v>
      </c>
      <c r="AQ791" t="n">
        <v>24</v>
      </c>
      <c r="AR791" t="n">
        <v>0</v>
      </c>
    </row>
    <row r="792">
      <c r="A792" t="n">
        <v>194618</v>
      </c>
      <c r="B792" t="inlineStr">
        <is>
          <t>خطا هنگام وارد کردن مقدار در فیلد "مدت هر دوره" در ثبت عقد تقسیط - ضمانت‌نامه/1365</t>
        </is>
      </c>
      <c r="D792" t="inlineStr">
        <is>
          <t>Medium</t>
        </is>
      </c>
      <c r="E792" t="n">
        <v>2</v>
      </c>
      <c r="F792" t="inlineStr">
        <is>
          <t>Closed</t>
        </is>
      </c>
      <c r="G792" t="inlineStr">
        <is>
          <t>Other</t>
        </is>
      </c>
      <c r="J792" t="inlineStr">
        <is>
          <t>Dem</t>
        </is>
      </c>
      <c r="K792" t="inlineStr">
        <is>
          <t>DemBiz</t>
        </is>
      </c>
      <c r="M792" t="inlineStr">
        <is>
          <t>Moradi Mohammad</t>
        </is>
      </c>
      <c r="N792" t="inlineStr">
        <is>
          <t>Hajizadeh Elnaz</t>
        </is>
      </c>
      <c r="O792" s="42" t="n">
        <v>45977.55967592593</v>
      </c>
      <c r="Q792" s="42" t="n">
        <v>45977.55967592593</v>
      </c>
      <c r="S792" t="n">
        <v>0</v>
      </c>
      <c r="T792" s="42" t="n">
        <v>45977.55967592593</v>
      </c>
      <c r="Z792" s="42" t="n">
        <v>45977.55967592593</v>
      </c>
      <c r="AA792" t="n">
        <v>0</v>
      </c>
      <c r="AD792" t="n">
        <v>2</v>
      </c>
      <c r="AE792" t="n">
        <v>2</v>
      </c>
      <c r="AF792" t="n">
        <v>0</v>
      </c>
      <c r="AI792" t="n">
        <v>0</v>
      </c>
      <c r="AJ792" t="n">
        <v>0</v>
      </c>
      <c r="AK792" t="n">
        <v>0</v>
      </c>
      <c r="AL792" t="n">
        <v>0</v>
      </c>
      <c r="AN792" t="n">
        <v>0</v>
      </c>
      <c r="AO792" t="n">
        <v>0</v>
      </c>
      <c r="AP792" t="n">
        <v>0</v>
      </c>
      <c r="AQ792" t="n">
        <v>24</v>
      </c>
      <c r="AR792" t="n">
        <v>0</v>
      </c>
    </row>
    <row r="793">
      <c r="A793" t="n">
        <v>194620</v>
      </c>
      <c r="B793" t="inlineStr">
        <is>
          <t>MOM01-ثبت هیات -  دکمه ادامه و ویرایش</t>
        </is>
      </c>
      <c r="D793" t="inlineStr">
        <is>
          <t>Medium</t>
        </is>
      </c>
      <c r="E793" t="n">
        <v>1</v>
      </c>
      <c r="F793" t="inlineStr">
        <is>
          <t>Closed</t>
        </is>
      </c>
      <c r="G793" t="inlineStr">
        <is>
          <t>Other</t>
        </is>
      </c>
      <c r="I793" t="inlineStr">
        <is>
          <t>Bizagi_Team</t>
        </is>
      </c>
      <c r="J793" t="inlineStr">
        <is>
          <t>SAJAK</t>
        </is>
      </c>
      <c r="K793" t="inlineStr">
        <is>
          <t>Estate_Sprint 44</t>
        </is>
      </c>
      <c r="M793" t="inlineStr">
        <is>
          <t>Kalaei Saman</t>
        </is>
      </c>
      <c r="N793" t="inlineStr">
        <is>
          <t>Mousavi Azadeh</t>
        </is>
      </c>
      <c r="O793" s="42" t="n">
        <v>45977.58114583333</v>
      </c>
      <c r="Q793" s="42" t="n">
        <v>45977.58114583333</v>
      </c>
      <c r="S793" t="n">
        <v>0</v>
      </c>
      <c r="T793" s="42" t="n">
        <v>45977.58114583333</v>
      </c>
      <c r="Z793" s="42" t="n">
        <v>45977.58114583333</v>
      </c>
      <c r="AA793" t="n">
        <v>0</v>
      </c>
      <c r="AD793" t="n">
        <v>2</v>
      </c>
      <c r="AE793" t="n">
        <v>2</v>
      </c>
      <c r="AF793" t="n">
        <v>0</v>
      </c>
      <c r="AI793" t="n">
        <v>0</v>
      </c>
      <c r="AJ793" t="n">
        <v>0</v>
      </c>
      <c r="AK793" t="n">
        <v>0</v>
      </c>
      <c r="AL793" t="n">
        <v>0</v>
      </c>
      <c r="AN793" t="n">
        <v>0</v>
      </c>
      <c r="AO793" t="n">
        <v>0</v>
      </c>
      <c r="AP793" t="n">
        <v>0</v>
      </c>
      <c r="AQ793" t="n">
        <v>24</v>
      </c>
      <c r="AR793" t="n">
        <v>0</v>
      </c>
    </row>
    <row r="794">
      <c r="A794" t="n">
        <v>194621</v>
      </c>
      <c r="B794" t="inlineStr">
        <is>
          <t>دکمه ذخیره در لینک ویرایش درخواست  پیغام خطا می دهد1365</t>
        </is>
      </c>
      <c r="D794" t="inlineStr">
        <is>
          <t>Medium</t>
        </is>
      </c>
      <c r="E794" t="n">
        <v>1</v>
      </c>
      <c r="F794" t="inlineStr">
        <is>
          <t>Closed</t>
        </is>
      </c>
      <c r="G794" t="inlineStr">
        <is>
          <t>Other</t>
        </is>
      </c>
      <c r="J794" t="inlineStr">
        <is>
          <t>Dem</t>
        </is>
      </c>
      <c r="K794" t="inlineStr">
        <is>
          <t>DemBiz</t>
        </is>
      </c>
      <c r="M794" t="inlineStr">
        <is>
          <t>Moradi Mohammad</t>
        </is>
      </c>
      <c r="N794" t="inlineStr">
        <is>
          <t>Mohseni Hadise</t>
        </is>
      </c>
      <c r="O794" s="42" t="n">
        <v>45973.38608796296</v>
      </c>
      <c r="Q794" s="42" t="n">
        <v>45973.38608796296</v>
      </c>
      <c r="S794" t="n">
        <v>0</v>
      </c>
      <c r="T794" s="42" t="n">
        <v>45973.38608796296</v>
      </c>
      <c r="Z794" s="42" t="n">
        <v>45973.38608796296</v>
      </c>
      <c r="AA794" t="n">
        <v>0</v>
      </c>
      <c r="AD794" t="n">
        <v>2</v>
      </c>
      <c r="AE794" t="n">
        <v>2</v>
      </c>
      <c r="AF794" t="n">
        <v>0</v>
      </c>
      <c r="AI794" t="n">
        <v>0</v>
      </c>
      <c r="AJ794" t="n">
        <v>0</v>
      </c>
      <c r="AK794" t="n">
        <v>0</v>
      </c>
      <c r="AL794" t="n">
        <v>0</v>
      </c>
      <c r="AN794" t="n">
        <v>0</v>
      </c>
      <c r="AO794" t="n">
        <v>0</v>
      </c>
      <c r="AP794" t="n">
        <v>0</v>
      </c>
      <c r="AQ794" t="n">
        <v>24</v>
      </c>
      <c r="AR794" t="n">
        <v>0</v>
      </c>
    </row>
    <row r="795">
      <c r="A795" t="n">
        <v>194622</v>
      </c>
      <c r="B795" t="inlineStr">
        <is>
          <t>Mom01_اصلاح رای  هیات -تیک در پرونده ها</t>
        </is>
      </c>
      <c r="D795" t="inlineStr">
        <is>
          <t>Medium</t>
        </is>
      </c>
      <c r="E795" t="n">
        <v>2</v>
      </c>
      <c r="F795" t="inlineStr">
        <is>
          <t>Closed</t>
        </is>
      </c>
      <c r="G795" t="inlineStr">
        <is>
          <t>Other</t>
        </is>
      </c>
      <c r="I795" t="inlineStr">
        <is>
          <t>Bizagi_Team</t>
        </is>
      </c>
      <c r="J795" t="inlineStr">
        <is>
          <t>SAJAK</t>
        </is>
      </c>
      <c r="K795" t="inlineStr">
        <is>
          <t>Estate_Sprint 44</t>
        </is>
      </c>
      <c r="M795" t="inlineStr">
        <is>
          <t>Tedadi Abbas</t>
        </is>
      </c>
      <c r="N795" t="inlineStr">
        <is>
          <t>Mousavi Azadeh</t>
        </is>
      </c>
      <c r="O795" s="42" t="n">
        <v>45980.34533564815</v>
      </c>
      <c r="Q795" s="42" t="n">
        <v>45980.34533564815</v>
      </c>
      <c r="S795" t="n">
        <v>0</v>
      </c>
      <c r="T795" s="42" t="n">
        <v>45980.34533564815</v>
      </c>
      <c r="Z795" s="42" t="n">
        <v>45980.34533564815</v>
      </c>
      <c r="AA795" t="n">
        <v>0</v>
      </c>
      <c r="AD795" t="n">
        <v>2</v>
      </c>
      <c r="AE795" t="n">
        <v>2</v>
      </c>
      <c r="AF795" t="n">
        <v>0</v>
      </c>
      <c r="AI795" t="n">
        <v>0</v>
      </c>
      <c r="AJ795" t="n">
        <v>0</v>
      </c>
      <c r="AK795" t="n">
        <v>0</v>
      </c>
      <c r="AL795" t="n">
        <v>0</v>
      </c>
      <c r="AN795" t="n">
        <v>0</v>
      </c>
      <c r="AO795" t="n">
        <v>0</v>
      </c>
      <c r="AP795" t="n">
        <v>0</v>
      </c>
      <c r="AQ795" t="n">
        <v>24</v>
      </c>
      <c r="AR795" t="n">
        <v>0</v>
      </c>
    </row>
    <row r="796">
      <c r="A796" t="n">
        <v>194624</v>
      </c>
      <c r="B796" t="inlineStr">
        <is>
          <t>دکمه اتمام عقود در فرم درخواست ، پیغام مبلغ حدو سقف می دهد ، /1365</t>
        </is>
      </c>
      <c r="D796" t="inlineStr">
        <is>
          <t>Medium</t>
        </is>
      </c>
      <c r="E796" t="n">
        <v>2</v>
      </c>
      <c r="F796" t="inlineStr">
        <is>
          <t>Closed</t>
        </is>
      </c>
      <c r="G796" t="inlineStr">
        <is>
          <t>Other</t>
        </is>
      </c>
      <c r="J796" t="inlineStr">
        <is>
          <t>Dem</t>
        </is>
      </c>
      <c r="K796" t="inlineStr">
        <is>
          <t>DemBiz</t>
        </is>
      </c>
      <c r="M796" t="inlineStr">
        <is>
          <t>Arshi Mahmood</t>
        </is>
      </c>
      <c r="N796" t="inlineStr">
        <is>
          <t>Mohseni Hadise</t>
        </is>
      </c>
      <c r="O796" s="42" t="n">
        <v>45973.37793981482</v>
      </c>
      <c r="Q796" s="42" t="n">
        <v>45973.37793981482</v>
      </c>
      <c r="S796" t="n">
        <v>0</v>
      </c>
      <c r="T796" s="42" t="n">
        <v>45973.37793981482</v>
      </c>
      <c r="Z796" s="42" t="n">
        <v>45973.37793981482</v>
      </c>
      <c r="AA796" t="n">
        <v>0</v>
      </c>
      <c r="AD796" t="n">
        <v>2</v>
      </c>
      <c r="AE796" t="n">
        <v>2</v>
      </c>
      <c r="AF796" t="n">
        <v>0</v>
      </c>
      <c r="AI796" t="n">
        <v>0</v>
      </c>
      <c r="AJ796" t="n">
        <v>0</v>
      </c>
      <c r="AK796" t="n">
        <v>0</v>
      </c>
      <c r="AL796" t="n">
        <v>0</v>
      </c>
      <c r="AN796" t="n">
        <v>0</v>
      </c>
      <c r="AO796" t="n">
        <v>0</v>
      </c>
      <c r="AP796" t="n">
        <v>0</v>
      </c>
      <c r="AQ796" t="n">
        <v>24</v>
      </c>
      <c r="AR796" t="n">
        <v>0</v>
      </c>
    </row>
    <row r="797">
      <c r="A797" t="n">
        <v>194628</v>
      </c>
      <c r="B797" t="inlineStr">
        <is>
          <t>Mom01_ثبت هیات -اعضای هیات</t>
        </is>
      </c>
      <c r="D797" t="inlineStr">
        <is>
          <t>Medium</t>
        </is>
      </c>
      <c r="E797" t="n">
        <v>2</v>
      </c>
      <c r="F797" t="inlineStr">
        <is>
          <t>Closed</t>
        </is>
      </c>
      <c r="G797" t="inlineStr">
        <is>
          <t>Other</t>
        </is>
      </c>
      <c r="I797" t="inlineStr">
        <is>
          <t>Bizagi_Team</t>
        </is>
      </c>
      <c r="J797" t="inlineStr">
        <is>
          <t>SAJAK</t>
        </is>
      </c>
      <c r="K797" t="inlineStr">
        <is>
          <t>Estate_Sprint 44</t>
        </is>
      </c>
      <c r="M797" t="inlineStr">
        <is>
          <t>Kalaei Saman</t>
        </is>
      </c>
      <c r="N797" t="inlineStr">
        <is>
          <t>Mousavi Azadeh</t>
        </is>
      </c>
      <c r="O797" s="42" t="n">
        <v>45977.56296296296</v>
      </c>
      <c r="Q797" s="42" t="n">
        <v>45977.56296296296</v>
      </c>
      <c r="S797" t="n">
        <v>0</v>
      </c>
      <c r="T797" s="42" t="n">
        <v>45977.56296296296</v>
      </c>
      <c r="Z797" s="42" t="n">
        <v>45977.56296296296</v>
      </c>
      <c r="AA797" t="n">
        <v>0</v>
      </c>
      <c r="AD797" t="n">
        <v>2</v>
      </c>
      <c r="AE797" t="n">
        <v>2</v>
      </c>
      <c r="AF797" t="n">
        <v>0</v>
      </c>
      <c r="AI797" t="n">
        <v>0</v>
      </c>
      <c r="AJ797" t="n">
        <v>0</v>
      </c>
      <c r="AK797" t="n">
        <v>0</v>
      </c>
      <c r="AL797" t="n">
        <v>0</v>
      </c>
      <c r="AN797" t="n">
        <v>0</v>
      </c>
      <c r="AO797" t="n">
        <v>0</v>
      </c>
      <c r="AP797" t="n">
        <v>0</v>
      </c>
      <c r="AQ797" t="n">
        <v>24</v>
      </c>
      <c r="AR797" t="n">
        <v>0</v>
      </c>
    </row>
    <row r="798">
      <c r="A798" t="n">
        <v>194630</v>
      </c>
      <c r="B798" t="inlineStr">
        <is>
          <t>تعیین تکلیف کد تقسیمات سیاسی</t>
        </is>
      </c>
      <c r="D798" t="inlineStr">
        <is>
          <t>Medium</t>
        </is>
      </c>
      <c r="E798" t="n">
        <v>1</v>
      </c>
      <c r="F798" t="inlineStr">
        <is>
          <t>Open</t>
        </is>
      </c>
      <c r="G798" t="inlineStr">
        <is>
          <t>Other</t>
        </is>
      </c>
      <c r="I798" t="inlineStr">
        <is>
          <t>Bizagi_Team</t>
        </is>
      </c>
      <c r="J798" t="inlineStr">
        <is>
          <t>SAJAK</t>
        </is>
      </c>
      <c r="K798" t="inlineStr">
        <is>
          <t>Estate_Sprint 43</t>
        </is>
      </c>
      <c r="M798" t="inlineStr">
        <is>
          <t>Taleb Amirreza</t>
        </is>
      </c>
      <c r="Q798" s="42" t="n">
        <v>46014.56222222222</v>
      </c>
      <c r="S798" t="n">
        <v>0</v>
      </c>
      <c r="T798" s="42" t="n">
        <v>46014.56222222222</v>
      </c>
      <c r="AA798" t="n">
        <v>0</v>
      </c>
      <c r="AD798" t="n">
        <v>2</v>
      </c>
      <c r="AE798" t="n">
        <v>2</v>
      </c>
      <c r="AF798" t="n">
        <v>0</v>
      </c>
      <c r="AI798" t="n">
        <v>0</v>
      </c>
      <c r="AJ798" t="n">
        <v>0</v>
      </c>
      <c r="AM798" t="n">
        <v>3</v>
      </c>
      <c r="AN798" t="n">
        <v>0</v>
      </c>
      <c r="AO798" t="n">
        <v>0</v>
      </c>
      <c r="AP798" t="n">
        <v>0</v>
      </c>
      <c r="AQ798" t="n">
        <v>24</v>
      </c>
      <c r="AR798" t="n">
        <v>0</v>
      </c>
    </row>
    <row r="799">
      <c r="A799" t="n">
        <v>194631</v>
      </c>
      <c r="B799" t="inlineStr">
        <is>
          <t>با حذف درخواست در فرم درخواست ، پیغام خطای دسیمال می دهد/1365</t>
        </is>
      </c>
      <c r="D799" t="inlineStr">
        <is>
          <t>Medium</t>
        </is>
      </c>
      <c r="E799" t="n">
        <v>1</v>
      </c>
      <c r="F799" t="inlineStr">
        <is>
          <t>Closed</t>
        </is>
      </c>
      <c r="G799" t="inlineStr">
        <is>
          <t>Other</t>
        </is>
      </c>
      <c r="J799" t="inlineStr">
        <is>
          <t>Dem</t>
        </is>
      </c>
      <c r="K799" t="inlineStr">
        <is>
          <t>DemBiz</t>
        </is>
      </c>
      <c r="M799" t="inlineStr">
        <is>
          <t>Javanmardi Mojan</t>
        </is>
      </c>
      <c r="N799" t="inlineStr">
        <is>
          <t>Mohseni Hadise</t>
        </is>
      </c>
      <c r="O799" s="42" t="n">
        <v>45973.3752662037</v>
      </c>
      <c r="Q799" s="42" t="n">
        <v>45973.3752662037</v>
      </c>
      <c r="S799" t="n">
        <v>0</v>
      </c>
      <c r="T799" s="42" t="n">
        <v>45973.3752662037</v>
      </c>
      <c r="Z799" s="42" t="n">
        <v>45973.3752662037</v>
      </c>
      <c r="AA799" t="n">
        <v>0</v>
      </c>
      <c r="AD799" t="n">
        <v>2</v>
      </c>
      <c r="AE799" t="n">
        <v>2</v>
      </c>
      <c r="AF799" t="n">
        <v>0</v>
      </c>
      <c r="AI799" t="n">
        <v>0</v>
      </c>
      <c r="AJ799" t="n">
        <v>0</v>
      </c>
      <c r="AK799" t="n">
        <v>0</v>
      </c>
      <c r="AL799" t="n">
        <v>0</v>
      </c>
      <c r="AN799" t="n">
        <v>0</v>
      </c>
      <c r="AO799" t="n">
        <v>0</v>
      </c>
      <c r="AP799" t="n">
        <v>0</v>
      </c>
      <c r="AQ799" t="n">
        <v>24</v>
      </c>
      <c r="AR799" t="n">
        <v>0</v>
      </c>
    </row>
    <row r="800">
      <c r="A800" t="n">
        <v>194635</v>
      </c>
      <c r="B800" t="inlineStr">
        <is>
          <t>Mom01_ثبت جلسه هیات -نمایش هیات تکراری</t>
        </is>
      </c>
      <c r="D800" t="inlineStr">
        <is>
          <t>Medium</t>
        </is>
      </c>
      <c r="E800" t="n">
        <v>2</v>
      </c>
      <c r="F800" t="inlineStr">
        <is>
          <t>Closed</t>
        </is>
      </c>
      <c r="G800" t="inlineStr">
        <is>
          <t>Other</t>
        </is>
      </c>
      <c r="I800" t="inlineStr">
        <is>
          <t>Bizagi_Team</t>
        </is>
      </c>
      <c r="J800" t="inlineStr">
        <is>
          <t>SAJAK</t>
        </is>
      </c>
      <c r="K800" t="inlineStr">
        <is>
          <t>Estate_Sprint 44</t>
        </is>
      </c>
      <c r="M800" t="inlineStr">
        <is>
          <t>Shamsfard Ahmad</t>
        </is>
      </c>
      <c r="N800" t="inlineStr">
        <is>
          <t>Mousavi Azadeh</t>
        </is>
      </c>
      <c r="O800" s="42" t="n">
        <v>45977.57450231481</v>
      </c>
      <c r="Q800" s="42" t="n">
        <v>45977.57450231481</v>
      </c>
      <c r="S800" t="n">
        <v>0</v>
      </c>
      <c r="T800" s="42" t="n">
        <v>45977.57450231481</v>
      </c>
      <c r="Z800" s="42" t="n">
        <v>45977.57450231481</v>
      </c>
      <c r="AA800" t="n">
        <v>0</v>
      </c>
      <c r="AD800" t="n">
        <v>2</v>
      </c>
      <c r="AE800" t="n">
        <v>2</v>
      </c>
      <c r="AF800" t="n">
        <v>0</v>
      </c>
      <c r="AI800" t="n">
        <v>0</v>
      </c>
      <c r="AJ800" t="n">
        <v>0</v>
      </c>
      <c r="AK800" t="n">
        <v>0</v>
      </c>
      <c r="AL800" t="n">
        <v>0</v>
      </c>
      <c r="AN800" t="n">
        <v>0</v>
      </c>
      <c r="AO800" t="n">
        <v>0</v>
      </c>
      <c r="AP800" t="n">
        <v>0</v>
      </c>
      <c r="AQ800" t="n">
        <v>24</v>
      </c>
      <c r="AR800" t="n">
        <v>0</v>
      </c>
    </row>
    <row r="801">
      <c r="A801" t="n">
        <v>194637</v>
      </c>
      <c r="B801" t="inlineStr">
        <is>
          <t>Mom01_زمان کوتاه تایم اوت شدن خطای 401</t>
        </is>
      </c>
      <c r="D801" t="inlineStr">
        <is>
          <t>Medium</t>
        </is>
      </c>
      <c r="E801" t="n">
        <v>2</v>
      </c>
      <c r="F801" t="inlineStr">
        <is>
          <t>Removed</t>
        </is>
      </c>
      <c r="G801" t="inlineStr">
        <is>
          <t>Other</t>
        </is>
      </c>
      <c r="I801" t="inlineStr">
        <is>
          <t>Bizagi_Team</t>
        </is>
      </c>
      <c r="J801" t="inlineStr">
        <is>
          <t>SAJAK</t>
        </is>
      </c>
      <c r="K801" t="inlineStr">
        <is>
          <t>Estate_Sprint 44</t>
        </is>
      </c>
      <c r="M801" t="inlineStr">
        <is>
          <t>Taleb Amirreza</t>
        </is>
      </c>
      <c r="Q801" s="42" t="n">
        <v>45971.42789351852</v>
      </c>
      <c r="S801" t="n">
        <v>0</v>
      </c>
      <c r="T801" s="42" t="n">
        <v>45971.42789351852</v>
      </c>
      <c r="AA801" t="n">
        <v>0</v>
      </c>
      <c r="AD801" t="n">
        <v>2</v>
      </c>
      <c r="AE801" t="n">
        <v>2</v>
      </c>
      <c r="AF801" t="n">
        <v>0</v>
      </c>
      <c r="AI801" t="n">
        <v>0</v>
      </c>
      <c r="AJ801" t="n">
        <v>0</v>
      </c>
      <c r="AN801" t="n">
        <v>0</v>
      </c>
      <c r="AO801" t="n">
        <v>0</v>
      </c>
      <c r="AP801" t="n">
        <v>0</v>
      </c>
      <c r="AQ801" t="n">
        <v>24</v>
      </c>
      <c r="AR801" t="n">
        <v>0</v>
      </c>
    </row>
    <row r="802">
      <c r="A802" t="n">
        <v>194639</v>
      </c>
      <c r="B802" t="inlineStr">
        <is>
          <t xml:space="preserve">Mom01_ثبت جلسه هیات </t>
        </is>
      </c>
      <c r="D802" t="inlineStr">
        <is>
          <t>Medium</t>
        </is>
      </c>
      <c r="E802" t="n">
        <v>2</v>
      </c>
      <c r="F802" t="inlineStr">
        <is>
          <t>Closed</t>
        </is>
      </c>
      <c r="G802" t="inlineStr">
        <is>
          <t>Other</t>
        </is>
      </c>
      <c r="I802" t="inlineStr">
        <is>
          <t>Bizagi_Team</t>
        </is>
      </c>
      <c r="J802" t="inlineStr">
        <is>
          <t>SAJAK</t>
        </is>
      </c>
      <c r="K802" t="inlineStr">
        <is>
          <t>Estate_Sprint 44</t>
        </is>
      </c>
      <c r="M802" t="inlineStr">
        <is>
          <t>Tedadi Abbas</t>
        </is>
      </c>
      <c r="N802" t="inlineStr">
        <is>
          <t>Mousavi Azadeh</t>
        </is>
      </c>
      <c r="O802" s="42" t="n">
        <v>45977.58094907407</v>
      </c>
      <c r="Q802" s="42" t="n">
        <v>45977.58094907407</v>
      </c>
      <c r="S802" t="n">
        <v>0</v>
      </c>
      <c r="T802" s="42" t="n">
        <v>45977.58094907407</v>
      </c>
      <c r="Z802" s="42" t="n">
        <v>45977.58094907407</v>
      </c>
      <c r="AA802" t="n">
        <v>0</v>
      </c>
      <c r="AD802" t="n">
        <v>2</v>
      </c>
      <c r="AE802" t="n">
        <v>2</v>
      </c>
      <c r="AF802" t="n">
        <v>0</v>
      </c>
      <c r="AI802" t="n">
        <v>0</v>
      </c>
      <c r="AJ802" t="n">
        <v>0</v>
      </c>
      <c r="AK802" t="n">
        <v>0</v>
      </c>
      <c r="AL802" t="n">
        <v>0</v>
      </c>
      <c r="AN802" t="n">
        <v>0</v>
      </c>
      <c r="AO802" t="n">
        <v>0</v>
      </c>
      <c r="AP802" t="n">
        <v>0</v>
      </c>
      <c r="AQ802" t="n">
        <v>24</v>
      </c>
      <c r="AR802" t="n">
        <v>0</v>
      </c>
    </row>
    <row r="803">
      <c r="A803" t="n">
        <v>194643</v>
      </c>
      <c r="B803" t="inlineStr">
        <is>
          <t>انتخاب نماینده بنیاد مسکن</t>
        </is>
      </c>
      <c r="D803" t="inlineStr">
        <is>
          <t>Medium</t>
        </is>
      </c>
      <c r="E803" t="n">
        <v>1</v>
      </c>
      <c r="F803" t="inlineStr">
        <is>
          <t>Removed</t>
        </is>
      </c>
      <c r="G803" t="inlineStr">
        <is>
          <t>Other</t>
        </is>
      </c>
      <c r="I803" t="inlineStr">
        <is>
          <t>Bizagi_Team</t>
        </is>
      </c>
      <c r="J803" t="inlineStr">
        <is>
          <t>SAJAK</t>
        </is>
      </c>
      <c r="K803" t="inlineStr">
        <is>
          <t>Estate_Sprint 43</t>
        </is>
      </c>
      <c r="M803" t="inlineStr">
        <is>
          <t>Seyfollahi Artin</t>
        </is>
      </c>
      <c r="Q803" s="42" t="n">
        <v>45971.7084837963</v>
      </c>
      <c r="S803" t="n">
        <v>0</v>
      </c>
      <c r="T803" s="42" t="n">
        <v>45971.7084837963</v>
      </c>
      <c r="AA803" t="n">
        <v>0</v>
      </c>
      <c r="AD803" t="n">
        <v>2</v>
      </c>
      <c r="AE803" t="n">
        <v>2</v>
      </c>
      <c r="AF803" t="n">
        <v>0</v>
      </c>
      <c r="AI803" t="n">
        <v>0</v>
      </c>
      <c r="AJ803" t="n">
        <v>0</v>
      </c>
      <c r="AN803" t="n">
        <v>0</v>
      </c>
      <c r="AO803" t="n">
        <v>0</v>
      </c>
      <c r="AP803" t="n">
        <v>0</v>
      </c>
      <c r="AQ803" t="n">
        <v>24</v>
      </c>
      <c r="AR803" t="n">
        <v>0</v>
      </c>
    </row>
    <row r="804">
      <c r="A804" t="n">
        <v>194646</v>
      </c>
      <c r="B804" t="inlineStr">
        <is>
          <t>ظفر&gt;تعیین اعضای کمیته&gt;ترتیب نادرست/1365</t>
        </is>
      </c>
      <c r="D804" t="inlineStr">
        <is>
          <t>Medium</t>
        </is>
      </c>
      <c r="E804" t="n">
        <v>2</v>
      </c>
      <c r="F804" t="inlineStr">
        <is>
          <t>Closed</t>
        </is>
      </c>
      <c r="G804" t="inlineStr">
        <is>
          <t>Other</t>
        </is>
      </c>
      <c r="J804" t="inlineStr">
        <is>
          <t>Dem</t>
        </is>
      </c>
      <c r="K804" t="inlineStr">
        <is>
          <t>DemBiz</t>
        </is>
      </c>
      <c r="M804" t="inlineStr">
        <is>
          <t>Moradi Mohammad</t>
        </is>
      </c>
      <c r="N804" t="inlineStr">
        <is>
          <t>Mohseni Hadise</t>
        </is>
      </c>
      <c r="O804" s="42" t="n">
        <v>45973.57106481482</v>
      </c>
      <c r="Q804" s="42" t="n">
        <v>45973.57106481482</v>
      </c>
      <c r="S804" t="n">
        <v>0</v>
      </c>
      <c r="T804" s="42" t="n">
        <v>45973.57106481482</v>
      </c>
      <c r="Z804" s="42" t="n">
        <v>45973.57106481482</v>
      </c>
      <c r="AA804" t="n">
        <v>0</v>
      </c>
      <c r="AD804" t="n">
        <v>2</v>
      </c>
      <c r="AE804" t="n">
        <v>2</v>
      </c>
      <c r="AF804" t="n">
        <v>0</v>
      </c>
      <c r="AI804" t="n">
        <v>0</v>
      </c>
      <c r="AJ804" t="n">
        <v>0</v>
      </c>
      <c r="AK804" t="n">
        <v>0</v>
      </c>
      <c r="AL804" t="n">
        <v>0</v>
      </c>
      <c r="AN804" t="n">
        <v>0</v>
      </c>
      <c r="AO804" t="n">
        <v>0</v>
      </c>
      <c r="AP804" t="n">
        <v>0</v>
      </c>
      <c r="AQ804" t="n">
        <v>24</v>
      </c>
      <c r="AR804" t="n">
        <v>0</v>
      </c>
    </row>
    <row r="805">
      <c r="A805" t="n">
        <v>194647</v>
      </c>
      <c r="B805" t="inlineStr">
        <is>
          <t>دکمه امضا در کمیته اعتباری منطقه پیغام خطا می دهد/1365</t>
        </is>
      </c>
      <c r="D805" t="inlineStr">
        <is>
          <t>Medium</t>
        </is>
      </c>
      <c r="E805" t="n">
        <v>2</v>
      </c>
      <c r="F805" t="inlineStr">
        <is>
          <t>Closed</t>
        </is>
      </c>
      <c r="G805" t="inlineStr">
        <is>
          <t>Other</t>
        </is>
      </c>
      <c r="J805" t="inlineStr">
        <is>
          <t>Dem</t>
        </is>
      </c>
      <c r="K805" t="inlineStr">
        <is>
          <t>DemBiz</t>
        </is>
      </c>
      <c r="M805" t="inlineStr">
        <is>
          <t>Hoseini Fatemeh</t>
        </is>
      </c>
      <c r="N805" t="inlineStr">
        <is>
          <t>Hajizadeh Elnaz</t>
        </is>
      </c>
      <c r="O805" s="42" t="n">
        <v>45971.69505787037</v>
      </c>
      <c r="Q805" s="42" t="n">
        <v>45971.69505787037</v>
      </c>
      <c r="S805" t="n">
        <v>0</v>
      </c>
      <c r="T805" s="42" t="n">
        <v>45971.69505787037</v>
      </c>
      <c r="Z805" s="42" t="n">
        <v>45971.69505787037</v>
      </c>
      <c r="AA805" t="n">
        <v>0</v>
      </c>
      <c r="AD805" t="n">
        <v>2</v>
      </c>
      <c r="AE805" t="n">
        <v>2</v>
      </c>
      <c r="AF805" t="n">
        <v>0</v>
      </c>
      <c r="AI805" t="n">
        <v>0</v>
      </c>
      <c r="AJ805" t="n">
        <v>0</v>
      </c>
      <c r="AK805" t="n">
        <v>0</v>
      </c>
      <c r="AL805" t="n">
        <v>0</v>
      </c>
      <c r="AN805" t="n">
        <v>0</v>
      </c>
      <c r="AO805" t="n">
        <v>0</v>
      </c>
      <c r="AP805" t="n">
        <v>0</v>
      </c>
      <c r="AQ805" t="n">
        <v>24</v>
      </c>
      <c r="AR805" t="n">
        <v>0</v>
      </c>
    </row>
    <row r="806">
      <c r="A806" t="n">
        <v>194648</v>
      </c>
      <c r="B806" t="inlineStr">
        <is>
          <t>همسایز نبودن کمبو (فرانت) NFWarch</t>
        </is>
      </c>
      <c r="D806" t="inlineStr">
        <is>
          <t>Medium</t>
        </is>
      </c>
      <c r="E806" t="n">
        <v>2</v>
      </c>
      <c r="F806" t="inlineStr">
        <is>
          <t>Closed</t>
        </is>
      </c>
      <c r="G806" t="inlineStr">
        <is>
          <t>Other</t>
        </is>
      </c>
      <c r="J806" t="inlineStr">
        <is>
          <t>Infrastructure Bizagi Extension</t>
        </is>
      </c>
      <c r="K806" t="inlineStr">
        <is>
          <t>SP-87</t>
        </is>
      </c>
      <c r="M806" t="inlineStr">
        <is>
          <t>Jafari Saeed</t>
        </is>
      </c>
      <c r="N806" t="inlineStr">
        <is>
          <t>Mojtaba MohammadGholi</t>
        </is>
      </c>
      <c r="O806" s="42" t="n">
        <v>45990.47550925926</v>
      </c>
      <c r="Q806" s="42" t="n">
        <v>45990.47550925926</v>
      </c>
      <c r="S806" t="n">
        <v>0</v>
      </c>
      <c r="T806" s="42" t="n">
        <v>45990.47550925926</v>
      </c>
      <c r="Z806" s="42" t="n">
        <v>45990.47550925926</v>
      </c>
      <c r="AA806" t="n">
        <v>0</v>
      </c>
      <c r="AD806" t="n">
        <v>2</v>
      </c>
      <c r="AE806" t="n">
        <v>2</v>
      </c>
      <c r="AF806" t="n">
        <v>0</v>
      </c>
      <c r="AI806" t="n">
        <v>0</v>
      </c>
      <c r="AJ806" t="n">
        <v>0</v>
      </c>
      <c r="AK806" t="n">
        <v>0</v>
      </c>
      <c r="AL806" t="n">
        <v>0</v>
      </c>
      <c r="AN806" t="n">
        <v>0</v>
      </c>
      <c r="AO806" t="n">
        <v>0</v>
      </c>
      <c r="AP806" t="n">
        <v>0</v>
      </c>
      <c r="AQ806" t="n">
        <v>24</v>
      </c>
      <c r="AR806" t="n">
        <v>0</v>
      </c>
    </row>
    <row r="807">
      <c r="A807" t="n">
        <v>194649</v>
      </c>
      <c r="B807" t="inlineStr">
        <is>
          <t>بعد از افزودن رکورد اخر میوفته داخل گرید NFWarch</t>
        </is>
      </c>
      <c r="D807" t="inlineStr">
        <is>
          <t>Medium</t>
        </is>
      </c>
      <c r="E807" t="n">
        <v>2</v>
      </c>
      <c r="F807" t="inlineStr">
        <is>
          <t>New</t>
        </is>
      </c>
      <c r="G807" t="inlineStr">
        <is>
          <t>Other</t>
        </is>
      </c>
      <c r="J807" t="inlineStr">
        <is>
          <t>Infrastructure Bizagi Extension</t>
        </is>
      </c>
      <c r="K807" t="inlineStr">
        <is>
          <t>SP-87</t>
        </is>
      </c>
      <c r="M807" t="inlineStr">
        <is>
          <t>Mirshomali Pouya</t>
        </is>
      </c>
      <c r="Q807" s="42" t="n">
        <v>45971.4634375</v>
      </c>
      <c r="S807" t="n">
        <v>0</v>
      </c>
      <c r="T807" s="42" t="n">
        <v>45971.4634375</v>
      </c>
      <c r="AA807" t="n">
        <v>0</v>
      </c>
      <c r="AD807" t="n">
        <v>2</v>
      </c>
      <c r="AE807" t="n">
        <v>2</v>
      </c>
      <c r="AF807" t="n">
        <v>0</v>
      </c>
      <c r="AI807" t="n">
        <v>0</v>
      </c>
      <c r="AJ807" t="n">
        <v>0</v>
      </c>
      <c r="AM807" t="n">
        <v>46</v>
      </c>
      <c r="AN807" t="n">
        <v>0</v>
      </c>
      <c r="AO807" t="n">
        <v>0</v>
      </c>
      <c r="AP807" t="n">
        <v>0</v>
      </c>
      <c r="AQ807" t="n">
        <v>24</v>
      </c>
      <c r="AR807" t="n">
        <v>0</v>
      </c>
    </row>
    <row r="808">
      <c r="A808" t="n">
        <v>194650</v>
      </c>
      <c r="B808" t="inlineStr">
        <is>
          <t>نشستن دیتا بعد از انتخاب NFWarch</t>
        </is>
      </c>
      <c r="D808" t="inlineStr">
        <is>
          <t>Medium</t>
        </is>
      </c>
      <c r="E808" t="n">
        <v>2</v>
      </c>
      <c r="F808" t="inlineStr">
        <is>
          <t>New</t>
        </is>
      </c>
      <c r="G808" t="inlineStr">
        <is>
          <t>Other</t>
        </is>
      </c>
      <c r="J808" t="inlineStr">
        <is>
          <t>Infrastructure Bizagi Extension</t>
        </is>
      </c>
      <c r="K808" t="inlineStr">
        <is>
          <t>SP-87</t>
        </is>
      </c>
      <c r="M808" t="inlineStr">
        <is>
          <t>Mirshomali Pouya</t>
        </is>
      </c>
      <c r="Q808" s="42" t="n">
        <v>45971.46396990741</v>
      </c>
      <c r="S808" t="n">
        <v>0</v>
      </c>
      <c r="T808" s="42" t="n">
        <v>45971.46396990741</v>
      </c>
      <c r="AA808" t="n">
        <v>0</v>
      </c>
      <c r="AD808" t="n">
        <v>2</v>
      </c>
      <c r="AE808" t="n">
        <v>2</v>
      </c>
      <c r="AF808" t="n">
        <v>0</v>
      </c>
      <c r="AI808" t="n">
        <v>0</v>
      </c>
      <c r="AJ808" t="n">
        <v>0</v>
      </c>
      <c r="AM808" t="n">
        <v>46</v>
      </c>
      <c r="AN808" t="n">
        <v>0</v>
      </c>
      <c r="AO808" t="n">
        <v>0</v>
      </c>
      <c r="AP808" t="n">
        <v>0</v>
      </c>
      <c r="AQ808" t="n">
        <v>24</v>
      </c>
      <c r="AR808" t="n">
        <v>0</v>
      </c>
    </row>
    <row r="809">
      <c r="A809" t="n">
        <v>194651</v>
      </c>
      <c r="B809" t="inlineStr">
        <is>
          <t>تغییر کارتابل دقیقا به فرمتی که در پروتوتایپ آمده است</t>
        </is>
      </c>
      <c r="D809" t="inlineStr">
        <is>
          <t>Medium</t>
        </is>
      </c>
      <c r="E809" t="n">
        <v>1</v>
      </c>
      <c r="F809" t="inlineStr">
        <is>
          <t>Removed</t>
        </is>
      </c>
      <c r="G809" t="inlineStr">
        <is>
          <t>Other</t>
        </is>
      </c>
      <c r="I809" t="inlineStr">
        <is>
          <t>Bizagi_Team</t>
        </is>
      </c>
      <c r="J809" t="inlineStr">
        <is>
          <t>SAJAK</t>
        </is>
      </c>
      <c r="K809" t="inlineStr">
        <is>
          <t>Estate_Sprint 43</t>
        </is>
      </c>
      <c r="M809" t="inlineStr">
        <is>
          <t>Zeynali Masoud</t>
        </is>
      </c>
      <c r="Q809" s="42" t="n">
        <v>45976.52811342593</v>
      </c>
      <c r="S809" t="n">
        <v>0</v>
      </c>
      <c r="T809" s="42" t="n">
        <v>45976.52811342593</v>
      </c>
      <c r="AA809" t="n">
        <v>0</v>
      </c>
      <c r="AD809" t="n">
        <v>2</v>
      </c>
      <c r="AE809" t="n">
        <v>2</v>
      </c>
      <c r="AF809" t="n">
        <v>0</v>
      </c>
      <c r="AI809" t="n">
        <v>0</v>
      </c>
      <c r="AJ809" t="n">
        <v>0</v>
      </c>
      <c r="AN809" t="n">
        <v>0</v>
      </c>
      <c r="AO809" t="n">
        <v>0</v>
      </c>
      <c r="AP809" t="n">
        <v>0</v>
      </c>
      <c r="AQ809" t="n">
        <v>24</v>
      </c>
      <c r="AR809" t="n">
        <v>0</v>
      </c>
    </row>
    <row r="810">
      <c r="A810" t="n">
        <v>194653</v>
      </c>
      <c r="B810" t="inlineStr">
        <is>
          <t xml:space="preserve">  قابلیت باز شدن فایل صورت جلسه بازدید در صفحه بررسی گزارش توسط رئیس</t>
        </is>
      </c>
      <c r="D810" t="inlineStr">
        <is>
          <t>Medium</t>
        </is>
      </c>
      <c r="E810" t="n">
        <v>1</v>
      </c>
      <c r="F810" t="inlineStr">
        <is>
          <t>Closed</t>
        </is>
      </c>
      <c r="G810" t="inlineStr">
        <is>
          <t>Other</t>
        </is>
      </c>
      <c r="I810" t="inlineStr">
        <is>
          <t>Bizagi_Team</t>
        </is>
      </c>
      <c r="J810" t="inlineStr">
        <is>
          <t>SAJAK</t>
        </is>
      </c>
      <c r="K810" t="inlineStr">
        <is>
          <t>Bizagi_Sprint 44</t>
        </is>
      </c>
      <c r="M810" t="inlineStr">
        <is>
          <t>Tedadi Abbas</t>
        </is>
      </c>
      <c r="N810" t="inlineStr">
        <is>
          <t>Moradnoori Parinaz</t>
        </is>
      </c>
      <c r="O810" s="42" t="n">
        <v>45987.46134259259</v>
      </c>
      <c r="Q810" s="42" t="n">
        <v>45987.46134259259</v>
      </c>
      <c r="S810" t="n">
        <v>0</v>
      </c>
      <c r="T810" s="42" t="n">
        <v>45987.46134259259</v>
      </c>
      <c r="Z810" s="42" t="n">
        <v>45987.46134259259</v>
      </c>
      <c r="AA810" t="n">
        <v>0</v>
      </c>
      <c r="AD810" t="n">
        <v>2</v>
      </c>
      <c r="AE810" t="n">
        <v>2</v>
      </c>
      <c r="AF810" t="n">
        <v>0</v>
      </c>
      <c r="AI810" t="n">
        <v>0</v>
      </c>
      <c r="AJ810" t="n">
        <v>0</v>
      </c>
      <c r="AK810" t="n">
        <v>0</v>
      </c>
      <c r="AL810" t="n">
        <v>0</v>
      </c>
      <c r="AN810" t="n">
        <v>0</v>
      </c>
      <c r="AO810" t="n">
        <v>0</v>
      </c>
      <c r="AP810" t="n">
        <v>0</v>
      </c>
      <c r="AQ810" t="n">
        <v>24</v>
      </c>
      <c r="AR810" t="n">
        <v>0</v>
      </c>
    </row>
    <row r="811">
      <c r="A811" t="n">
        <v>194656</v>
      </c>
      <c r="B811" t="inlineStr">
        <is>
          <t>عدم سیو  مجموع درصد سهام سهامدار ،  در فرم ویرایش و نمایش مشتری /1365</t>
        </is>
      </c>
      <c r="D811" t="inlineStr">
        <is>
          <t>Medium</t>
        </is>
      </c>
      <c r="E811" t="n">
        <v>1</v>
      </c>
      <c r="F811" t="inlineStr">
        <is>
          <t>Closed</t>
        </is>
      </c>
      <c r="G811" t="inlineStr">
        <is>
          <t>Other</t>
        </is>
      </c>
      <c r="J811" t="inlineStr">
        <is>
          <t>Dem</t>
        </is>
      </c>
      <c r="K811" t="inlineStr">
        <is>
          <t>DemBiz</t>
        </is>
      </c>
      <c r="M811" t="inlineStr">
        <is>
          <t>Hoseini Fatemeh</t>
        </is>
      </c>
      <c r="N811" t="inlineStr">
        <is>
          <t>Baniamer Shaghayegh</t>
        </is>
      </c>
      <c r="O811" s="42" t="n">
        <v>45972.79496527778</v>
      </c>
      <c r="Q811" s="42" t="n">
        <v>45972.79496527778</v>
      </c>
      <c r="S811" t="n">
        <v>0</v>
      </c>
      <c r="T811" s="42" t="n">
        <v>45972.79496527778</v>
      </c>
      <c r="Z811" s="42" t="n">
        <v>45972.79496527778</v>
      </c>
      <c r="AA811" t="n">
        <v>0</v>
      </c>
      <c r="AD811" t="n">
        <v>2</v>
      </c>
      <c r="AE811" t="n">
        <v>2</v>
      </c>
      <c r="AF811" t="n">
        <v>0</v>
      </c>
      <c r="AI811" t="n">
        <v>0</v>
      </c>
      <c r="AJ811" t="n">
        <v>0</v>
      </c>
      <c r="AK811" t="n">
        <v>0</v>
      </c>
      <c r="AL811" t="n">
        <v>0</v>
      </c>
      <c r="AN811" t="n">
        <v>0</v>
      </c>
      <c r="AO811" t="n">
        <v>0</v>
      </c>
      <c r="AP811" t="n">
        <v>0</v>
      </c>
      <c r="AQ811" t="n">
        <v>24</v>
      </c>
      <c r="AR811" t="n">
        <v>0</v>
      </c>
    </row>
    <row r="812">
      <c r="A812" t="n">
        <v>194658</v>
      </c>
      <c r="B812" t="inlineStr">
        <is>
          <t xml:space="preserve">نمایش آخرین رکورد در صورت معتبر بودن تاریخ ابلاغ </t>
        </is>
      </c>
      <c r="D812" t="inlineStr">
        <is>
          <t>Medium</t>
        </is>
      </c>
      <c r="E812" t="n">
        <v>2</v>
      </c>
      <c r="F812" t="inlineStr">
        <is>
          <t>Removed</t>
        </is>
      </c>
      <c r="G812" t="inlineStr">
        <is>
          <t>Other</t>
        </is>
      </c>
      <c r="I812" t="inlineStr">
        <is>
          <t>Bizagi_Team</t>
        </is>
      </c>
      <c r="J812" t="inlineStr">
        <is>
          <t>SAJAK</t>
        </is>
      </c>
      <c r="K812" t="inlineStr">
        <is>
          <t>Estate_Sprint 43</t>
        </is>
      </c>
      <c r="M812" t="inlineStr">
        <is>
          <t>Seyfollahi Artin</t>
        </is>
      </c>
      <c r="Q812" s="42" t="n">
        <v>45971.49572916667</v>
      </c>
      <c r="S812" t="n">
        <v>0</v>
      </c>
      <c r="T812" s="42" t="n">
        <v>45971.49572916667</v>
      </c>
      <c r="AA812" t="n">
        <v>0</v>
      </c>
      <c r="AD812" t="n">
        <v>2</v>
      </c>
      <c r="AE812" t="n">
        <v>2</v>
      </c>
      <c r="AF812" t="n">
        <v>0</v>
      </c>
      <c r="AI812" t="n">
        <v>0</v>
      </c>
      <c r="AJ812" t="n">
        <v>0</v>
      </c>
      <c r="AN812" t="n">
        <v>0</v>
      </c>
      <c r="AO812" t="n">
        <v>0</v>
      </c>
      <c r="AP812" t="n">
        <v>0</v>
      </c>
      <c r="AQ812" t="n">
        <v>24</v>
      </c>
      <c r="AR812" t="n">
        <v>0</v>
      </c>
    </row>
    <row r="813">
      <c r="A813" t="n">
        <v>194660</v>
      </c>
      <c r="B813" t="inlineStr">
        <is>
          <t xml:space="preserve">تعیین صحیح شهر / روستا در عنوان صفحات </t>
        </is>
      </c>
      <c r="D813" t="inlineStr">
        <is>
          <t>Medium</t>
        </is>
      </c>
      <c r="E813" t="n">
        <v>1</v>
      </c>
      <c r="F813" t="inlineStr">
        <is>
          <t>Active</t>
        </is>
      </c>
      <c r="G813" t="inlineStr">
        <is>
          <t>Other</t>
        </is>
      </c>
      <c r="I813" t="inlineStr">
        <is>
          <t>Bizagi_Team</t>
        </is>
      </c>
      <c r="J813" t="inlineStr">
        <is>
          <t>SAJAK</t>
        </is>
      </c>
      <c r="K813" t="inlineStr">
        <is>
          <t>Estate_Sprint 44</t>
        </is>
      </c>
      <c r="M813" t="inlineStr">
        <is>
          <t>Tedadi Abbas</t>
        </is>
      </c>
      <c r="Q813" s="42" t="n">
        <v>46000.34820601852</v>
      </c>
      <c r="S813" t="n">
        <v>0</v>
      </c>
      <c r="T813" s="42" t="n">
        <v>46000.34820601852</v>
      </c>
      <c r="AA813" t="n">
        <v>0</v>
      </c>
      <c r="AD813" t="n">
        <v>2</v>
      </c>
      <c r="AE813" t="n">
        <v>2</v>
      </c>
      <c r="AF813" t="n">
        <v>0</v>
      </c>
      <c r="AI813" t="n">
        <v>0</v>
      </c>
      <c r="AJ813" t="n">
        <v>0</v>
      </c>
      <c r="AM813" t="n">
        <v>18</v>
      </c>
      <c r="AN813" t="n">
        <v>0</v>
      </c>
      <c r="AO813" t="n">
        <v>0</v>
      </c>
      <c r="AP813" t="n">
        <v>0</v>
      </c>
      <c r="AQ813" t="n">
        <v>24</v>
      </c>
      <c r="AR813" t="n">
        <v>0</v>
      </c>
    </row>
    <row r="814">
      <c r="A814" t="n">
        <v>194662</v>
      </c>
      <c r="B814" t="inlineStr">
        <is>
          <t>عدم نمایش اطلاعات کارشناس</t>
        </is>
      </c>
      <c r="D814" t="inlineStr">
        <is>
          <t>Medium</t>
        </is>
      </c>
      <c r="E814" t="n">
        <v>3</v>
      </c>
      <c r="F814" t="inlineStr">
        <is>
          <t>Closed</t>
        </is>
      </c>
      <c r="G814" t="inlineStr">
        <is>
          <t>Other</t>
        </is>
      </c>
      <c r="I814" t="inlineStr">
        <is>
          <t>Bizagi_Team</t>
        </is>
      </c>
      <c r="J814" t="inlineStr">
        <is>
          <t>SAJAK</t>
        </is>
      </c>
      <c r="K814" t="inlineStr">
        <is>
          <t>Estate_Sprint 44</t>
        </is>
      </c>
      <c r="M814" t="inlineStr">
        <is>
          <t>Shamsfard Ahmad</t>
        </is>
      </c>
      <c r="N814" t="inlineStr">
        <is>
          <t>Moradnoori Parinaz</t>
        </is>
      </c>
      <c r="O814" s="42" t="n">
        <v>45979.48600694445</v>
      </c>
      <c r="Q814" s="42" t="n">
        <v>45979.48600694445</v>
      </c>
      <c r="S814" t="n">
        <v>0</v>
      </c>
      <c r="T814" s="42" t="n">
        <v>45979.48600694445</v>
      </c>
      <c r="Z814" s="42" t="n">
        <v>45979.48600694445</v>
      </c>
      <c r="AA814" t="n">
        <v>0</v>
      </c>
      <c r="AD814" t="n">
        <v>2</v>
      </c>
      <c r="AE814" t="n">
        <v>2</v>
      </c>
      <c r="AF814" t="n">
        <v>0</v>
      </c>
      <c r="AI814" t="n">
        <v>0</v>
      </c>
      <c r="AJ814" t="n">
        <v>0</v>
      </c>
      <c r="AK814" t="n">
        <v>0</v>
      </c>
      <c r="AL814" t="n">
        <v>0</v>
      </c>
      <c r="AN814" t="n">
        <v>0</v>
      </c>
      <c r="AO814" t="n">
        <v>0</v>
      </c>
      <c r="AP814" t="n">
        <v>0</v>
      </c>
      <c r="AQ814" t="n">
        <v>24</v>
      </c>
      <c r="AR814" t="n">
        <v>0</v>
      </c>
    </row>
    <row r="815">
      <c r="A815" t="n">
        <v>194663</v>
      </c>
      <c r="B815" t="inlineStr">
        <is>
          <t>AE_SAJA\\ 500 موقع سرچ کردن</t>
        </is>
      </c>
      <c r="D815" t="inlineStr">
        <is>
          <t>Medium</t>
        </is>
      </c>
      <c r="E815" t="n">
        <v>1</v>
      </c>
      <c r="F815" t="inlineStr">
        <is>
          <t>Closed</t>
        </is>
      </c>
      <c r="G815" t="inlineStr">
        <is>
          <t>Other</t>
        </is>
      </c>
      <c r="J815" t="inlineStr">
        <is>
          <t>Infrastructure Bizagi Extension</t>
        </is>
      </c>
      <c r="K815" t="inlineStr">
        <is>
          <t>SP-87</t>
        </is>
      </c>
      <c r="M815" t="inlineStr">
        <is>
          <t>Nemati Hasan</t>
        </is>
      </c>
      <c r="N815" t="inlineStr">
        <is>
          <t>Mojtaba MohammadGholi</t>
        </is>
      </c>
      <c r="O815" s="42" t="n">
        <v>45993.39997685186</v>
      </c>
      <c r="Q815" s="42" t="n">
        <v>45993.39997685186</v>
      </c>
      <c r="S815" t="n">
        <v>0</v>
      </c>
      <c r="T815" s="42" t="n">
        <v>45993.39997685186</v>
      </c>
      <c r="Z815" s="42" t="n">
        <v>45993.39997685186</v>
      </c>
      <c r="AA815" t="n">
        <v>0</v>
      </c>
      <c r="AD815" t="n">
        <v>2</v>
      </c>
      <c r="AE815" t="n">
        <v>2</v>
      </c>
      <c r="AF815" t="n">
        <v>0</v>
      </c>
      <c r="AI815" t="n">
        <v>0</v>
      </c>
      <c r="AJ815" t="n">
        <v>0</v>
      </c>
      <c r="AK815" t="n">
        <v>0</v>
      </c>
      <c r="AL815" t="n">
        <v>0</v>
      </c>
      <c r="AN815" t="n">
        <v>0</v>
      </c>
      <c r="AO815" t="n">
        <v>0</v>
      </c>
      <c r="AP815" t="n">
        <v>0</v>
      </c>
      <c r="AQ815" t="n">
        <v>24</v>
      </c>
      <c r="AR815" t="n">
        <v>0</v>
      </c>
    </row>
    <row r="816">
      <c r="A816" t="n">
        <v>194666</v>
      </c>
      <c r="B816" t="inlineStr">
        <is>
          <t>دکمه تایید در فرم ثبت درخواست پیغام درصد وثایق می دهد/1365</t>
        </is>
      </c>
      <c r="D816" t="inlineStr">
        <is>
          <t>Medium</t>
        </is>
      </c>
      <c r="E816" t="n">
        <v>2</v>
      </c>
      <c r="F816" t="inlineStr">
        <is>
          <t>Closed</t>
        </is>
      </c>
      <c r="G816" t="inlineStr">
        <is>
          <t>Other</t>
        </is>
      </c>
      <c r="J816" t="inlineStr">
        <is>
          <t>Dem</t>
        </is>
      </c>
      <c r="K816" t="inlineStr">
        <is>
          <t>DemBiz</t>
        </is>
      </c>
      <c r="M816" t="inlineStr">
        <is>
          <t>Arshi Mahmood</t>
        </is>
      </c>
      <c r="N816" t="inlineStr">
        <is>
          <t>Mohseni Hadise</t>
        </is>
      </c>
      <c r="O816" s="42" t="n">
        <v>45973.36846064815</v>
      </c>
      <c r="Q816" s="42" t="n">
        <v>45973.36846064815</v>
      </c>
      <c r="S816" t="n">
        <v>0</v>
      </c>
      <c r="T816" s="42" t="n">
        <v>45973.36846064815</v>
      </c>
      <c r="Z816" s="42" t="n">
        <v>45973.36846064815</v>
      </c>
      <c r="AA816" t="n">
        <v>0</v>
      </c>
      <c r="AD816" t="n">
        <v>2</v>
      </c>
      <c r="AE816" t="n">
        <v>2</v>
      </c>
      <c r="AF816" t="n">
        <v>0</v>
      </c>
      <c r="AI816" t="n">
        <v>0</v>
      </c>
      <c r="AJ816" t="n">
        <v>0</v>
      </c>
      <c r="AK816" t="n">
        <v>0</v>
      </c>
      <c r="AL816" t="n">
        <v>0</v>
      </c>
      <c r="AN816" t="n">
        <v>0</v>
      </c>
      <c r="AO816" t="n">
        <v>0</v>
      </c>
      <c r="AP816" t="n">
        <v>0</v>
      </c>
      <c r="AQ816" t="n">
        <v>24</v>
      </c>
      <c r="AR816" t="n">
        <v>0</v>
      </c>
    </row>
    <row r="817">
      <c r="A817" t="n">
        <v>194670</v>
      </c>
      <c r="B817" t="inlineStr">
        <is>
          <t>امکان درج enter در صفحه توضیحات و بزرگ تر بودن باکس توضیحات</t>
        </is>
      </c>
      <c r="D817" t="inlineStr">
        <is>
          <t>Medium</t>
        </is>
      </c>
      <c r="E817" t="n">
        <v>3</v>
      </c>
      <c r="F817" t="inlineStr">
        <is>
          <t>Closed</t>
        </is>
      </c>
      <c r="G817" t="inlineStr">
        <is>
          <t>Other</t>
        </is>
      </c>
      <c r="I817" t="inlineStr">
        <is>
          <t>Bizagi_Team</t>
        </is>
      </c>
      <c r="J817" t="inlineStr">
        <is>
          <t>SAJAK</t>
        </is>
      </c>
      <c r="K817" t="inlineStr">
        <is>
          <t>Estate_Sprint 44</t>
        </is>
      </c>
      <c r="M817" t="inlineStr">
        <is>
          <t>Kalaei Saman</t>
        </is>
      </c>
      <c r="N817" t="inlineStr">
        <is>
          <t>Moradnoori Parinaz</t>
        </is>
      </c>
      <c r="O817" s="42" t="n">
        <v>45983.4512962963</v>
      </c>
      <c r="Q817" s="42" t="n">
        <v>45983.4512962963</v>
      </c>
      <c r="S817" t="n">
        <v>0</v>
      </c>
      <c r="T817" s="42" t="n">
        <v>45983.4512962963</v>
      </c>
      <c r="Z817" s="42" t="n">
        <v>45983.4512962963</v>
      </c>
      <c r="AA817" t="n">
        <v>0</v>
      </c>
      <c r="AD817" t="n">
        <v>2</v>
      </c>
      <c r="AE817" t="n">
        <v>2</v>
      </c>
      <c r="AF817" t="n">
        <v>0</v>
      </c>
      <c r="AI817" t="n">
        <v>0</v>
      </c>
      <c r="AJ817" t="n">
        <v>0</v>
      </c>
      <c r="AK817" t="n">
        <v>0</v>
      </c>
      <c r="AL817" t="n">
        <v>0</v>
      </c>
      <c r="AN817" t="n">
        <v>0</v>
      </c>
      <c r="AO817" t="n">
        <v>0</v>
      </c>
      <c r="AP817" t="n">
        <v>0</v>
      </c>
      <c r="AQ817" t="n">
        <v>24</v>
      </c>
      <c r="AR817" t="n">
        <v>0</v>
      </c>
    </row>
    <row r="818">
      <c r="A818" t="n">
        <v>194671</v>
      </c>
      <c r="B818" t="inlineStr">
        <is>
          <t>دکمه انصراف و تغییر مشتری در فرم نمایش پیغام خطا در فرایند می دهد/1365</t>
        </is>
      </c>
      <c r="D818" t="inlineStr">
        <is>
          <t>Medium</t>
        </is>
      </c>
      <c r="E818" t="n">
        <v>2</v>
      </c>
      <c r="F818" t="inlineStr">
        <is>
          <t>Closed</t>
        </is>
      </c>
      <c r="G818" t="inlineStr">
        <is>
          <t>Other</t>
        </is>
      </c>
      <c r="J818" t="inlineStr">
        <is>
          <t>Dem</t>
        </is>
      </c>
      <c r="K818" t="inlineStr">
        <is>
          <t>DemBiz</t>
        </is>
      </c>
      <c r="M818" t="inlineStr">
        <is>
          <t>Moradi Mohammad</t>
        </is>
      </c>
      <c r="N818" t="inlineStr">
        <is>
          <t>Mohseni Hadise</t>
        </is>
      </c>
      <c r="O818" s="42" t="n">
        <v>45971.68989583333</v>
      </c>
      <c r="Q818" s="42" t="n">
        <v>45971.68989583333</v>
      </c>
      <c r="S818" t="n">
        <v>0</v>
      </c>
      <c r="T818" s="42" t="n">
        <v>45971.68989583333</v>
      </c>
      <c r="Z818" s="42" t="n">
        <v>45971.68989583333</v>
      </c>
      <c r="AA818" t="n">
        <v>0</v>
      </c>
      <c r="AD818" t="n">
        <v>2</v>
      </c>
      <c r="AE818" t="n">
        <v>2</v>
      </c>
      <c r="AF818" t="n">
        <v>0</v>
      </c>
      <c r="AI818" t="n">
        <v>0</v>
      </c>
      <c r="AJ818" t="n">
        <v>0</v>
      </c>
      <c r="AK818" t="n">
        <v>0</v>
      </c>
      <c r="AL818" t="n">
        <v>0</v>
      </c>
      <c r="AN818" t="n">
        <v>0</v>
      </c>
      <c r="AO818" t="n">
        <v>0</v>
      </c>
      <c r="AP818" t="n">
        <v>0</v>
      </c>
      <c r="AQ818" t="n">
        <v>24</v>
      </c>
      <c r="AR818" t="n">
        <v>0</v>
      </c>
    </row>
    <row r="819">
      <c r="A819" t="n">
        <v>194694</v>
      </c>
      <c r="B819" t="inlineStr">
        <is>
          <t>Mom01_ثبت جلسه هیات -درج پرونده</t>
        </is>
      </c>
      <c r="D819" t="inlineStr">
        <is>
          <t>Medium</t>
        </is>
      </c>
      <c r="E819" t="n">
        <v>2</v>
      </c>
      <c r="F819" t="inlineStr">
        <is>
          <t>Closed</t>
        </is>
      </c>
      <c r="G819" t="inlineStr">
        <is>
          <t>Other</t>
        </is>
      </c>
      <c r="I819" t="inlineStr">
        <is>
          <t>Bizagi_Team</t>
        </is>
      </c>
      <c r="J819" t="inlineStr">
        <is>
          <t>SAJAK</t>
        </is>
      </c>
      <c r="K819" t="inlineStr">
        <is>
          <t>Estate_Sprint 44</t>
        </is>
      </c>
      <c r="M819" t="inlineStr">
        <is>
          <t>Shamsfard Ahmad</t>
        </is>
      </c>
      <c r="N819" t="inlineStr">
        <is>
          <t>Mousavi Azadeh</t>
        </is>
      </c>
      <c r="O819" s="42" t="n">
        <v>45980.3484837963</v>
      </c>
      <c r="Q819" s="42" t="n">
        <v>45980.3484837963</v>
      </c>
      <c r="S819" t="n">
        <v>0</v>
      </c>
      <c r="T819" s="42" t="n">
        <v>45980.3484837963</v>
      </c>
      <c r="Z819" s="42" t="n">
        <v>45980.3484837963</v>
      </c>
      <c r="AA819" t="n">
        <v>0</v>
      </c>
      <c r="AD819" t="n">
        <v>2</v>
      </c>
      <c r="AE819" t="n">
        <v>2</v>
      </c>
      <c r="AF819" t="n">
        <v>0</v>
      </c>
      <c r="AI819" t="n">
        <v>0</v>
      </c>
      <c r="AJ819" t="n">
        <v>0</v>
      </c>
      <c r="AK819" t="n">
        <v>0</v>
      </c>
      <c r="AL819" t="n">
        <v>0</v>
      </c>
      <c r="AN819" t="n">
        <v>0</v>
      </c>
      <c r="AO819" t="n">
        <v>0</v>
      </c>
      <c r="AP819" t="n">
        <v>0</v>
      </c>
      <c r="AQ819" t="n">
        <v>24</v>
      </c>
      <c r="AR819" t="n">
        <v>0</v>
      </c>
    </row>
    <row r="820">
      <c r="A820" t="n">
        <v>194709</v>
      </c>
      <c r="B820" t="inlineStr">
        <is>
          <t xml:space="preserve">Mom01_ثبت جلسه هیات </t>
        </is>
      </c>
      <c r="D820" t="inlineStr">
        <is>
          <t>Medium</t>
        </is>
      </c>
      <c r="E820" t="n">
        <v>2</v>
      </c>
      <c r="F820" t="inlineStr">
        <is>
          <t>Closed</t>
        </is>
      </c>
      <c r="G820" t="inlineStr">
        <is>
          <t>Other</t>
        </is>
      </c>
      <c r="I820" t="inlineStr">
        <is>
          <t>Bizagi_Team</t>
        </is>
      </c>
      <c r="J820" t="inlineStr">
        <is>
          <t>SAJAK</t>
        </is>
      </c>
      <c r="K820" t="inlineStr">
        <is>
          <t>Estate_Sprint 44</t>
        </is>
      </c>
      <c r="M820" t="inlineStr">
        <is>
          <t>Tedadi Abbas</t>
        </is>
      </c>
      <c r="N820" t="inlineStr">
        <is>
          <t>Mousavi Azadeh</t>
        </is>
      </c>
      <c r="O820" s="42" t="n">
        <v>45977.56604166667</v>
      </c>
      <c r="Q820" s="42" t="n">
        <v>45977.56604166667</v>
      </c>
      <c r="S820" t="n">
        <v>0</v>
      </c>
      <c r="T820" s="42" t="n">
        <v>45977.56604166667</v>
      </c>
      <c r="Z820" s="42" t="n">
        <v>45977.56604166667</v>
      </c>
      <c r="AA820" t="n">
        <v>0</v>
      </c>
      <c r="AD820" t="n">
        <v>2</v>
      </c>
      <c r="AE820" t="n">
        <v>2</v>
      </c>
      <c r="AF820" t="n">
        <v>0</v>
      </c>
      <c r="AI820" t="n">
        <v>0</v>
      </c>
      <c r="AJ820" t="n">
        <v>0</v>
      </c>
      <c r="AK820" t="n">
        <v>0</v>
      </c>
      <c r="AL820" t="n">
        <v>0</v>
      </c>
      <c r="AN820" t="n">
        <v>0</v>
      </c>
      <c r="AO820" t="n">
        <v>0</v>
      </c>
      <c r="AP820" t="n">
        <v>0</v>
      </c>
      <c r="AQ820" t="n">
        <v>24</v>
      </c>
      <c r="AR820" t="n">
        <v>0</v>
      </c>
    </row>
    <row r="821">
      <c r="A821" t="n">
        <v>194711</v>
      </c>
      <c r="B821" t="inlineStr">
        <is>
          <t xml:space="preserve">Mom01_ثبت جلسه هیات - محل جلسه </t>
        </is>
      </c>
      <c r="D821" t="inlineStr">
        <is>
          <t>Medium</t>
        </is>
      </c>
      <c r="E821" t="n">
        <v>2</v>
      </c>
      <c r="F821" t="inlineStr">
        <is>
          <t>Closed</t>
        </is>
      </c>
      <c r="G821" t="inlineStr">
        <is>
          <t>Other</t>
        </is>
      </c>
      <c r="I821" t="inlineStr">
        <is>
          <t>Bizagi_Team</t>
        </is>
      </c>
      <c r="J821" t="inlineStr">
        <is>
          <t>SAJAK</t>
        </is>
      </c>
      <c r="K821" t="inlineStr">
        <is>
          <t>Estate_Sprint 44</t>
        </is>
      </c>
      <c r="M821" t="inlineStr">
        <is>
          <t>Tedadi Abbas</t>
        </is>
      </c>
      <c r="N821" t="inlineStr">
        <is>
          <t>Mousavi Azadeh</t>
        </is>
      </c>
      <c r="O821" s="42" t="n">
        <v>45977.56837962963</v>
      </c>
      <c r="Q821" s="42" t="n">
        <v>45977.56837962963</v>
      </c>
      <c r="S821" t="n">
        <v>0</v>
      </c>
      <c r="T821" s="42" t="n">
        <v>45977.56837962963</v>
      </c>
      <c r="Z821" s="42" t="n">
        <v>45977.56837962963</v>
      </c>
      <c r="AA821" t="n">
        <v>0</v>
      </c>
      <c r="AD821" t="n">
        <v>2</v>
      </c>
      <c r="AE821" t="n">
        <v>2</v>
      </c>
      <c r="AF821" t="n">
        <v>0</v>
      </c>
      <c r="AI821" t="n">
        <v>0</v>
      </c>
      <c r="AJ821" t="n">
        <v>0</v>
      </c>
      <c r="AK821" t="n">
        <v>0</v>
      </c>
      <c r="AL821" t="n">
        <v>0</v>
      </c>
      <c r="AN821" t="n">
        <v>0</v>
      </c>
      <c r="AO821" t="n">
        <v>0</v>
      </c>
      <c r="AP821" t="n">
        <v>0</v>
      </c>
      <c r="AQ821" t="n">
        <v>24</v>
      </c>
      <c r="AR821" t="n">
        <v>0</v>
      </c>
    </row>
    <row r="822">
      <c r="A822" t="n">
        <v>194715</v>
      </c>
      <c r="B822" t="inlineStr">
        <is>
          <t>AE_SAJA\\ خطا در ارجاع جلسه</t>
        </is>
      </c>
      <c r="D822" t="inlineStr">
        <is>
          <t>Medium</t>
        </is>
      </c>
      <c r="E822" t="n">
        <v>1</v>
      </c>
      <c r="F822" t="inlineStr">
        <is>
          <t>Closed</t>
        </is>
      </c>
      <c r="G822" t="inlineStr">
        <is>
          <t>Other</t>
        </is>
      </c>
      <c r="J822" t="inlineStr">
        <is>
          <t>Infrastructure Bizagi Extension</t>
        </is>
      </c>
      <c r="K822" t="inlineStr">
        <is>
          <t>SP-87</t>
        </is>
      </c>
      <c r="M822" t="inlineStr">
        <is>
          <t>Nemati Hasan</t>
        </is>
      </c>
      <c r="N822" t="inlineStr">
        <is>
          <t>Tedadi Abbas</t>
        </is>
      </c>
      <c r="O822" s="42" t="n">
        <v>45998.46820601852</v>
      </c>
      <c r="Q822" s="42" t="n">
        <v>45998.46820601852</v>
      </c>
      <c r="S822" t="n">
        <v>0</v>
      </c>
      <c r="T822" s="42" t="n">
        <v>45998.46820601852</v>
      </c>
      <c r="Z822" s="42" t="n">
        <v>45998.46820601852</v>
      </c>
      <c r="AA822" t="n">
        <v>0</v>
      </c>
      <c r="AD822" t="n">
        <v>2</v>
      </c>
      <c r="AE822" t="n">
        <v>2</v>
      </c>
      <c r="AF822" t="n">
        <v>0</v>
      </c>
      <c r="AI822" t="n">
        <v>0</v>
      </c>
      <c r="AJ822" t="n">
        <v>0</v>
      </c>
      <c r="AK822" t="n">
        <v>0</v>
      </c>
      <c r="AL822" t="n">
        <v>0</v>
      </c>
      <c r="AN822" t="n">
        <v>0</v>
      </c>
      <c r="AO822" t="n">
        <v>0</v>
      </c>
      <c r="AP822" t="n">
        <v>0</v>
      </c>
      <c r="AQ822" t="n">
        <v>24</v>
      </c>
      <c r="AR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2025-12-25T21:46:26Z</dcterms:created>
  <dcterms:modified xsi:type="dcterms:W3CDTF">2025-12-27T10:03:47Z</dcterms:modified>
</cp:coreProperties>
</file>